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L:\MRM2001\ExtSta\"/>
    </mc:Choice>
  </mc:AlternateContent>
  <xr:revisionPtr revIDLastSave="0" documentId="8_{8F64256B-4A1A-4B4A-B9D3-76ABA7F4E74F}" xr6:coauthVersionLast="41" xr6:coauthVersionMax="41" xr10:uidLastSave="{00000000-0000-0000-0000-000000000000}"/>
  <bookViews>
    <workbookView showHorizontalScroll="0" showVerticalScroll="0" xWindow="5535" yWindow="405" windowWidth="13305" windowHeight="9870" tabRatio="717" activeTab="2" xr2:uid="{00000000-000D-0000-FFFF-FFFF00000000}"/>
  </bookViews>
  <sheets>
    <sheet name="AADT Input" sheetId="34" r:id="rId1"/>
    <sheet name="AADT Current" sheetId="35" r:id="rId2"/>
    <sheet name="AADT Results" sheetId="36" r:id="rId3"/>
    <sheet name="ITERATION" sheetId="29" state="hidden" r:id="rId4"/>
    <sheet name="turn estimations" sheetId="31" state="hidden" r:id="rId5"/>
    <sheet name="CENSUS DATA" sheetId="115" state="hidden" r:id="rId6"/>
    <sheet name="Traffic Data" sheetId="28" r:id="rId7"/>
    <sheet name="Calculator" sheetId="37301" r:id="rId8"/>
  </sheets>
  <definedNames>
    <definedName name="AADTS">OFFSET('AADT Current'!$L$2,0,0,COUNT('AADT Current'!$L:$L,1)-1,1)</definedName>
    <definedName name="AADTYEARS">OFFSET('AADT Current'!$K$2,0,0,COUNT('AADT Current'!$K:$K,1)-1,1)</definedName>
    <definedName name="ALLYEARS">IF(SHOWFUTUREYEARS,(AADTYEARS,FUTUREYEARS),AADTYEARS)</definedName>
    <definedName name="BLANK">'AADT Current'!$AC$2:$AC$3</definedName>
    <definedName name="BLANK3">#REF!</definedName>
    <definedName name="Chart1">OFFSET(#REF!,0,0,1,#REF!)</definedName>
    <definedName name="Chart2">OFFSET(#REF!,0,0,1,#REF!)</definedName>
    <definedName name="Chart3">OFFSET(#REF!,0,0,1,#REF!)</definedName>
    <definedName name="Chart4">OFFSET(#REF!,0,0,1,#REF!)</definedName>
    <definedName name="Chart5">OFFSET(#REF!,0,0,1,#REF!)</definedName>
    <definedName name="Chart6">OFFSET(#REF!,0,0,1,#REF!)</definedName>
    <definedName name="CHARTTEST">#REF!</definedName>
    <definedName name="CountyListWithoutState">'CENSUS DATA'!$A$4:$A$103</definedName>
    <definedName name="CountyListWithState">'CENSUS DATA'!$A$110:$A$210</definedName>
    <definedName name="DataTable">'CENSUS DATA'!$A$3:$AL$105</definedName>
    <definedName name="DataTable2">'CENSUS DATA'!$A$104:$AL$105</definedName>
    <definedName name="DEFAULTPRINTAREA">OFFSET('AADT Input'!$A$1,0,0,COUNTA('AADT Input'!$B$5:$B$277)+4,32)</definedName>
    <definedName name="desc">#REF!</definedName>
    <definedName name="east">#REF!</definedName>
    <definedName name="FUTUREAAI">OFFSET('AADT Current'!$V$2,0,0,COUNT('AADT Current'!$V:$V,1)-1,1)</definedName>
    <definedName name="FUTUREAAR">OFFSET('AADT Current'!$W$2,0,0,COUNT('AADT Current'!$W:$W,1)-1,1)</definedName>
    <definedName name="FUTUREREGINC">OFFSET('AADT Current'!$X$2,0,0,COUNT('AADT Current'!$X:$X,1)-1,1)</definedName>
    <definedName name="FUTUREREGRATE">OFFSET('AADT Current'!$Y$2,0,0,COUNT('AADT Current'!$Y:$Y,1)-1,1)</definedName>
    <definedName name="FUTUREYEAR1">'AADT Current'!$AF$2:$AF$57</definedName>
    <definedName name="FUTUREYEAR2">OFFSET('AADT Current'!$AG$2,'AADT Results'!$K$34-2004,0,'AADT Current'!$AG$57-'AADT Results'!$K$34,1)</definedName>
    <definedName name="FUTUREYEAR3">OFFSET('AADT Current'!$AH$2,'AADT Results'!$K$35-2004,0,'AADT Current'!$AH$57-'AADT Results'!$K$35,1)</definedName>
    <definedName name="FUTUREYEAR4">OFFSET('AADT Current'!$AI$2,'AADT Results'!$K$36-2004,0,'AADT Current'!$AI$57-'AADT Results'!$K$36,1)</definedName>
    <definedName name="FUTUREYEAR5">OFFSET('AADT Current'!$AJ$2,'AADT Results'!$K$37-2004,0,'AADT Current'!$AJ$57-'AADT Results'!$K$37,1)</definedName>
    <definedName name="FUTUREYEARS">OFFSET('AADT Current'!$U$2,0,0,COUNT('AADT Current'!$U:$U,1)-1,1)</definedName>
    <definedName name="highscale">#REF!</definedName>
    <definedName name="highscale1">#REF!</definedName>
    <definedName name="HISTORICAAI">OFFSET('AADT Current'!$Q$2,0,0,COUNT('AADT Current'!$Q:$Q,1)-1,1)</definedName>
    <definedName name="HISTORICAAR">OFFSET('AADT Current'!$R$2,0,0,COUNT('AADT Current'!$R:$R,1)-1,1)</definedName>
    <definedName name="HISTORICREGINC">OFFSET('AADT Current'!$S$2,0,0,COUNT('AADT Current'!$S:$S,1)-1,1)</definedName>
    <definedName name="HISTORICREGRATE">OFFSET('AADT Current'!$T$2,0,0,COUNT('AADT Current'!$T:$T,1)-1,1)</definedName>
    <definedName name="lowscale">#REF!</definedName>
    <definedName name="lowscale1">#REF!</definedName>
    <definedName name="majorunit">#REF!</definedName>
    <definedName name="maxyear">'AADT Current'!$N$5</definedName>
    <definedName name="minyear">'AADT Current'!$N$4</definedName>
    <definedName name="north">#REF!</definedName>
    <definedName name="NUMB">'AADT Current'!$P$13</definedName>
    <definedName name="NUMBEROFSTATIONS">OFFSET('AADT Input'!$A$5,0,0,COUNTA('AADT Input'!$B$5:$B$277),1)</definedName>
    <definedName name="NUMBEROFSTATIONS2">OFFSET('AADT Current'!$AL$2,0,0,COUNTA('AADT Input'!$B$5:$B$277),1)</definedName>
    <definedName name="_xlnm.Print_Area" localSheetId="0">DEFAULTPRINTAREA</definedName>
    <definedName name="_xlnm.Print_Area" localSheetId="2">'AADT Results'!$B$1:$Q$41</definedName>
    <definedName name="_xlnm.Print_Area" localSheetId="6">'Traffic Data'!$B$2:$P$32</definedName>
    <definedName name="_xlnm.Print_Titles" localSheetId="0">'AADT Input'!$1:$4</definedName>
    <definedName name="SelectionCountyNoSuffix">'CENSUS DATA'!$D$212</definedName>
    <definedName name="Series">'CENSUS DATA'!$B$314:$B$315</definedName>
    <definedName name="SERIESA">IF(SHOWADT,ADT,BLANK1000)</definedName>
    <definedName name="SERIESAADTS">IF(SHOW01AADTS,AADTS,BLANK)</definedName>
    <definedName name="SERIESB">IF(SHOWINC,INC,BLANK1000)</definedName>
    <definedName name="SERIESC">IF(SHOWRATE,RATE,BLANK1000)</definedName>
    <definedName name="SERIESCHART">IF(CHARTTEST,Chart6,BLANK3)</definedName>
    <definedName name="SERIESD">IF(SHOWREGINC,REGINC,BLANK1000)</definedName>
    <definedName name="SERIESE">IF(SHOWREGRATE,REGRATE,BLANK1000)</definedName>
    <definedName name="SERIESF">IF(SHOWFUTUREINC,IF(SHOWTREND,(INC,FUTUREINC),BLANK1000),BLANK1000)</definedName>
    <definedName name="SERIESFUTUREAAI">IF(SHOW06FUTUREAAI,(HISTORICAAI,FUTUREAAI),BLANK)</definedName>
    <definedName name="SERIESFUTUREAAR">IF(SHOW07FUTUREAAR,(HISTORICAAR,FUTUREAAR),BLANK)</definedName>
    <definedName name="SERIESFUTUREREGINC">IF(SHOW08FUTUREREGINC,(HISTORICREGINC,FUTUREREGINC),BLANK)</definedName>
    <definedName name="SERIESFUTUREREGRATE">IF(SHOW09FUTUREREGRATE,(HISTORICREGRATE,FUTUREREGRATE),BLANK)</definedName>
    <definedName name="SERIESG">IF(SHOWFUTURERATE,IF(SHOWTREND,(RATE,FUTURERATE),BLANK1000),BLANK1000)</definedName>
    <definedName name="SERIESH">IF(SHOWFUTUREREGINC,IF(SHOWTREND,(REGINC,FUTUREREGINC1000),BLANK1000),BLANK1000)</definedName>
    <definedName name="SERIESHISTORICAAI">IF(SHOW02HISTORICAAI,HISTORICAAI,BLANK)</definedName>
    <definedName name="SERIESHISTORICAAR">IF(SHOW03HISTORICAAR,HISTORICAAR,BLANK)</definedName>
    <definedName name="SERIESHISTORICREGINC">IF(SHOW04HISTORICREGINC,HISTORICREGINC,BLANK)</definedName>
    <definedName name="SERIESHISTORICREGRATE">IF(SHOW05HISTORICREGRATE,HISTORICREGRATE,BLANK)</definedName>
    <definedName name="SERIESI">IF(SHOWFUTUREREGRATE,IF(SHOWTREND,(REGRATE,FUTUREREGRATE1000),BLANK1000),BLANK1000)</definedName>
    <definedName name="SERIESJ">IF(SHOWUSER,IF(GROWTH="",BLANK1000,IF(SHOWTREND,USER,BLANK1000)),BLANK1000)</definedName>
    <definedName name="SERIESUSERRATE">IF(SHOWUSERRATE,USERRATE,BLANK)</definedName>
    <definedName name="SERIESUSERRATE2">IF(SHOWUSERRATE2,USERRATE2,BLANK)</definedName>
    <definedName name="SHOW01AADTS">'AADT Current'!$AB$2</definedName>
    <definedName name="SHOW02HISTORICAAI">'AADT Current'!$AB$3</definedName>
    <definedName name="SHOW03HISTORICAAR">'AADT Current'!$AB$4</definedName>
    <definedName name="SHOW04HISTORICREGINC">'AADT Current'!$AB$5</definedName>
    <definedName name="SHOW05HISTORICREGRATE">'AADT Current'!$AB$6</definedName>
    <definedName name="SHOW06FUTUREAAI">'AADT Current'!$AB$7</definedName>
    <definedName name="SHOW07FUTUREAAR">'AADT Current'!$AB$8</definedName>
    <definedName name="SHOW08FUTUREREGINC">'AADT Current'!$AB$9</definedName>
    <definedName name="SHOW09FUTUREREGRATE">'AADT Current'!$AB$10</definedName>
    <definedName name="SHOWFUTUREYEARS">'AADT Current'!$AB$13</definedName>
    <definedName name="SHOWUSERRATE">'AADT Current'!$AB$11</definedName>
    <definedName name="SHOWUSERRATE2">'AADT Current'!$AB$12</definedName>
    <definedName name="south">#REF!</definedName>
    <definedName name="STATION">'AADT Results'!$J$32</definedName>
    <definedName name="STATION1">'AADT Current'!$P$12</definedName>
    <definedName name="TESTYEAR">IF(SHOWTREND,(YEAR,FUTUREYEAR),BLANK2)</definedName>
    <definedName name="TESTYEAR2">IF(SHOWTREND,FUTUREYEAR,BLANK2)</definedName>
    <definedName name="USERRATE">OFFSET('AADT Current'!$AE$2,0,0,Calculator!$D$4-Calculator!$D$3+1,1)</definedName>
    <definedName name="USERRATE2">OFFSET('AADT Current'!$AP$2,0,0,Calculator!$D$4-Calculator!$D$3+1,1)</definedName>
    <definedName name="USERRATEYEAR">IF(SHOWFUTUREYEARS,OFFSET('AADT Current'!$AD$2,0,0,Calculator!$D$4-Calculator!$D$3+1,1),AADTYEARS)</definedName>
    <definedName name="wes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L2" i="35" l="1"/>
  <c r="P13" i="35"/>
  <c r="E11" i="35"/>
  <c r="F11" i="35" s="1"/>
  <c r="E12" i="35"/>
  <c r="F12" i="35" s="1"/>
  <c r="E13" i="35"/>
  <c r="F13" i="35" s="1"/>
  <c r="E14" i="35"/>
  <c r="F14" i="35" s="1"/>
  <c r="E15" i="35"/>
  <c r="F15" i="35" s="1"/>
  <c r="E16" i="35"/>
  <c r="F16" i="35" s="1"/>
  <c r="E17" i="35"/>
  <c r="F17" i="35" s="1"/>
  <c r="E18" i="35"/>
  <c r="F18" i="35" s="1"/>
  <c r="E19" i="35"/>
  <c r="F19" i="35" s="1"/>
  <c r="E20" i="35"/>
  <c r="F20" i="35" s="1"/>
  <c r="E21" i="35"/>
  <c r="F21" i="35" s="1"/>
  <c r="E22" i="35"/>
  <c r="F22" i="35" s="1"/>
  <c r="E23" i="35"/>
  <c r="F23" i="35" s="1"/>
  <c r="E24" i="35"/>
  <c r="F24" i="35" s="1"/>
  <c r="E25" i="35"/>
  <c r="F25" i="35" s="1"/>
  <c r="E26" i="35"/>
  <c r="F26" i="35" s="1"/>
  <c r="E27" i="35"/>
  <c r="F27" i="35" s="1"/>
  <c r="E28" i="35"/>
  <c r="F28" i="35" s="1"/>
  <c r="E29" i="35"/>
  <c r="F29" i="35" s="1"/>
  <c r="E30" i="35"/>
  <c r="F30" i="35" s="1"/>
  <c r="E31" i="35"/>
  <c r="F31" i="35" s="1"/>
  <c r="E32" i="35"/>
  <c r="F32" i="35" s="1"/>
  <c r="E33" i="35"/>
  <c r="F33" i="35" s="1"/>
  <c r="E34" i="35"/>
  <c r="F34" i="35" s="1"/>
  <c r="E35" i="35"/>
  <c r="F35" i="35" s="1"/>
  <c r="E36" i="35"/>
  <c r="F36" i="35" s="1"/>
  <c r="E37" i="35"/>
  <c r="F37" i="35" s="1"/>
  <c r="E38" i="35"/>
  <c r="F38" i="35" s="1"/>
  <c r="E39" i="35"/>
  <c r="F39" i="35" s="1"/>
  <c r="E40" i="35"/>
  <c r="F40" i="35" s="1"/>
  <c r="E41" i="35"/>
  <c r="F41" i="35" s="1"/>
  <c r="E42" i="35"/>
  <c r="F42" i="35" s="1"/>
  <c r="E43" i="35"/>
  <c r="F43" i="35" s="1"/>
  <c r="E44" i="35"/>
  <c r="F44" i="35" s="1"/>
  <c r="E45" i="35"/>
  <c r="F45" i="35" s="1"/>
  <c r="E46" i="35"/>
  <c r="F46" i="35" s="1"/>
  <c r="E47" i="35"/>
  <c r="F47" i="35" s="1"/>
  <c r="E48" i="35"/>
  <c r="F48" i="35" s="1"/>
  <c r="E49" i="35"/>
  <c r="F49" i="35" s="1"/>
  <c r="E50" i="35"/>
  <c r="F50" i="35" s="1"/>
  <c r="E51" i="35"/>
  <c r="F51" i="35" s="1"/>
  <c r="E52" i="35"/>
  <c r="F52" i="35" s="1"/>
  <c r="E9" i="35"/>
  <c r="F9" i="35" s="1"/>
  <c r="E10" i="35"/>
  <c r="F10" i="35"/>
  <c r="E53" i="35"/>
  <c r="F53" i="35" s="1"/>
  <c r="E2" i="35"/>
  <c r="F2" i="35" s="1"/>
  <c r="E3" i="35"/>
  <c r="F3" i="35" s="1"/>
  <c r="E4" i="35"/>
  <c r="F4" i="35" s="1"/>
  <c r="E5" i="35"/>
  <c r="F5" i="35" s="1"/>
  <c r="E6" i="35"/>
  <c r="F6" i="35" s="1"/>
  <c r="E7" i="35"/>
  <c r="F7" i="35" s="1"/>
  <c r="E8" i="35"/>
  <c r="F8" i="35"/>
  <c r="E54" i="35"/>
  <c r="F54" i="35" s="1"/>
  <c r="E55" i="35"/>
  <c r="F55" i="35" s="1"/>
  <c r="E56" i="35"/>
  <c r="F56" i="35" s="1"/>
  <c r="E57" i="35"/>
  <c r="F57" i="35" s="1"/>
  <c r="E58" i="35"/>
  <c r="F58" i="35" s="1"/>
  <c r="E59" i="35"/>
  <c r="F59" i="35" s="1"/>
  <c r="E60" i="35"/>
  <c r="F60" i="35" s="1"/>
  <c r="AB13" i="35"/>
  <c r="AM3" i="35"/>
  <c r="AM4" i="35" s="1"/>
  <c r="AM5" i="35" s="1"/>
  <c r="AM6" i="35" s="1"/>
  <c r="AM7" i="35" s="1"/>
  <c r="AM8" i="35" s="1"/>
  <c r="AM9" i="35" s="1"/>
  <c r="AM10" i="35" s="1"/>
  <c r="AM11" i="35" s="1"/>
  <c r="AM12" i="35" s="1"/>
  <c r="AM13" i="35" s="1"/>
  <c r="AM14" i="35" s="1"/>
  <c r="AM15" i="35" s="1"/>
  <c r="AM16" i="35" s="1"/>
  <c r="AM17" i="35" s="1"/>
  <c r="AM18" i="35" s="1"/>
  <c r="AM19" i="35" s="1"/>
  <c r="AM20" i="35" s="1"/>
  <c r="AM21" i="35" s="1"/>
  <c r="AM22" i="35" s="1"/>
  <c r="AM23" i="35" s="1"/>
  <c r="AM24" i="35" s="1"/>
  <c r="AM25" i="35" s="1"/>
  <c r="AM26" i="35" s="1"/>
  <c r="AM27" i="35" s="1"/>
  <c r="AM28" i="35" s="1"/>
  <c r="AM29" i="35" s="1"/>
  <c r="AM30" i="35" s="1"/>
  <c r="AM31" i="35" s="1"/>
  <c r="AM32" i="35" s="1"/>
  <c r="AM33" i="35" s="1"/>
  <c r="AM34" i="35" s="1"/>
  <c r="AM35" i="35" s="1"/>
  <c r="AM36" i="35" s="1"/>
  <c r="AM37" i="35" s="1"/>
  <c r="AM38" i="35" s="1"/>
  <c r="AM39" i="35" s="1"/>
  <c r="AM40" i="35" s="1"/>
  <c r="AM41" i="35" s="1"/>
  <c r="AM42" i="35" s="1"/>
  <c r="AM43" i="35" s="1"/>
  <c r="AM44" i="35" s="1"/>
  <c r="AM45" i="35" s="1"/>
  <c r="AM46" i="35" s="1"/>
  <c r="AM47" i="35" s="1"/>
  <c r="AM48" i="35" s="1"/>
  <c r="AM49" i="35" s="1"/>
  <c r="AM50" i="35" s="1"/>
  <c r="AM51" i="35" s="1"/>
  <c r="AM52" i="35" s="1"/>
  <c r="AM53" i="35" s="1"/>
  <c r="AM54" i="35" s="1"/>
  <c r="AM55" i="35" s="1"/>
  <c r="AM56" i="35" s="1"/>
  <c r="AM57" i="35" s="1"/>
  <c r="AM58" i="35" s="1"/>
  <c r="AM59" i="35" s="1"/>
  <c r="AM60" i="35" s="1"/>
  <c r="AM61" i="35" s="1"/>
  <c r="AM62" i="35" s="1"/>
  <c r="AM63" i="35" s="1"/>
  <c r="AM64" i="35" s="1"/>
  <c r="AM65" i="35" s="1"/>
  <c r="AM66" i="35" s="1"/>
  <c r="AM67" i="35" s="1"/>
  <c r="AM68" i="35" s="1"/>
  <c r="AM69" i="35" s="1"/>
  <c r="AM70" i="35" s="1"/>
  <c r="AM71" i="35" s="1"/>
  <c r="AM72" i="35" s="1"/>
  <c r="AM73" i="35" s="1"/>
  <c r="AM74" i="35" s="1"/>
  <c r="AM75" i="35" s="1"/>
  <c r="AM76" i="35" s="1"/>
  <c r="AM77" i="35" s="1"/>
  <c r="AM78" i="35" s="1"/>
  <c r="AM79" i="35" s="1"/>
  <c r="AM80" i="35" s="1"/>
  <c r="AM81" i="35" s="1"/>
  <c r="AM82" i="35" s="1"/>
  <c r="AM83" i="35" s="1"/>
  <c r="AM84" i="35" s="1"/>
  <c r="AM85" i="35" s="1"/>
  <c r="AM86" i="35" s="1"/>
  <c r="AM87" i="35" s="1"/>
  <c r="AM88" i="35" s="1"/>
  <c r="AM89" i="35" s="1"/>
  <c r="AM90" i="35" s="1"/>
  <c r="AM91" i="35" s="1"/>
  <c r="AM92" i="35" s="1"/>
  <c r="AM93" i="35" s="1"/>
  <c r="AM94" i="35" s="1"/>
  <c r="AM95" i="35" s="1"/>
  <c r="AM96" i="35" s="1"/>
  <c r="AM97" i="35" s="1"/>
  <c r="AM98" i="35" s="1"/>
  <c r="AM99" i="35" s="1"/>
  <c r="AM100" i="35" s="1"/>
  <c r="AM101" i="35" s="1"/>
  <c r="AM102" i="35" s="1"/>
  <c r="AM103" i="35" s="1"/>
  <c r="AM104" i="35" s="1"/>
  <c r="AM105" i="35" s="1"/>
  <c r="AM106" i="35" s="1"/>
  <c r="AM107" i="35" s="1"/>
  <c r="AM108" i="35" s="1"/>
  <c r="AM109" i="35" s="1"/>
  <c r="AM110" i="35" s="1"/>
  <c r="AM111" i="35" s="1"/>
  <c r="AM112" i="35" s="1"/>
  <c r="AM113" i="35" s="1"/>
  <c r="AM114" i="35" s="1"/>
  <c r="AM115" i="35" s="1"/>
  <c r="AM116" i="35" s="1"/>
  <c r="AM117" i="35" s="1"/>
  <c r="AM118" i="35" s="1"/>
  <c r="AM119" i="35" s="1"/>
  <c r="AM120" i="35" s="1"/>
  <c r="AM121" i="35" s="1"/>
  <c r="AM122" i="35" s="1"/>
  <c r="AM123" i="35" s="1"/>
  <c r="AM124" i="35" s="1"/>
  <c r="AM125" i="35" s="1"/>
  <c r="AM126" i="35" s="1"/>
  <c r="AM127" i="35" s="1"/>
  <c r="AM128" i="35" s="1"/>
  <c r="AM129" i="35" s="1"/>
  <c r="AM130" i="35" s="1"/>
  <c r="AM131" i="35" s="1"/>
  <c r="AM132" i="35" s="1"/>
  <c r="AM133" i="35" s="1"/>
  <c r="AM134" i="35" s="1"/>
  <c r="AM135" i="35" s="1"/>
  <c r="AM136" i="35" s="1"/>
  <c r="AM137" i="35" s="1"/>
  <c r="AM138" i="35" s="1"/>
  <c r="AM139" i="35" s="1"/>
  <c r="AM140" i="35" s="1"/>
  <c r="AM141" i="35" s="1"/>
  <c r="AM142" i="35" s="1"/>
  <c r="AM143" i="35" s="1"/>
  <c r="AM144" i="35" s="1"/>
  <c r="AM145" i="35" s="1"/>
  <c r="AM146" i="35" s="1"/>
  <c r="AM147" i="35" s="1"/>
  <c r="AM148" i="35" s="1"/>
  <c r="AM149" i="35" s="1"/>
  <c r="AM150" i="35" s="1"/>
  <c r="AM151" i="35" s="1"/>
  <c r="AM152" i="35" s="1"/>
  <c r="AM153" i="35" s="1"/>
  <c r="AM154" i="35" s="1"/>
  <c r="AM155" i="35" s="1"/>
  <c r="AM156" i="35" s="1"/>
  <c r="AM157" i="35" s="1"/>
  <c r="AM158" i="35" s="1"/>
  <c r="AM159" i="35" s="1"/>
  <c r="AM160" i="35" s="1"/>
  <c r="AM161" i="35" s="1"/>
  <c r="AM162" i="35" s="1"/>
  <c r="AM163" i="35" s="1"/>
  <c r="AM164" i="35" s="1"/>
  <c r="AM165" i="35" s="1"/>
  <c r="AM166" i="35" s="1"/>
  <c r="AM167" i="35" s="1"/>
  <c r="AM168" i="35" s="1"/>
  <c r="AM169" i="35" s="1"/>
  <c r="AM170" i="35" s="1"/>
  <c r="AM171" i="35" s="1"/>
  <c r="AM172" i="35" s="1"/>
  <c r="AM173" i="35" s="1"/>
  <c r="AM174" i="35" s="1"/>
  <c r="AM175" i="35" s="1"/>
  <c r="AM176" i="35" s="1"/>
  <c r="AM177" i="35" s="1"/>
  <c r="AM178" i="35" s="1"/>
  <c r="AM179" i="35" s="1"/>
  <c r="AM180" i="35" s="1"/>
  <c r="AM181" i="35" s="1"/>
  <c r="AM182" i="35" s="1"/>
  <c r="AM183" i="35" s="1"/>
  <c r="AM184" i="35" s="1"/>
  <c r="AM185" i="35" s="1"/>
  <c r="AM186" i="35" s="1"/>
  <c r="AM187" i="35" s="1"/>
  <c r="AM188" i="35" s="1"/>
  <c r="AM189" i="35" s="1"/>
  <c r="AM190" i="35" s="1"/>
  <c r="AM191" i="35" s="1"/>
  <c r="AM192" i="35" s="1"/>
  <c r="AM193" i="35" s="1"/>
  <c r="AM194" i="35" s="1"/>
  <c r="AM195" i="35" s="1"/>
  <c r="AM196" i="35" s="1"/>
  <c r="AM197" i="35" s="1"/>
  <c r="AM198" i="35" s="1"/>
  <c r="AM199" i="35" s="1"/>
  <c r="AM200" i="35" s="1"/>
  <c r="AM201" i="35" s="1"/>
  <c r="AM202" i="35" s="1"/>
  <c r="AM203" i="35" s="1"/>
  <c r="AM204" i="35" s="1"/>
  <c r="AM205" i="35" s="1"/>
  <c r="AM206" i="35" s="1"/>
  <c r="AM207" i="35" s="1"/>
  <c r="AM208" i="35" s="1"/>
  <c r="AM209" i="35" s="1"/>
  <c r="AM210" i="35" s="1"/>
  <c r="AM211" i="35" s="1"/>
  <c r="AM212" i="35" s="1"/>
  <c r="AM213" i="35" s="1"/>
  <c r="AM214" i="35" s="1"/>
  <c r="AM215" i="35" s="1"/>
  <c r="AM216" i="35" s="1"/>
  <c r="AM217" i="35" s="1"/>
  <c r="AM218" i="35" s="1"/>
  <c r="AM219" i="35" s="1"/>
  <c r="AM220" i="35" s="1"/>
  <c r="AM221" i="35" s="1"/>
  <c r="AM222" i="35" s="1"/>
  <c r="AM223" i="35" s="1"/>
  <c r="AM224" i="35" s="1"/>
  <c r="AM225" i="35" s="1"/>
  <c r="AM226" i="35" s="1"/>
  <c r="AM227" i="35" s="1"/>
  <c r="AM228" i="35" s="1"/>
  <c r="AM229" i="35" s="1"/>
  <c r="AM230" i="35" s="1"/>
  <c r="AM231" i="35" s="1"/>
  <c r="AM232" i="35" s="1"/>
  <c r="AM233" i="35" s="1"/>
  <c r="AM234" i="35" s="1"/>
  <c r="AM235" i="35" s="1"/>
  <c r="AM236" i="35" s="1"/>
  <c r="AM237" i="35" s="1"/>
  <c r="AM238" i="35" s="1"/>
  <c r="AM239" i="35" s="1"/>
  <c r="AM240" i="35" s="1"/>
  <c r="AM241" i="35" s="1"/>
  <c r="AM242" i="35" s="1"/>
  <c r="AM243" i="35" s="1"/>
  <c r="AM244" i="35" s="1"/>
  <c r="AM245" i="35" s="1"/>
  <c r="AM246" i="35" s="1"/>
  <c r="AM247" i="35" s="1"/>
  <c r="AM248" i="35" s="1"/>
  <c r="AM249" i="35" s="1"/>
  <c r="AM250" i="35" s="1"/>
  <c r="AM251" i="35" s="1"/>
  <c r="AM252" i="35" s="1"/>
  <c r="AM253" i="35" s="1"/>
  <c r="AM254" i="35" s="1"/>
  <c r="AM255" i="35" s="1"/>
  <c r="AM256" i="35" s="1"/>
  <c r="AM257" i="35" s="1"/>
  <c r="AM258" i="35" s="1"/>
  <c r="AM259" i="35" s="1"/>
  <c r="AM260" i="35" s="1"/>
  <c r="AM261" i="35" s="1"/>
  <c r="AM262" i="35" s="1"/>
  <c r="AM263" i="35" s="1"/>
  <c r="AM264" i="35" s="1"/>
  <c r="AM265" i="35" s="1"/>
  <c r="AM266" i="35" s="1"/>
  <c r="AM267" i="35" s="1"/>
  <c r="AM268" i="35" s="1"/>
  <c r="AM269" i="35" s="1"/>
  <c r="AM270" i="35" s="1"/>
  <c r="AM271" i="35" s="1"/>
  <c r="AM272" i="35" s="1"/>
  <c r="AM273" i="35" s="1"/>
  <c r="AM274" i="35" s="1"/>
  <c r="AM275" i="35" s="1"/>
  <c r="AM276" i="35" s="1"/>
  <c r="AM277" i="35" s="1"/>
  <c r="AM278" i="35" s="1"/>
  <c r="AM279" i="35" s="1"/>
  <c r="AM280" i="35" s="1"/>
  <c r="AM281" i="35" s="1"/>
  <c r="AM282" i="35" s="1"/>
  <c r="AM283" i="35" s="1"/>
  <c r="AM284" i="35" s="1"/>
  <c r="AM285" i="35" s="1"/>
  <c r="AM286" i="35" s="1"/>
  <c r="AM287" i="35" s="1"/>
  <c r="AM288" i="35" s="1"/>
  <c r="AM289" i="35" s="1"/>
  <c r="AM290" i="35" s="1"/>
  <c r="AM291" i="35" s="1"/>
  <c r="AM292" i="35" s="1"/>
  <c r="AM293" i="35" s="1"/>
  <c r="AM294" i="35" s="1"/>
  <c r="AM295" i="35" s="1"/>
  <c r="AM296" i="35" s="1"/>
  <c r="AM297" i="35" s="1"/>
  <c r="AM298" i="35" s="1"/>
  <c r="AM299" i="35" s="1"/>
  <c r="AM300" i="35" s="1"/>
  <c r="AM301" i="35" s="1"/>
  <c r="U7" i="35"/>
  <c r="AJ3" i="35"/>
  <c r="AJ4" i="35" s="1"/>
  <c r="AJ5" i="35" s="1"/>
  <c r="AJ6" i="35" s="1"/>
  <c r="AJ7" i="35" s="1"/>
  <c r="AJ8" i="35" s="1"/>
  <c r="AJ9" i="35" s="1"/>
  <c r="AJ10" i="35" s="1"/>
  <c r="AJ11" i="35" s="1"/>
  <c r="AJ12" i="35" s="1"/>
  <c r="AJ13" i="35" s="1"/>
  <c r="AJ14" i="35" s="1"/>
  <c r="AJ15" i="35" s="1"/>
  <c r="AJ16" i="35" s="1"/>
  <c r="AJ17" i="35" s="1"/>
  <c r="AJ18" i="35" s="1"/>
  <c r="AJ19" i="35" s="1"/>
  <c r="AJ20" i="35" s="1"/>
  <c r="AJ21" i="35" s="1"/>
  <c r="AJ22" i="35" s="1"/>
  <c r="AJ23" i="35" s="1"/>
  <c r="AJ24" i="35" s="1"/>
  <c r="AJ25" i="35" s="1"/>
  <c r="AJ26" i="35" s="1"/>
  <c r="AJ27" i="35" s="1"/>
  <c r="AJ28" i="35" s="1"/>
  <c r="AJ29" i="35" s="1"/>
  <c r="AJ30" i="35" s="1"/>
  <c r="AJ31" i="35" s="1"/>
  <c r="AJ32" i="35" s="1"/>
  <c r="AJ33" i="35" s="1"/>
  <c r="AJ34" i="35" s="1"/>
  <c r="AJ35" i="35" s="1"/>
  <c r="AJ36" i="35" s="1"/>
  <c r="AJ37" i="35" s="1"/>
  <c r="AJ38" i="35" s="1"/>
  <c r="AJ39" i="35" s="1"/>
  <c r="AJ40" i="35" s="1"/>
  <c r="AJ41" i="35" s="1"/>
  <c r="AJ42" i="35" s="1"/>
  <c r="AJ43" i="35" s="1"/>
  <c r="AJ44" i="35" s="1"/>
  <c r="AJ45" i="35" s="1"/>
  <c r="AJ46" i="35" s="1"/>
  <c r="AJ47" i="35" s="1"/>
  <c r="AJ48" i="35" s="1"/>
  <c r="AJ49" i="35" s="1"/>
  <c r="AJ50" i="35" s="1"/>
  <c r="AJ51" i="35" s="1"/>
  <c r="AJ52" i="35" s="1"/>
  <c r="AJ53" i="35" s="1"/>
  <c r="AJ54" i="35" s="1"/>
  <c r="AJ55" i="35" s="1"/>
  <c r="AJ56" i="35" s="1"/>
  <c r="AJ57" i="35" s="1"/>
  <c r="AF3" i="35"/>
  <c r="AF4" i="35" s="1"/>
  <c r="AF5" i="35" s="1"/>
  <c r="AF6" i="35" s="1"/>
  <c r="AF7" i="35" s="1"/>
  <c r="AF8" i="35" s="1"/>
  <c r="AF9" i="35" s="1"/>
  <c r="AF10" i="35" s="1"/>
  <c r="AF11" i="35" s="1"/>
  <c r="AF12" i="35" s="1"/>
  <c r="AF13" i="35" s="1"/>
  <c r="AF14" i="35" s="1"/>
  <c r="AF15" i="35" s="1"/>
  <c r="AF16" i="35" s="1"/>
  <c r="AF17" i="35" s="1"/>
  <c r="AF18" i="35" s="1"/>
  <c r="AF19" i="35" s="1"/>
  <c r="AF20" i="35" s="1"/>
  <c r="AF21" i="35" s="1"/>
  <c r="AF22" i="35" s="1"/>
  <c r="AF23" i="35" s="1"/>
  <c r="AF24" i="35" s="1"/>
  <c r="AF25" i="35" s="1"/>
  <c r="AF26" i="35" s="1"/>
  <c r="AF27" i="35" s="1"/>
  <c r="AF28" i="35" s="1"/>
  <c r="AF29" i="35" s="1"/>
  <c r="AF30" i="35" s="1"/>
  <c r="AF31" i="35" s="1"/>
  <c r="AF32" i="35" s="1"/>
  <c r="AF33" i="35" s="1"/>
  <c r="AF34" i="35" s="1"/>
  <c r="AF35" i="35" s="1"/>
  <c r="AF36" i="35" s="1"/>
  <c r="AF37" i="35" s="1"/>
  <c r="AF38" i="35" s="1"/>
  <c r="AF39" i="35" s="1"/>
  <c r="AF40" i="35" s="1"/>
  <c r="AF41" i="35" s="1"/>
  <c r="AF42" i="35" s="1"/>
  <c r="AF43" i="35" s="1"/>
  <c r="AF44" i="35" s="1"/>
  <c r="AF45" i="35" s="1"/>
  <c r="AF46" i="35" s="1"/>
  <c r="AF47" i="35" s="1"/>
  <c r="AF48" i="35" s="1"/>
  <c r="AF49" i="35" s="1"/>
  <c r="AF50" i="35" s="1"/>
  <c r="AF51" i="35" s="1"/>
  <c r="AF52" i="35" s="1"/>
  <c r="AF53" i="35" s="1"/>
  <c r="AF54" i="35" s="1"/>
  <c r="AF55" i="35" s="1"/>
  <c r="AF56" i="35" s="1"/>
  <c r="AF57" i="35" s="1"/>
  <c r="AG3" i="35"/>
  <c r="AG4" i="35" s="1"/>
  <c r="AG5" i="35" s="1"/>
  <c r="AG6" i="35" s="1"/>
  <c r="AG7" i="35" s="1"/>
  <c r="AG8" i="35" s="1"/>
  <c r="AG9" i="35" s="1"/>
  <c r="AG10" i="35" s="1"/>
  <c r="AG11" i="35" s="1"/>
  <c r="AG12" i="35" s="1"/>
  <c r="AG13" i="35" s="1"/>
  <c r="AG14" i="35" s="1"/>
  <c r="AG15" i="35" s="1"/>
  <c r="AG16" i="35" s="1"/>
  <c r="AG17" i="35" s="1"/>
  <c r="AG18" i="35" s="1"/>
  <c r="AG19" i="35" s="1"/>
  <c r="AG20" i="35" s="1"/>
  <c r="AG21" i="35" s="1"/>
  <c r="AG22" i="35" s="1"/>
  <c r="AG23" i="35" s="1"/>
  <c r="AG24" i="35" s="1"/>
  <c r="AG25" i="35" s="1"/>
  <c r="AG26" i="35" s="1"/>
  <c r="AG27" i="35" s="1"/>
  <c r="AG28" i="35" s="1"/>
  <c r="AG29" i="35" s="1"/>
  <c r="AG30" i="35" s="1"/>
  <c r="AG31" i="35" s="1"/>
  <c r="AG32" i="35" s="1"/>
  <c r="AG33" i="35" s="1"/>
  <c r="AG34" i="35" s="1"/>
  <c r="AG35" i="35" s="1"/>
  <c r="AG36" i="35" s="1"/>
  <c r="AG37" i="35" s="1"/>
  <c r="AG38" i="35" s="1"/>
  <c r="AG39" i="35" s="1"/>
  <c r="AG40" i="35" s="1"/>
  <c r="AG41" i="35" s="1"/>
  <c r="AG42" i="35" s="1"/>
  <c r="AG43" i="35" s="1"/>
  <c r="AG44" i="35" s="1"/>
  <c r="AG45" i="35" s="1"/>
  <c r="AG46" i="35" s="1"/>
  <c r="AG47" i="35" s="1"/>
  <c r="AG48" i="35" s="1"/>
  <c r="AG49" i="35" s="1"/>
  <c r="AG50" i="35" s="1"/>
  <c r="AG51" i="35" s="1"/>
  <c r="AG52" i="35" s="1"/>
  <c r="AG53" i="35" s="1"/>
  <c r="AG54" i="35" s="1"/>
  <c r="AG55" i="35" s="1"/>
  <c r="AG56" i="35" s="1"/>
  <c r="AG57" i="35" s="1"/>
  <c r="AH3" i="35"/>
  <c r="AH4" i="35" s="1"/>
  <c r="AH5" i="35" s="1"/>
  <c r="AH6" i="35" s="1"/>
  <c r="AH7" i="35" s="1"/>
  <c r="AH8" i="35" s="1"/>
  <c r="AH9" i="35" s="1"/>
  <c r="AH10" i="35" s="1"/>
  <c r="AH11" i="35" s="1"/>
  <c r="AH12" i="35" s="1"/>
  <c r="AH13" i="35" s="1"/>
  <c r="AH14" i="35" s="1"/>
  <c r="AH15" i="35" s="1"/>
  <c r="AH16" i="35" s="1"/>
  <c r="AH17" i="35" s="1"/>
  <c r="AH18" i="35" s="1"/>
  <c r="AH19" i="35" s="1"/>
  <c r="AH20" i="35" s="1"/>
  <c r="AH21" i="35" s="1"/>
  <c r="AH22" i="35" s="1"/>
  <c r="AH23" i="35" s="1"/>
  <c r="AH24" i="35" s="1"/>
  <c r="AH25" i="35" s="1"/>
  <c r="AH26" i="35" s="1"/>
  <c r="AH27" i="35" s="1"/>
  <c r="AH28" i="35" s="1"/>
  <c r="AH29" i="35" s="1"/>
  <c r="AH30" i="35" s="1"/>
  <c r="AH31" i="35" s="1"/>
  <c r="AH32" i="35" s="1"/>
  <c r="AH33" i="35" s="1"/>
  <c r="AH34" i="35" s="1"/>
  <c r="AH35" i="35" s="1"/>
  <c r="AH36" i="35" s="1"/>
  <c r="AH37" i="35" s="1"/>
  <c r="AH38" i="35" s="1"/>
  <c r="AH39" i="35" s="1"/>
  <c r="AH40" i="35" s="1"/>
  <c r="AH41" i="35" s="1"/>
  <c r="AH42" i="35" s="1"/>
  <c r="AH43" i="35" s="1"/>
  <c r="AH44" i="35" s="1"/>
  <c r="AH45" i="35" s="1"/>
  <c r="AH46" i="35" s="1"/>
  <c r="AH47" i="35" s="1"/>
  <c r="AH48" i="35" s="1"/>
  <c r="AH49" i="35" s="1"/>
  <c r="AH50" i="35" s="1"/>
  <c r="AH51" i="35" s="1"/>
  <c r="AH52" i="35" s="1"/>
  <c r="AH53" i="35" s="1"/>
  <c r="AH54" i="35" s="1"/>
  <c r="AH55" i="35" s="1"/>
  <c r="AH56" i="35" s="1"/>
  <c r="AH57" i="35" s="1"/>
  <c r="AI3" i="35"/>
  <c r="AI4" i="35"/>
  <c r="AI5" i="35"/>
  <c r="AI6" i="35" s="1"/>
  <c r="AI7" i="35" s="1"/>
  <c r="AI8" i="35" s="1"/>
  <c r="AI9" i="35" s="1"/>
  <c r="AI10" i="35" s="1"/>
  <c r="AI11" i="35" s="1"/>
  <c r="AI12" i="35" s="1"/>
  <c r="AI13" i="35" s="1"/>
  <c r="AI14" i="35" s="1"/>
  <c r="AI15" i="35" s="1"/>
  <c r="AI16" i="35" s="1"/>
  <c r="AI17" i="35" s="1"/>
  <c r="AI18" i="35" s="1"/>
  <c r="AI19" i="35" s="1"/>
  <c r="AI20" i="35" s="1"/>
  <c r="AI21" i="35" s="1"/>
  <c r="AI22" i="35" s="1"/>
  <c r="AI23" i="35" s="1"/>
  <c r="AI24" i="35" s="1"/>
  <c r="AI25" i="35" s="1"/>
  <c r="AI26" i="35" s="1"/>
  <c r="AI27" i="35" s="1"/>
  <c r="AI28" i="35" s="1"/>
  <c r="AI29" i="35" s="1"/>
  <c r="AI30" i="35" s="1"/>
  <c r="AI31" i="35" s="1"/>
  <c r="AI32" i="35" s="1"/>
  <c r="AI33" i="35" s="1"/>
  <c r="AI34" i="35" s="1"/>
  <c r="AI35" i="35" s="1"/>
  <c r="AI36" i="35" s="1"/>
  <c r="AI37" i="35" s="1"/>
  <c r="AI38" i="35" s="1"/>
  <c r="AI39" i="35" s="1"/>
  <c r="AI40" i="35" s="1"/>
  <c r="AI41" i="35" s="1"/>
  <c r="AI42" i="35" s="1"/>
  <c r="AI43" i="35" s="1"/>
  <c r="AI44" i="35" s="1"/>
  <c r="AI45" i="35" s="1"/>
  <c r="AI46" i="35" s="1"/>
  <c r="AI47" i="35" s="1"/>
  <c r="AI48" i="35" s="1"/>
  <c r="AI49" i="35" s="1"/>
  <c r="AI50" i="35" s="1"/>
  <c r="AI51" i="35" s="1"/>
  <c r="AI52" i="35" s="1"/>
  <c r="AI53" i="35" s="1"/>
  <c r="AI54" i="35" s="1"/>
  <c r="AI55" i="35" s="1"/>
  <c r="AI56" i="35" s="1"/>
  <c r="AI57" i="35" s="1"/>
  <c r="U3" i="35"/>
  <c r="U4" i="35"/>
  <c r="U5" i="35"/>
  <c r="U6" i="35"/>
  <c r="D3" i="35"/>
  <c r="D4" i="35" s="1"/>
  <c r="D5" i="35" s="1"/>
  <c r="D6" i="35" s="1"/>
  <c r="D7" i="35" s="1"/>
  <c r="D8" i="35" s="1"/>
  <c r="D9" i="35" s="1"/>
  <c r="D10" i="35" s="1"/>
  <c r="D11" i="35" s="1"/>
  <c r="D12" i="35" s="1"/>
  <c r="D13" i="35" s="1"/>
  <c r="D14" i="35" s="1"/>
  <c r="D15" i="35" s="1"/>
  <c r="D16" i="35" s="1"/>
  <c r="D17" i="35" s="1"/>
  <c r="D18" i="35" s="1"/>
  <c r="D19" i="35" s="1"/>
  <c r="D20" i="35" s="1"/>
  <c r="D21" i="35" s="1"/>
  <c r="D22" i="35" s="1"/>
  <c r="D23" i="35" s="1"/>
  <c r="D24" i="35" s="1"/>
  <c r="D25" i="35" s="1"/>
  <c r="D26" i="35" s="1"/>
  <c r="D27" i="35" s="1"/>
  <c r="D28" i="35" s="1"/>
  <c r="D29" i="35" s="1"/>
  <c r="D30" i="35" s="1"/>
  <c r="D32" i="35"/>
  <c r="D33" i="35"/>
  <c r="D34" i="35" s="1"/>
  <c r="D35" i="35" s="1"/>
  <c r="D36" i="35" s="1"/>
  <c r="D37" i="35" s="1"/>
  <c r="D38" i="35" s="1"/>
  <c r="D39" i="35" s="1"/>
  <c r="D40" i="35" s="1"/>
  <c r="D41" i="35" s="1"/>
  <c r="D42" i="35" s="1"/>
  <c r="D43" i="35" s="1"/>
  <c r="D44" i="35" s="1"/>
  <c r="D45" i="35" s="1"/>
  <c r="D46" i="35" s="1"/>
  <c r="D47" i="35" s="1"/>
  <c r="D48" i="35" s="1"/>
  <c r="D49" i="35" s="1"/>
  <c r="D50" i="35" s="1"/>
  <c r="D51" i="35" s="1"/>
  <c r="D52" i="35" s="1"/>
  <c r="D53" i="35" s="1"/>
  <c r="AE2" i="35"/>
  <c r="AE3" i="35" s="1"/>
  <c r="AE4" i="35" s="1"/>
  <c r="AE5" i="35" s="1"/>
  <c r="AE6" i="35" s="1"/>
  <c r="AE7" i="35" s="1"/>
  <c r="AE8" i="35" s="1"/>
  <c r="AE9" i="35" s="1"/>
  <c r="AE10" i="35" s="1"/>
  <c r="AE11" i="35" s="1"/>
  <c r="AE12" i="35" s="1"/>
  <c r="AE13" i="35" s="1"/>
  <c r="AE14" i="35" s="1"/>
  <c r="AE15" i="35" s="1"/>
  <c r="AE16" i="35" s="1"/>
  <c r="AE17" i="35" s="1"/>
  <c r="AE18" i="35" s="1"/>
  <c r="AE19" i="35" s="1"/>
  <c r="AE20" i="35" s="1"/>
  <c r="AE21" i="35" s="1"/>
  <c r="AE22" i="35" s="1"/>
  <c r="AE23" i="35" s="1"/>
  <c r="AE24" i="35" s="1"/>
  <c r="AE25" i="35" s="1"/>
  <c r="AE26" i="35" s="1"/>
  <c r="AE27" i="35" s="1"/>
  <c r="AE28" i="35" s="1"/>
  <c r="AE29" i="35" s="1"/>
  <c r="AE30" i="35" s="1"/>
  <c r="AE31" i="35" s="1"/>
  <c r="AE32" i="35" s="1"/>
  <c r="AE33" i="35" s="1"/>
  <c r="AE34" i="35" s="1"/>
  <c r="AE35" i="35" s="1"/>
  <c r="AE36" i="35" s="1"/>
  <c r="AE37" i="35" s="1"/>
  <c r="AE38" i="35" s="1"/>
  <c r="AE39" i="35" s="1"/>
  <c r="AE40" i="35" s="1"/>
  <c r="AE41" i="35" s="1"/>
  <c r="AE42" i="35" s="1"/>
  <c r="AE43" i="35" s="1"/>
  <c r="AE44" i="35" s="1"/>
  <c r="AE45" i="35" s="1"/>
  <c r="AE46" i="35" s="1"/>
  <c r="AE47" i="35" s="1"/>
  <c r="AE48" i="35" s="1"/>
  <c r="AE49" i="35" s="1"/>
  <c r="AE50" i="35" s="1"/>
  <c r="AE51" i="35" s="1"/>
  <c r="AE52" i="35" s="1"/>
  <c r="AE53" i="35" s="1"/>
  <c r="AE54" i="35" s="1"/>
  <c r="AE55" i="35" s="1"/>
  <c r="AE56" i="35" s="1"/>
  <c r="AE57" i="35" s="1"/>
  <c r="AE58" i="35" s="1"/>
  <c r="AE59" i="35" s="1"/>
  <c r="AE60" i="35" s="1"/>
  <c r="AE61" i="35" s="1"/>
  <c r="AE62" i="35" s="1"/>
  <c r="AE63" i="35" s="1"/>
  <c r="AE64" i="35" s="1"/>
  <c r="AE65" i="35" s="1"/>
  <c r="AE66" i="35" s="1"/>
  <c r="AE67" i="35" s="1"/>
  <c r="AE68" i="35" s="1"/>
  <c r="AE69" i="35" s="1"/>
  <c r="AE70" i="35" s="1"/>
  <c r="AE71" i="35" s="1"/>
  <c r="AE72" i="35" s="1"/>
  <c r="AE73" i="35" s="1"/>
  <c r="AE74" i="35" s="1"/>
  <c r="AE75" i="35" s="1"/>
  <c r="AE76" i="35" s="1"/>
  <c r="AE77" i="35" s="1"/>
  <c r="AE78" i="35" s="1"/>
  <c r="AE79" i="35" s="1"/>
  <c r="AE80" i="35" s="1"/>
  <c r="AE81" i="35" s="1"/>
  <c r="AE82" i="35" s="1"/>
  <c r="AE83" i="35" s="1"/>
  <c r="AE84" i="35" s="1"/>
  <c r="AE85" i="35" s="1"/>
  <c r="AE86" i="35" s="1"/>
  <c r="AE87" i="35" s="1"/>
  <c r="AE88" i="35" s="1"/>
  <c r="AE89" i="35" s="1"/>
  <c r="AE90" i="35" s="1"/>
  <c r="AE91" i="35" s="1"/>
  <c r="AE92" i="35" s="1"/>
  <c r="AE93" i="35" s="1"/>
  <c r="AE94" i="35" s="1"/>
  <c r="AE95" i="35" s="1"/>
  <c r="AE96" i="35" s="1"/>
  <c r="AE97" i="35" s="1"/>
  <c r="AE98" i="35" s="1"/>
  <c r="AE99" i="35" s="1"/>
  <c r="AE100" i="35" s="1"/>
  <c r="AE101" i="35" s="1"/>
  <c r="AE102" i="35" s="1"/>
  <c r="AE103" i="35" s="1"/>
  <c r="AE104" i="35" s="1"/>
  <c r="AE105" i="35" s="1"/>
  <c r="AE106" i="35" s="1"/>
  <c r="AE107" i="35" s="1"/>
  <c r="AE108" i="35" s="1"/>
  <c r="AE109" i="35" s="1"/>
  <c r="AE110" i="35" s="1"/>
  <c r="AE111" i="35" s="1"/>
  <c r="AE112" i="35" s="1"/>
  <c r="AE113" i="35" s="1"/>
  <c r="AE114" i="35" s="1"/>
  <c r="AE115" i="35" s="1"/>
  <c r="AE116" i="35" s="1"/>
  <c r="AE117" i="35" s="1"/>
  <c r="AE118" i="35" s="1"/>
  <c r="AE119" i="35" s="1"/>
  <c r="AE120" i="35" s="1"/>
  <c r="AE121" i="35" s="1"/>
  <c r="AE122" i="35" s="1"/>
  <c r="AE123" i="35" s="1"/>
  <c r="AE124" i="35" s="1"/>
  <c r="AE125" i="35" s="1"/>
  <c r="AE126" i="35" s="1"/>
  <c r="AE127" i="35" s="1"/>
  <c r="AE128" i="35" s="1"/>
  <c r="AE129" i="35" s="1"/>
  <c r="AE130" i="35" s="1"/>
  <c r="AE131" i="35" s="1"/>
  <c r="AE132" i="35" s="1"/>
  <c r="AE133" i="35" s="1"/>
  <c r="AE134" i="35" s="1"/>
  <c r="AE135" i="35" s="1"/>
  <c r="AE136" i="35" s="1"/>
  <c r="AE137" i="35" s="1"/>
  <c r="AE138" i="35" s="1"/>
  <c r="AE139" i="35" s="1"/>
  <c r="AE140" i="35" s="1"/>
  <c r="AE141" i="35" s="1"/>
  <c r="AE142" i="35" s="1"/>
  <c r="AE143" i="35" s="1"/>
  <c r="AE144" i="35" s="1"/>
  <c r="AE145" i="35" s="1"/>
  <c r="AE146" i="35" s="1"/>
  <c r="AE147" i="35" s="1"/>
  <c r="AE148" i="35" s="1"/>
  <c r="AE149" i="35" s="1"/>
  <c r="AE150" i="35" s="1"/>
  <c r="AE151" i="35" s="1"/>
  <c r="AE152" i="35" s="1"/>
  <c r="AP2" i="35"/>
  <c r="AP3" i="35" s="1"/>
  <c r="AP4" i="35" s="1"/>
  <c r="AP5" i="35" s="1"/>
  <c r="AP6" i="35" s="1"/>
  <c r="AP7" i="35" s="1"/>
  <c r="AP8" i="35" s="1"/>
  <c r="AP9" i="35" s="1"/>
  <c r="AP10" i="35" s="1"/>
  <c r="AP11" i="35" s="1"/>
  <c r="AP12" i="35" s="1"/>
  <c r="AP13" i="35" s="1"/>
  <c r="AP14" i="35" s="1"/>
  <c r="AP15" i="35" s="1"/>
  <c r="AP16" i="35" s="1"/>
  <c r="AP17" i="35" s="1"/>
  <c r="AP18" i="35" s="1"/>
  <c r="AP19" i="35" s="1"/>
  <c r="AP20" i="35" s="1"/>
  <c r="AP21" i="35" s="1"/>
  <c r="AP22" i="35" s="1"/>
  <c r="AP23" i="35" s="1"/>
  <c r="AP24" i="35" s="1"/>
  <c r="AP25" i="35" s="1"/>
  <c r="AP26" i="35" s="1"/>
  <c r="AP27" i="35" s="1"/>
  <c r="AP28" i="35" s="1"/>
  <c r="AP29" i="35" s="1"/>
  <c r="AP30" i="35" s="1"/>
  <c r="AP31" i="35" s="1"/>
  <c r="AP32" i="35" s="1"/>
  <c r="AP33" i="35" s="1"/>
  <c r="AP34" i="35" s="1"/>
  <c r="AP35" i="35" s="1"/>
  <c r="AP36" i="35" s="1"/>
  <c r="AP37" i="35" s="1"/>
  <c r="AP38" i="35" s="1"/>
  <c r="AP39" i="35" s="1"/>
  <c r="AP40" i="35" s="1"/>
  <c r="AP41" i="35" s="1"/>
  <c r="AP42" i="35" s="1"/>
  <c r="AP43" i="35" s="1"/>
  <c r="AP44" i="35" s="1"/>
  <c r="AP45" i="35" s="1"/>
  <c r="AP46" i="35" s="1"/>
  <c r="AP47" i="35" s="1"/>
  <c r="AP48" i="35" s="1"/>
  <c r="AP49" i="35" s="1"/>
  <c r="AP50" i="35" s="1"/>
  <c r="AP51" i="35" s="1"/>
  <c r="AP52" i="35" s="1"/>
  <c r="AP53" i="35" s="1"/>
  <c r="AP54" i="35" s="1"/>
  <c r="AP55" i="35" s="1"/>
  <c r="AP56" i="35" s="1"/>
  <c r="AP57" i="35" s="1"/>
  <c r="AP58" i="35" s="1"/>
  <c r="AP59" i="35" s="1"/>
  <c r="AP60" i="35" s="1"/>
  <c r="AP61" i="35" s="1"/>
  <c r="AP62" i="35" s="1"/>
  <c r="AP63" i="35" s="1"/>
  <c r="AP64" i="35" s="1"/>
  <c r="AP65" i="35" s="1"/>
  <c r="AP66" i="35" s="1"/>
  <c r="AP67" i="35" s="1"/>
  <c r="AP68" i="35" s="1"/>
  <c r="AP69" i="35" s="1"/>
  <c r="AP70" i="35" s="1"/>
  <c r="AP71" i="35" s="1"/>
  <c r="AP72" i="35" s="1"/>
  <c r="AP73" i="35" s="1"/>
  <c r="AP74" i="35" s="1"/>
  <c r="AP75" i="35" s="1"/>
  <c r="AP76" i="35" s="1"/>
  <c r="AP77" i="35" s="1"/>
  <c r="AP78" i="35" s="1"/>
  <c r="AP79" i="35" s="1"/>
  <c r="AP80" i="35" s="1"/>
  <c r="AP81" i="35" s="1"/>
  <c r="AP82" i="35" s="1"/>
  <c r="AP83" i="35" s="1"/>
  <c r="AP84" i="35" s="1"/>
  <c r="AP85" i="35" s="1"/>
  <c r="AP86" i="35" s="1"/>
  <c r="AP87" i="35" s="1"/>
  <c r="AP88" i="35" s="1"/>
  <c r="AP89" i="35" s="1"/>
  <c r="AP90" i="35" s="1"/>
  <c r="AP91" i="35" s="1"/>
  <c r="AP92" i="35" s="1"/>
  <c r="AP93" i="35" s="1"/>
  <c r="AP94" i="35" s="1"/>
  <c r="AP95" i="35" s="1"/>
  <c r="AP96" i="35" s="1"/>
  <c r="AP97" i="35" s="1"/>
  <c r="AP98" i="35" s="1"/>
  <c r="AP99" i="35" s="1"/>
  <c r="AP100" i="35" s="1"/>
  <c r="AP101" i="35" s="1"/>
  <c r="AP102" i="35" s="1"/>
  <c r="AP103" i="35" s="1"/>
  <c r="AP104" i="35" s="1"/>
  <c r="AP105" i="35" s="1"/>
  <c r="AP106" i="35" s="1"/>
  <c r="AP107" i="35" s="1"/>
  <c r="AP108" i="35" s="1"/>
  <c r="AP109" i="35" s="1"/>
  <c r="AP110" i="35" s="1"/>
  <c r="AP111" i="35" s="1"/>
  <c r="AP112" i="35" s="1"/>
  <c r="AP113" i="35" s="1"/>
  <c r="AP114" i="35" s="1"/>
  <c r="AP115" i="35" s="1"/>
  <c r="AP116" i="35" s="1"/>
  <c r="AP117" i="35" s="1"/>
  <c r="AP118" i="35" s="1"/>
  <c r="AP119" i="35" s="1"/>
  <c r="AP120" i="35" s="1"/>
  <c r="AP121" i="35" s="1"/>
  <c r="AP122" i="35" s="1"/>
  <c r="AP123" i="35" s="1"/>
  <c r="AP124" i="35" s="1"/>
  <c r="AP125" i="35" s="1"/>
  <c r="AP126" i="35" s="1"/>
  <c r="AP127" i="35" s="1"/>
  <c r="AP128" i="35" s="1"/>
  <c r="AP129" i="35" s="1"/>
  <c r="AP130" i="35" s="1"/>
  <c r="AP131" i="35" s="1"/>
  <c r="AP132" i="35" s="1"/>
  <c r="AP133" i="35" s="1"/>
  <c r="AP134" i="35" s="1"/>
  <c r="AP135" i="35" s="1"/>
  <c r="AP136" i="35" s="1"/>
  <c r="AP137" i="35" s="1"/>
  <c r="AP138" i="35" s="1"/>
  <c r="AP139" i="35" s="1"/>
  <c r="AP140" i="35" s="1"/>
  <c r="AP141" i="35" s="1"/>
  <c r="AP142" i="35" s="1"/>
  <c r="AP143" i="35" s="1"/>
  <c r="AP144" i="35" s="1"/>
  <c r="AP145" i="35" s="1"/>
  <c r="AP146" i="35" s="1"/>
  <c r="AP147" i="35" s="1"/>
  <c r="AP148" i="35" s="1"/>
  <c r="AP149" i="35" s="1"/>
  <c r="AP150" i="35" s="1"/>
  <c r="AP151" i="35" s="1"/>
  <c r="AP152" i="35" s="1"/>
  <c r="AD2" i="35"/>
  <c r="AD3" i="35" s="1"/>
  <c r="AD4" i="35"/>
  <c r="AD5" i="35" s="1"/>
  <c r="AD6" i="35" s="1"/>
  <c r="AD7" i="35" s="1"/>
  <c r="AD8" i="35" s="1"/>
  <c r="AD9" i="35" s="1"/>
  <c r="AD10" i="35" s="1"/>
  <c r="AD11" i="35" s="1"/>
  <c r="AD12" i="35" s="1"/>
  <c r="AD13" i="35" s="1"/>
  <c r="AD14" i="35" s="1"/>
  <c r="AD15" i="35" s="1"/>
  <c r="AD16" i="35" s="1"/>
  <c r="AD17" i="35" s="1"/>
  <c r="AD18" i="35" s="1"/>
  <c r="AD19" i="35" s="1"/>
  <c r="AD20" i="35" s="1"/>
  <c r="AD21" i="35" s="1"/>
  <c r="AD22" i="35" s="1"/>
  <c r="AD23" i="35" s="1"/>
  <c r="AD24" i="35" s="1"/>
  <c r="AD25" i="35" s="1"/>
  <c r="AD26" i="35" s="1"/>
  <c r="AD27" i="35" s="1"/>
  <c r="AD28" i="35" s="1"/>
  <c r="AD29" i="35" s="1"/>
  <c r="AD30" i="35" s="1"/>
  <c r="AD31" i="35" s="1"/>
  <c r="AD32" i="35" s="1"/>
  <c r="AD33" i="35" s="1"/>
  <c r="AD34" i="35" s="1"/>
  <c r="AD35" i="35" s="1"/>
  <c r="AD36" i="35" s="1"/>
  <c r="AD37" i="35" s="1"/>
  <c r="AD38" i="35" s="1"/>
  <c r="AD39" i="35" s="1"/>
  <c r="AD40" i="35" s="1"/>
  <c r="AD41" i="35" s="1"/>
  <c r="AD42" i="35" s="1"/>
  <c r="AD43" i="35" s="1"/>
  <c r="AD44" i="35" s="1"/>
  <c r="AD45" i="35" s="1"/>
  <c r="AD46" i="35" s="1"/>
  <c r="AD47" i="35" s="1"/>
  <c r="AD48" i="35" s="1"/>
  <c r="AD49" i="35" s="1"/>
  <c r="AD50" i="35" s="1"/>
  <c r="AD51" i="35" s="1"/>
  <c r="AD52" i="35" s="1"/>
  <c r="AD53" i="35" s="1"/>
  <c r="AD54" i="35" s="1"/>
  <c r="AD55" i="35" s="1"/>
  <c r="AD56" i="35" s="1"/>
  <c r="AD57" i="35" s="1"/>
  <c r="AD58" i="35" s="1"/>
  <c r="AD59" i="35" s="1"/>
  <c r="AD60" i="35" s="1"/>
  <c r="AD61" i="35" s="1"/>
  <c r="AD62" i="35" s="1"/>
  <c r="AD63" i="35" s="1"/>
  <c r="AD64" i="35" s="1"/>
  <c r="AD65" i="35" s="1"/>
  <c r="AD66" i="35" s="1"/>
  <c r="AD67" i="35" s="1"/>
  <c r="AD68" i="35" s="1"/>
  <c r="AD69" i="35" s="1"/>
  <c r="AD70" i="35" s="1"/>
  <c r="AD71" i="35" s="1"/>
  <c r="AD72" i="35" s="1"/>
  <c r="AD73" i="35" s="1"/>
  <c r="AD74" i="35" s="1"/>
  <c r="AD75" i="35" s="1"/>
  <c r="AD76" i="35" s="1"/>
  <c r="AD77" i="35" s="1"/>
  <c r="AD78" i="35" s="1"/>
  <c r="AD79" i="35" s="1"/>
  <c r="AD80" i="35" s="1"/>
  <c r="AD81" i="35" s="1"/>
  <c r="AD82" i="35" s="1"/>
  <c r="AD83" i="35" s="1"/>
  <c r="AD84" i="35" s="1"/>
  <c r="AD85" i="35" s="1"/>
  <c r="AD86" i="35" s="1"/>
  <c r="AD87" i="35" s="1"/>
  <c r="AD88" i="35" s="1"/>
  <c r="AD89" i="35" s="1"/>
  <c r="AD90" i="35" s="1"/>
  <c r="AD91" i="35" s="1"/>
  <c r="AD92" i="35" s="1"/>
  <c r="AD93" i="35" s="1"/>
  <c r="AD94" i="35" s="1"/>
  <c r="AD95" i="35" s="1"/>
  <c r="AD96" i="35" s="1"/>
  <c r="AD97" i="35" s="1"/>
  <c r="AD98" i="35" s="1"/>
  <c r="AD99" i="35" s="1"/>
  <c r="AD100" i="35" s="1"/>
  <c r="AD101" i="35" s="1"/>
  <c r="AD102" i="35" s="1"/>
  <c r="AD103" i="35" s="1"/>
  <c r="AD104" i="35" s="1"/>
  <c r="AD105" i="35" s="1"/>
  <c r="AD106" i="35" s="1"/>
  <c r="AD107" i="35" s="1"/>
  <c r="AD108" i="35" s="1"/>
  <c r="AD109" i="35" s="1"/>
  <c r="AD110" i="35" s="1"/>
  <c r="AD111" i="35" s="1"/>
  <c r="AD112" i="35" s="1"/>
  <c r="AD113" i="35" s="1"/>
  <c r="AD114" i="35" s="1"/>
  <c r="AD115" i="35" s="1"/>
  <c r="AD116" i="35" s="1"/>
  <c r="AD117" i="35" s="1"/>
  <c r="AD118" i="35" s="1"/>
  <c r="AD119" i="35" s="1"/>
  <c r="AD120" i="35" s="1"/>
  <c r="AD121" i="35" s="1"/>
  <c r="AD122" i="35" s="1"/>
  <c r="AD123" i="35" s="1"/>
  <c r="AD124" i="35" s="1"/>
  <c r="AD125" i="35" s="1"/>
  <c r="AD126" i="35" s="1"/>
  <c r="AD127" i="35" s="1"/>
  <c r="AD128" i="35" s="1"/>
  <c r="AD129" i="35" s="1"/>
  <c r="AD130" i="35" s="1"/>
  <c r="AD131" i="35" s="1"/>
  <c r="AD132" i="35" s="1"/>
  <c r="AD133" i="35" s="1"/>
  <c r="AD134" i="35" s="1"/>
  <c r="AD135" i="35" s="1"/>
  <c r="AD136" i="35" s="1"/>
  <c r="AD137" i="35" s="1"/>
  <c r="AD138" i="35" s="1"/>
  <c r="AD139" i="35" s="1"/>
  <c r="AD140" i="35" s="1"/>
  <c r="AD141" i="35" s="1"/>
  <c r="AD142" i="35" s="1"/>
  <c r="AD143" i="35" s="1"/>
  <c r="AD144" i="35" s="1"/>
  <c r="AD145" i="35" s="1"/>
  <c r="AD146" i="35" s="1"/>
  <c r="AD147" i="35" s="1"/>
  <c r="AD148" i="35" s="1"/>
  <c r="AD149" i="35" s="1"/>
  <c r="AD150" i="35" s="1"/>
  <c r="AD151" i="35" s="1"/>
  <c r="AD152" i="35" s="1"/>
  <c r="AO2" i="35"/>
  <c r="AO3" i="35" s="1"/>
  <c r="AO4" i="35" s="1"/>
  <c r="AO5" i="35" s="1"/>
  <c r="AO6" i="35" s="1"/>
  <c r="AO7" i="35" s="1"/>
  <c r="AO8" i="35" s="1"/>
  <c r="AO9" i="35" s="1"/>
  <c r="AO10" i="35" s="1"/>
  <c r="AO11" i="35" s="1"/>
  <c r="AO12" i="35" s="1"/>
  <c r="AO13" i="35" s="1"/>
  <c r="AO14" i="35" s="1"/>
  <c r="AO15" i="35" s="1"/>
  <c r="AO16" i="35" s="1"/>
  <c r="AO17" i="35" s="1"/>
  <c r="AO18" i="35" s="1"/>
  <c r="AO19" i="35" s="1"/>
  <c r="AO20" i="35" s="1"/>
  <c r="AO21" i="35" s="1"/>
  <c r="AO22" i="35" s="1"/>
  <c r="AO23" i="35" s="1"/>
  <c r="AO24" i="35" s="1"/>
  <c r="AO25" i="35" s="1"/>
  <c r="AO26" i="35" s="1"/>
  <c r="AO27" i="35" s="1"/>
  <c r="AO28" i="35" s="1"/>
  <c r="AO29" i="35" s="1"/>
  <c r="AO30" i="35" s="1"/>
  <c r="AO31" i="35" s="1"/>
  <c r="AO32" i="35" s="1"/>
  <c r="AO33" i="35" s="1"/>
  <c r="AO34" i="35" s="1"/>
  <c r="AO35" i="35" s="1"/>
  <c r="AO36" i="35" s="1"/>
  <c r="AO37" i="35" s="1"/>
  <c r="AO38" i="35" s="1"/>
  <c r="AO39" i="35" s="1"/>
  <c r="AO40" i="35" s="1"/>
  <c r="AO41" i="35" s="1"/>
  <c r="AO42" i="35" s="1"/>
  <c r="AO43" i="35" s="1"/>
  <c r="AO44" i="35" s="1"/>
  <c r="AO45" i="35" s="1"/>
  <c r="AO46" i="35" s="1"/>
  <c r="AO47" i="35" s="1"/>
  <c r="AO48" i="35" s="1"/>
  <c r="AO49" i="35" s="1"/>
  <c r="AO50" i="35" s="1"/>
  <c r="AO51" i="35" s="1"/>
  <c r="AO52" i="35" s="1"/>
  <c r="AO53" i="35" s="1"/>
  <c r="AO54" i="35" s="1"/>
  <c r="AO55" i="35" s="1"/>
  <c r="AO56" i="35" s="1"/>
  <c r="AO57" i="35" s="1"/>
  <c r="AO58" i="35" s="1"/>
  <c r="AO59" i="35" s="1"/>
  <c r="AO60" i="35" s="1"/>
  <c r="AO61" i="35" s="1"/>
  <c r="AO62" i="35" s="1"/>
  <c r="AO63" i="35" s="1"/>
  <c r="AO64" i="35" s="1"/>
  <c r="AO65" i="35" s="1"/>
  <c r="AO66" i="35" s="1"/>
  <c r="AO67" i="35" s="1"/>
  <c r="AO68" i="35" s="1"/>
  <c r="AO69" i="35" s="1"/>
  <c r="AO70" i="35" s="1"/>
  <c r="AO71" i="35" s="1"/>
  <c r="AO72" i="35" s="1"/>
  <c r="AO73" i="35" s="1"/>
  <c r="AO74" i="35" s="1"/>
  <c r="AO75" i="35" s="1"/>
  <c r="AO76" i="35" s="1"/>
  <c r="AO77" i="35" s="1"/>
  <c r="AO78" i="35" s="1"/>
  <c r="AO79" i="35" s="1"/>
  <c r="AO80" i="35" s="1"/>
  <c r="AO81" i="35" s="1"/>
  <c r="AO82" i="35" s="1"/>
  <c r="AO83" i="35" s="1"/>
  <c r="AO84" i="35" s="1"/>
  <c r="AO85" i="35" s="1"/>
  <c r="AO86" i="35" s="1"/>
  <c r="AO87" i="35" s="1"/>
  <c r="AO88" i="35" s="1"/>
  <c r="AO89" i="35" s="1"/>
  <c r="AO90" i="35" s="1"/>
  <c r="AO91" i="35" s="1"/>
  <c r="AO92" i="35" s="1"/>
  <c r="AO93" i="35" s="1"/>
  <c r="AO94" i="35" s="1"/>
  <c r="AO95" i="35" s="1"/>
  <c r="AO96" i="35" s="1"/>
  <c r="AO97" i="35" s="1"/>
  <c r="AO98" i="35" s="1"/>
  <c r="AO99" i="35" s="1"/>
  <c r="AO100" i="35" s="1"/>
  <c r="AO101" i="35" s="1"/>
  <c r="AO102" i="35" s="1"/>
  <c r="AO103" i="35" s="1"/>
  <c r="AO104" i="35" s="1"/>
  <c r="AO105" i="35" s="1"/>
  <c r="AO106" i="35" s="1"/>
  <c r="AO107" i="35" s="1"/>
  <c r="AO108" i="35" s="1"/>
  <c r="AO109" i="35" s="1"/>
  <c r="AO110" i="35" s="1"/>
  <c r="AO111" i="35" s="1"/>
  <c r="AO112" i="35" s="1"/>
  <c r="AO113" i="35" s="1"/>
  <c r="AO114" i="35" s="1"/>
  <c r="AO115" i="35" s="1"/>
  <c r="AO116" i="35" s="1"/>
  <c r="AO117" i="35" s="1"/>
  <c r="AO118" i="35" s="1"/>
  <c r="AO119" i="35" s="1"/>
  <c r="AO120" i="35" s="1"/>
  <c r="AO121" i="35" s="1"/>
  <c r="AO122" i="35" s="1"/>
  <c r="AO123" i="35" s="1"/>
  <c r="AO124" i="35" s="1"/>
  <c r="AO125" i="35" s="1"/>
  <c r="AO126" i="35" s="1"/>
  <c r="AO127" i="35" s="1"/>
  <c r="AO128" i="35" s="1"/>
  <c r="AO129" i="35" s="1"/>
  <c r="AO130" i="35" s="1"/>
  <c r="AO131" i="35" s="1"/>
  <c r="AO132" i="35" s="1"/>
  <c r="AO133" i="35" s="1"/>
  <c r="AO134" i="35" s="1"/>
  <c r="AO135" i="35" s="1"/>
  <c r="AO136" i="35" s="1"/>
  <c r="AO137" i="35" s="1"/>
  <c r="AO138" i="35" s="1"/>
  <c r="AO139" i="35" s="1"/>
  <c r="AO140" i="35" s="1"/>
  <c r="AO141" i="35" s="1"/>
  <c r="AO142" i="35" s="1"/>
  <c r="AO143" i="35" s="1"/>
  <c r="AO144" i="35" s="1"/>
  <c r="AO145" i="35" s="1"/>
  <c r="AO146" i="35" s="1"/>
  <c r="AO147" i="35" s="1"/>
  <c r="AO148" i="35" s="1"/>
  <c r="AO149" i="35" s="1"/>
  <c r="AO150" i="35" s="1"/>
  <c r="AO151" i="35" s="1"/>
  <c r="AO152" i="35" s="1"/>
  <c r="D11" i="37301"/>
  <c r="B41" i="36"/>
  <c r="B40" i="36"/>
  <c r="D9" i="37301"/>
  <c r="D212" i="115"/>
  <c r="AI213" i="115" s="1"/>
  <c r="J213" i="115"/>
  <c r="K213" i="115" s="1"/>
  <c r="G212" i="115"/>
  <c r="I212" i="115"/>
  <c r="P9" i="31"/>
  <c r="I4" i="31"/>
  <c r="I16" i="31"/>
  <c r="D9" i="31"/>
  <c r="X19" i="31"/>
  <c r="X20" i="31" s="1"/>
  <c r="E6" i="29"/>
  <c r="H13" i="29" s="1"/>
  <c r="E8" i="29"/>
  <c r="E9" i="29"/>
  <c r="G16" i="29"/>
  <c r="E7" i="29"/>
  <c r="I14" i="29" s="1"/>
  <c r="H14" i="29"/>
  <c r="L528" i="29"/>
  <c r="L521" i="29"/>
  <c r="L514" i="29"/>
  <c r="L507" i="29"/>
  <c r="L500" i="29"/>
  <c r="L493" i="29"/>
  <c r="L486" i="29"/>
  <c r="L479" i="29"/>
  <c r="L472" i="29"/>
  <c r="L465" i="29"/>
  <c r="L458" i="29"/>
  <c r="L451" i="29"/>
  <c r="L444" i="29"/>
  <c r="L437" i="29"/>
  <c r="L430" i="29"/>
  <c r="L423" i="29"/>
  <c r="L416" i="29"/>
  <c r="L409" i="29"/>
  <c r="L402" i="29"/>
  <c r="L395" i="29"/>
  <c r="L388" i="29"/>
  <c r="L381" i="29"/>
  <c r="L374" i="29"/>
  <c r="L367" i="29"/>
  <c r="L360" i="29"/>
  <c r="L353" i="29"/>
  <c r="L346" i="29"/>
  <c r="L339" i="29"/>
  <c r="L332" i="29"/>
  <c r="L325" i="29"/>
  <c r="L318" i="29"/>
  <c r="L311" i="29"/>
  <c r="L304" i="29"/>
  <c r="L297" i="29"/>
  <c r="L290" i="29"/>
  <c r="L283" i="29"/>
  <c r="L276" i="29"/>
  <c r="L269" i="29"/>
  <c r="L262" i="29"/>
  <c r="L255" i="29"/>
  <c r="L248" i="29"/>
  <c r="L241" i="29"/>
  <c r="L234" i="29"/>
  <c r="L227" i="29"/>
  <c r="L220" i="29"/>
  <c r="L213" i="29"/>
  <c r="L206" i="29"/>
  <c r="L199" i="29"/>
  <c r="L192" i="29"/>
  <c r="L185" i="29"/>
  <c r="L178" i="29"/>
  <c r="L171" i="29"/>
  <c r="L164" i="29"/>
  <c r="L157" i="29"/>
  <c r="L150" i="29"/>
  <c r="L143" i="29"/>
  <c r="L136" i="29"/>
  <c r="L129" i="29"/>
  <c r="L122" i="29"/>
  <c r="L115" i="29"/>
  <c r="L108" i="29"/>
  <c r="L101" i="29"/>
  <c r="L94" i="29"/>
  <c r="L87" i="29"/>
  <c r="L80" i="29"/>
  <c r="L73" i="29"/>
  <c r="L66" i="29"/>
  <c r="L59" i="29"/>
  <c r="L52" i="29"/>
  <c r="L45" i="29"/>
  <c r="L38" i="29"/>
  <c r="L31" i="29"/>
  <c r="D9" i="29"/>
  <c r="D8" i="29"/>
  <c r="D7" i="29"/>
  <c r="D6" i="29"/>
  <c r="D10" i="29" s="1"/>
  <c r="I4" i="29"/>
  <c r="H4" i="29"/>
  <c r="G4" i="29"/>
  <c r="F4" i="29"/>
  <c r="L24" i="29"/>
  <c r="L17" i="29"/>
  <c r="I5" i="29"/>
  <c r="H5" i="29"/>
  <c r="G5" i="29"/>
  <c r="F5" i="29"/>
  <c r="S1" i="29"/>
  <c r="N20" i="28"/>
  <c r="N24" i="28" s="1"/>
  <c r="N22" i="28"/>
  <c r="N26" i="28" s="1"/>
  <c r="N21" i="28"/>
  <c r="N25" i="28" s="1"/>
  <c r="M32" i="28"/>
  <c r="O20" i="28"/>
  <c r="O21" i="28"/>
  <c r="O22" i="28"/>
  <c r="O23" i="28"/>
  <c r="O24" i="28"/>
  <c r="O25" i="28"/>
  <c r="O26" i="28"/>
  <c r="O27" i="28"/>
  <c r="O28" i="28"/>
  <c r="O29" i="28"/>
  <c r="O30" i="28"/>
  <c r="O31" i="28"/>
  <c r="O32" i="28"/>
  <c r="D5" i="28"/>
  <c r="G5" i="28" s="1"/>
  <c r="K19" i="28"/>
  <c r="E18" i="28"/>
  <c r="B47" i="28" s="1"/>
  <c r="E19" i="28"/>
  <c r="G19" i="28" s="1"/>
  <c r="E20" i="28"/>
  <c r="G20" i="28" s="1"/>
  <c r="E21" i="28"/>
  <c r="G21" i="28" s="1"/>
  <c r="E22" i="28"/>
  <c r="E23" i="28"/>
  <c r="B52" i="28" s="1"/>
  <c r="E24" i="28"/>
  <c r="F24" i="28" s="1"/>
  <c r="E25" i="28"/>
  <c r="E26" i="28"/>
  <c r="F26" i="28" s="1"/>
  <c r="E27" i="28"/>
  <c r="G27" i="28" s="1"/>
  <c r="E28" i="28"/>
  <c r="F28" i="28" s="1"/>
  <c r="E29" i="28"/>
  <c r="F29" i="28" s="1"/>
  <c r="E6" i="28"/>
  <c r="F6" i="28" s="1"/>
  <c r="E7" i="28"/>
  <c r="E8" i="28"/>
  <c r="B37" i="28"/>
  <c r="E9" i="28"/>
  <c r="F9" i="28" s="1"/>
  <c r="E10" i="28"/>
  <c r="B39" i="28" s="1"/>
  <c r="E11" i="28"/>
  <c r="E12" i="28"/>
  <c r="G12" i="28" s="1"/>
  <c r="E13" i="28"/>
  <c r="F13" i="28" s="1"/>
  <c r="B42" i="28"/>
  <c r="E14" i="28"/>
  <c r="F14" i="28" s="1"/>
  <c r="E15" i="28"/>
  <c r="E16" i="28"/>
  <c r="B45" i="28" s="1"/>
  <c r="E17" i="28"/>
  <c r="B46" i="28"/>
  <c r="B49" i="28"/>
  <c r="B50" i="28"/>
  <c r="B6" i="28"/>
  <c r="B7" i="28" s="1"/>
  <c r="B8" i="28" s="1"/>
  <c r="B9" i="28" s="1"/>
  <c r="B10" i="28" s="1"/>
  <c r="B11" i="28" s="1"/>
  <c r="B12" i="28" s="1"/>
  <c r="B13" i="28" s="1"/>
  <c r="B14" i="28" s="1"/>
  <c r="B15" i="28" s="1"/>
  <c r="B16" i="28" s="1"/>
  <c r="B17" i="28" s="1"/>
  <c r="B18" i="28" s="1"/>
  <c r="B19" i="28" s="1"/>
  <c r="B20" i="28" s="1"/>
  <c r="B21" i="28" s="1"/>
  <c r="B22" i="28" s="1"/>
  <c r="B23" i="28" s="1"/>
  <c r="B24" i="28" s="1"/>
  <c r="B25" i="28" s="1"/>
  <c r="B26" i="28" s="1"/>
  <c r="B27" i="28" s="1"/>
  <c r="B28" i="28" s="1"/>
  <c r="B29" i="28" s="1"/>
  <c r="B58" i="28"/>
  <c r="F5" i="28"/>
  <c r="C31" i="28"/>
  <c r="D31" i="28"/>
  <c r="G29" i="28"/>
  <c r="F27" i="28"/>
  <c r="G23" i="28"/>
  <c r="F21" i="28"/>
  <c r="G17" i="28"/>
  <c r="F17" i="28"/>
  <c r="G16" i="28"/>
  <c r="F16" i="28"/>
  <c r="G13" i="28"/>
  <c r="F10" i="28"/>
  <c r="G8" i="28"/>
  <c r="F8" i="28"/>
  <c r="G2" i="35"/>
  <c r="H2" i="35" l="1"/>
  <c r="K2" i="35" s="1"/>
  <c r="L19" i="28"/>
  <c r="X4" i="31"/>
  <c r="G10" i="28"/>
  <c r="F18" i="28"/>
  <c r="F12" i="28"/>
  <c r="F23" i="28"/>
  <c r="B38" i="28"/>
  <c r="G6" i="28"/>
  <c r="D55" i="35"/>
  <c r="D56" i="35" s="1"/>
  <c r="D57" i="35" s="1"/>
  <c r="D58" i="35" s="1"/>
  <c r="D54" i="35"/>
  <c r="F19" i="28"/>
  <c r="B48" i="28"/>
  <c r="G14" i="28"/>
  <c r="B41" i="28"/>
  <c r="G28" i="28"/>
  <c r="M31" i="28"/>
  <c r="N28" i="28" s="1"/>
  <c r="G9" i="28"/>
  <c r="B57" i="28"/>
  <c r="B35" i="28"/>
  <c r="J4" i="29"/>
  <c r="M4" i="29" s="1"/>
  <c r="F14" i="29"/>
  <c r="B55" i="28"/>
  <c r="G26" i="28"/>
  <c r="B43" i="28"/>
  <c r="I2" i="35"/>
  <c r="L2" i="35" s="1"/>
  <c r="J2" i="35"/>
  <c r="G11" i="28"/>
  <c r="B40" i="28"/>
  <c r="F11" i="28"/>
  <c r="E31" i="28"/>
  <c r="F31" i="28"/>
  <c r="B36" i="28"/>
  <c r="L18" i="28"/>
  <c r="F7" i="28"/>
  <c r="H7" i="28"/>
  <c r="G7" i="28"/>
  <c r="B44" i="28"/>
  <c r="G15" i="28"/>
  <c r="F15" i="28"/>
  <c r="G25" i="28"/>
  <c r="B54" i="28"/>
  <c r="H25" i="28"/>
  <c r="F25" i="28"/>
  <c r="O18" i="28"/>
  <c r="F22" i="28"/>
  <c r="B51" i="28"/>
  <c r="H22" i="28"/>
  <c r="G22" i="28"/>
  <c r="F15" i="29"/>
  <c r="G15" i="29"/>
  <c r="I15" i="29"/>
  <c r="H24" i="28"/>
  <c r="X18" i="31"/>
  <c r="X15" i="31"/>
  <c r="G18" i="28"/>
  <c r="G24" i="28"/>
  <c r="H27" i="28"/>
  <c r="B56" i="28"/>
  <c r="B53" i="28"/>
  <c r="F20" i="28"/>
  <c r="H16" i="28"/>
  <c r="H8" i="28"/>
  <c r="I13" i="29"/>
  <c r="I12" i="29" s="1"/>
  <c r="G13" i="29"/>
  <c r="X5" i="31"/>
  <c r="L213" i="115"/>
  <c r="L215" i="115" s="1"/>
  <c r="M215" i="115" s="1"/>
  <c r="N215" i="115" s="1"/>
  <c r="F16" i="29"/>
  <c r="H16" i="29"/>
  <c r="H12" i="29" s="1"/>
  <c r="AI212" i="115"/>
  <c r="AL3" i="35"/>
  <c r="G3" i="35"/>
  <c r="X6" i="31" l="1"/>
  <c r="X7" i="31" s="1"/>
  <c r="H3" i="35"/>
  <c r="K3" i="35" s="1"/>
  <c r="K18" i="28"/>
  <c r="N4" i="29"/>
  <c r="N18" i="28"/>
  <c r="J3" i="35"/>
  <c r="I3" i="35"/>
  <c r="L3" i="35" s="1"/>
  <c r="H21" i="29"/>
  <c r="H20" i="29"/>
  <c r="K15" i="29"/>
  <c r="M15" i="29" s="1"/>
  <c r="H23" i="29"/>
  <c r="I22" i="29"/>
  <c r="I21" i="29"/>
  <c r="K16" i="29"/>
  <c r="M16" i="29" s="1"/>
  <c r="I20" i="29"/>
  <c r="X21" i="31"/>
  <c r="I9" i="31"/>
  <c r="AL4" i="35"/>
  <c r="X8" i="31"/>
  <c r="AF11" i="31" s="1"/>
  <c r="AK12" i="31"/>
  <c r="AK13" i="31" s="1"/>
  <c r="AI12" i="31"/>
  <c r="AI13" i="31" s="1"/>
  <c r="X16" i="31"/>
  <c r="X17" i="31"/>
  <c r="AJ12" i="31"/>
  <c r="AJ13" i="31" s="1"/>
  <c r="AL12" i="31"/>
  <c r="AL13" i="31" s="1"/>
  <c r="AI214" i="115"/>
  <c r="M2" i="35"/>
  <c r="N6" i="36"/>
  <c r="H212" i="115"/>
  <c r="H213" i="115"/>
  <c r="G12" i="29"/>
  <c r="F12" i="29"/>
  <c r="H28" i="28"/>
  <c r="H19" i="28"/>
  <c r="H31" i="28"/>
  <c r="H13" i="28"/>
  <c r="H10" i="28"/>
  <c r="G31" i="28"/>
  <c r="H17" i="28"/>
  <c r="H26" i="28"/>
  <c r="H20" i="28"/>
  <c r="H11" i="28"/>
  <c r="H6" i="28"/>
  <c r="H9" i="28"/>
  <c r="H15" i="28"/>
  <c r="H29" i="28"/>
  <c r="H21" i="28"/>
  <c r="H23" i="28"/>
  <c r="H18" i="28"/>
  <c r="H14" i="28"/>
  <c r="H12" i="28"/>
  <c r="N2" i="35"/>
  <c r="M6" i="36"/>
  <c r="G4" i="35"/>
  <c r="H4" i="35" l="1"/>
  <c r="K4" i="35" s="1"/>
  <c r="AC12" i="31"/>
  <c r="AE12" i="31"/>
  <c r="Z11" i="31"/>
  <c r="AD12" i="31"/>
  <c r="I4" i="35"/>
  <c r="L4" i="35" s="1"/>
  <c r="J4" i="35"/>
  <c r="AC11" i="31"/>
  <c r="AD11" i="31"/>
  <c r="AE11" i="31"/>
  <c r="F23" i="29"/>
  <c r="F21" i="29"/>
  <c r="E21" i="29" s="1"/>
  <c r="F22" i="29"/>
  <c r="K13" i="29"/>
  <c r="AA11" i="31"/>
  <c r="G20" i="29"/>
  <c r="E20" i="29" s="1"/>
  <c r="G23" i="29"/>
  <c r="G22" i="29"/>
  <c r="K14" i="29"/>
  <c r="M14" i="29" s="1"/>
  <c r="M3" i="35"/>
  <c r="N7" i="36"/>
  <c r="AF12" i="31"/>
  <c r="AF13" i="31" s="1"/>
  <c r="AL5" i="35"/>
  <c r="Y12" i="31"/>
  <c r="AB12" i="31"/>
  <c r="N4" i="35"/>
  <c r="O2" i="35"/>
  <c r="I215" i="115"/>
  <c r="I216" i="115"/>
  <c r="H216" i="115"/>
  <c r="I217" i="115" s="1"/>
  <c r="I218" i="115" s="1"/>
  <c r="H215" i="115"/>
  <c r="H217" i="115" s="1"/>
  <c r="H218" i="115" s="1"/>
  <c r="J212" i="115"/>
  <c r="L212" i="115" s="1"/>
  <c r="L214" i="115" s="1"/>
  <c r="M214" i="115" s="1"/>
  <c r="N214" i="115" s="1"/>
  <c r="K212" i="115"/>
  <c r="AB11" i="31"/>
  <c r="AA12" i="31"/>
  <c r="Z12" i="31"/>
  <c r="Z13" i="31" s="1"/>
  <c r="Y11" i="31"/>
  <c r="M7" i="36"/>
  <c r="G5" i="35"/>
  <c r="H5" i="35" l="1"/>
  <c r="K5" i="35" s="1"/>
  <c r="E23" i="29"/>
  <c r="AD13" i="31"/>
  <c r="AE13" i="31"/>
  <c r="AC13" i="31"/>
  <c r="I5" i="35"/>
  <c r="L5" i="35" s="1"/>
  <c r="J5" i="35"/>
  <c r="I27" i="29"/>
  <c r="K20" i="29"/>
  <c r="G27" i="29"/>
  <c r="H27" i="29"/>
  <c r="AB13" i="31"/>
  <c r="K17" i="29"/>
  <c r="M13" i="29"/>
  <c r="E22" i="29"/>
  <c r="F30" i="29"/>
  <c r="H30" i="29"/>
  <c r="G30" i="29"/>
  <c r="K23" i="29"/>
  <c r="M23" i="29" s="1"/>
  <c r="AA13" i="31"/>
  <c r="M4" i="35"/>
  <c r="N8" i="36"/>
  <c r="Y13" i="31"/>
  <c r="M8" i="36"/>
  <c r="I28" i="29"/>
  <c r="H28" i="29"/>
  <c r="F28" i="29"/>
  <c r="K21" i="29"/>
  <c r="M21" i="29" s="1"/>
  <c r="AL6" i="35"/>
  <c r="G6" i="35"/>
  <c r="H6" i="35" l="1"/>
  <c r="K6" i="35" s="1"/>
  <c r="M7" i="31"/>
  <c r="M13" i="31"/>
  <c r="G7" i="31"/>
  <c r="AI11" i="31" s="1"/>
  <c r="G13" i="31"/>
  <c r="AK11" i="31" s="1"/>
  <c r="J6" i="35"/>
  <c r="I6" i="35"/>
  <c r="L6" i="35" s="1"/>
  <c r="AL7" i="35"/>
  <c r="G29" i="29"/>
  <c r="G26" i="29" s="1"/>
  <c r="I29" i="29"/>
  <c r="I26" i="29" s="1"/>
  <c r="F29" i="29"/>
  <c r="F26" i="29" s="1"/>
  <c r="K22" i="29"/>
  <c r="M22" i="29" s="1"/>
  <c r="AL11" i="31"/>
  <c r="M5" i="35"/>
  <c r="N9" i="36"/>
  <c r="M20" i="29"/>
  <c r="M14" i="31"/>
  <c r="F6" i="31" s="1"/>
  <c r="M6" i="31"/>
  <c r="H26" i="29"/>
  <c r="M9" i="36"/>
  <c r="G7" i="35"/>
  <c r="H7" i="35" l="1"/>
  <c r="K7" i="35" s="1"/>
  <c r="AJ11" i="31"/>
  <c r="F14" i="31"/>
  <c r="AM11" i="31"/>
  <c r="K24" i="29"/>
  <c r="J7" i="35"/>
  <c r="I7" i="35"/>
  <c r="L7" i="35" s="1"/>
  <c r="AO6" i="31"/>
  <c r="AP6" i="31" s="1"/>
  <c r="AQ6" i="31" s="1"/>
  <c r="AR6" i="31" s="1"/>
  <c r="AS6" i="31" s="1"/>
  <c r="I6" i="31"/>
  <c r="F9" i="31"/>
  <c r="AO5" i="31"/>
  <c r="AP5" i="31" s="1"/>
  <c r="AQ5" i="31" s="1"/>
  <c r="AR5" i="31" s="1"/>
  <c r="AS5" i="31" s="1"/>
  <c r="F11" i="31"/>
  <c r="I14" i="31"/>
  <c r="I36" i="29"/>
  <c r="I34" i="29"/>
  <c r="I35" i="29"/>
  <c r="K30" i="29"/>
  <c r="M30" i="29" s="1"/>
  <c r="M6" i="35"/>
  <c r="N10" i="36"/>
  <c r="H34" i="29"/>
  <c r="H37" i="29"/>
  <c r="K29" i="29"/>
  <c r="M29" i="29" s="1"/>
  <c r="H35" i="29"/>
  <c r="AL8" i="35"/>
  <c r="AO3" i="31"/>
  <c r="AP3" i="31" s="1"/>
  <c r="AQ3" i="31" s="1"/>
  <c r="AR3" i="31" s="1"/>
  <c r="AS3" i="31" s="1"/>
  <c r="K6" i="31"/>
  <c r="N9" i="31"/>
  <c r="F35" i="29"/>
  <c r="F36" i="29"/>
  <c r="F37" i="29"/>
  <c r="E37" i="29" s="1"/>
  <c r="K27" i="29"/>
  <c r="AO4" i="31"/>
  <c r="AP4" i="31" s="1"/>
  <c r="AQ4" i="31" s="1"/>
  <c r="AR4" i="31" s="1"/>
  <c r="AS4" i="31" s="1"/>
  <c r="K14" i="31"/>
  <c r="N11" i="31"/>
  <c r="G37" i="29"/>
  <c r="G36" i="29"/>
  <c r="G34" i="29"/>
  <c r="E34" i="29" s="1"/>
  <c r="K28" i="29"/>
  <c r="M28" i="29" s="1"/>
  <c r="M10" i="36"/>
  <c r="G8" i="35"/>
  <c r="H8" i="35" l="1"/>
  <c r="K8" i="35" s="1"/>
  <c r="J6" i="31"/>
  <c r="N10" i="31"/>
  <c r="E35" i="29"/>
  <c r="H42" i="29" s="1"/>
  <c r="J14" i="31"/>
  <c r="J8" i="35"/>
  <c r="I8" i="35"/>
  <c r="L8" i="35" s="1"/>
  <c r="G41" i="29"/>
  <c r="H41" i="29"/>
  <c r="I41" i="29"/>
  <c r="K34" i="29"/>
  <c r="K31" i="29"/>
  <c r="M27" i="29"/>
  <c r="H44" i="29"/>
  <c r="G44" i="29"/>
  <c r="F44" i="29"/>
  <c r="K37" i="29"/>
  <c r="M37" i="29" s="1"/>
  <c r="AL9" i="35"/>
  <c r="E36" i="29"/>
  <c r="M11" i="36"/>
  <c r="K35" i="29"/>
  <c r="M35" i="29" s="1"/>
  <c r="M7" i="35"/>
  <c r="N11" i="36"/>
  <c r="F10" i="31"/>
  <c r="G9" i="35"/>
  <c r="H9" i="35" l="1"/>
  <c r="K9" i="35" s="1"/>
  <c r="F42" i="29"/>
  <c r="I42" i="29"/>
  <c r="I9" i="35"/>
  <c r="L9" i="35" s="1"/>
  <c r="J9" i="35"/>
  <c r="M8" i="35"/>
  <c r="N12" i="36"/>
  <c r="H40" i="29"/>
  <c r="G43" i="29"/>
  <c r="G40" i="29" s="1"/>
  <c r="F43" i="29"/>
  <c r="F40" i="29" s="1"/>
  <c r="I43" i="29"/>
  <c r="I40" i="29" s="1"/>
  <c r="K36" i="29"/>
  <c r="M36" i="29" s="1"/>
  <c r="AL10" i="35"/>
  <c r="M34" i="29"/>
  <c r="M12" i="36"/>
  <c r="G10" i="35"/>
  <c r="H10" i="35" l="1"/>
  <c r="K10" i="35" s="1"/>
  <c r="I10" i="35"/>
  <c r="L10" i="35" s="1"/>
  <c r="J10" i="35"/>
  <c r="F51" i="29"/>
  <c r="F49" i="29"/>
  <c r="F50" i="29"/>
  <c r="K41" i="29"/>
  <c r="G50" i="29"/>
  <c r="G48" i="29"/>
  <c r="G51" i="29"/>
  <c r="K42" i="29"/>
  <c r="M42" i="29" s="1"/>
  <c r="AL11" i="35"/>
  <c r="I50" i="29"/>
  <c r="I49" i="29"/>
  <c r="I48" i="29"/>
  <c r="K44" i="29"/>
  <c r="M44" i="29" s="1"/>
  <c r="K38" i="29"/>
  <c r="H49" i="29"/>
  <c r="H48" i="29"/>
  <c r="H51" i="29"/>
  <c r="K43" i="29"/>
  <c r="M43" i="29" s="1"/>
  <c r="M9" i="35"/>
  <c r="N13" i="36"/>
  <c r="M13" i="36"/>
  <c r="G11" i="35"/>
  <c r="H11" i="35" l="1"/>
  <c r="K11" i="35" s="1"/>
  <c r="E51" i="29"/>
  <c r="H58" i="29" s="1"/>
  <c r="I11" i="35"/>
  <c r="L11" i="35" s="1"/>
  <c r="J11" i="35"/>
  <c r="K45" i="29"/>
  <c r="M41" i="29"/>
  <c r="E50" i="29"/>
  <c r="AL12" i="35"/>
  <c r="E49" i="29"/>
  <c r="N14" i="36"/>
  <c r="M10" i="35"/>
  <c r="E48" i="29"/>
  <c r="M14" i="36"/>
  <c r="G12" i="35"/>
  <c r="H12" i="35" l="1"/>
  <c r="K12" i="35" s="1"/>
  <c r="G58" i="29"/>
  <c r="K51" i="29"/>
  <c r="M51" i="29" s="1"/>
  <c r="F58" i="29"/>
  <c r="J12" i="35"/>
  <c r="I12" i="35"/>
  <c r="L12" i="35" s="1"/>
  <c r="H56" i="29"/>
  <c r="K49" i="29"/>
  <c r="M49" i="29" s="1"/>
  <c r="F56" i="29"/>
  <c r="I56" i="29"/>
  <c r="N15" i="36"/>
  <c r="M11" i="35"/>
  <c r="I55" i="29"/>
  <c r="K48" i="29"/>
  <c r="G55" i="29"/>
  <c r="H55" i="29"/>
  <c r="AL13" i="35"/>
  <c r="F57" i="29"/>
  <c r="I57" i="29"/>
  <c r="G57" i="29"/>
  <c r="K50" i="29"/>
  <c r="M50" i="29" s="1"/>
  <c r="M15" i="36"/>
  <c r="G13" i="35"/>
  <c r="H13" i="35" l="1"/>
  <c r="K13" i="35" s="1"/>
  <c r="I13" i="35"/>
  <c r="L13" i="35" s="1"/>
  <c r="J13" i="35"/>
  <c r="K52" i="29"/>
  <c r="M48" i="29"/>
  <c r="I54" i="29"/>
  <c r="F54" i="29"/>
  <c r="AL14" i="35"/>
  <c r="H54" i="29"/>
  <c r="M16" i="36"/>
  <c r="M12" i="35"/>
  <c r="N16" i="36"/>
  <c r="G54" i="29"/>
  <c r="G14" i="35"/>
  <c r="H14" i="35" l="1"/>
  <c r="K14" i="35" s="1"/>
  <c r="I14" i="35"/>
  <c r="L14" i="35" s="1"/>
  <c r="J14" i="35"/>
  <c r="I64" i="29"/>
  <c r="I63" i="29"/>
  <c r="K58" i="29"/>
  <c r="M58" i="29" s="1"/>
  <c r="I62" i="29"/>
  <c r="F63" i="29"/>
  <c r="F64" i="29"/>
  <c r="F65" i="29"/>
  <c r="K55" i="29"/>
  <c r="H62" i="29"/>
  <c r="H63" i="29"/>
  <c r="K57" i="29"/>
  <c r="M57" i="29" s="1"/>
  <c r="H65" i="29"/>
  <c r="M13" i="35"/>
  <c r="N17" i="36"/>
  <c r="AL15" i="35"/>
  <c r="G62" i="29"/>
  <c r="G65" i="29"/>
  <c r="G64" i="29"/>
  <c r="K56" i="29"/>
  <c r="M56" i="29" s="1"/>
  <c r="M17" i="36"/>
  <c r="G15" i="35"/>
  <c r="H15" i="35" l="1"/>
  <c r="K15" i="35" s="1"/>
  <c r="E65" i="29"/>
  <c r="I15" i="35"/>
  <c r="L15" i="35" s="1"/>
  <c r="J15" i="35"/>
  <c r="AL16" i="35"/>
  <c r="K59" i="29"/>
  <c r="M55" i="29"/>
  <c r="E64" i="29"/>
  <c r="M14" i="35"/>
  <c r="N18" i="36"/>
  <c r="H72" i="29"/>
  <c r="G72" i="29"/>
  <c r="F72" i="29"/>
  <c r="K65" i="29"/>
  <c r="M65" i="29" s="1"/>
  <c r="E63" i="29"/>
  <c r="M18" i="36"/>
  <c r="E62" i="29"/>
  <c r="G16" i="35"/>
  <c r="H16" i="35" l="1"/>
  <c r="K16" i="35" s="1"/>
  <c r="I16" i="35"/>
  <c r="L16" i="35" s="1"/>
  <c r="J16" i="35"/>
  <c r="G69" i="29"/>
  <c r="H69" i="29"/>
  <c r="K62" i="29"/>
  <c r="I69" i="29"/>
  <c r="I68" i="29" s="1"/>
  <c r="AL17" i="35"/>
  <c r="I70" i="29"/>
  <c r="F70" i="29"/>
  <c r="H70" i="29"/>
  <c r="K63" i="29"/>
  <c r="M63" i="29" s="1"/>
  <c r="M15" i="35"/>
  <c r="N19" i="36"/>
  <c r="G71" i="29"/>
  <c r="F71" i="29"/>
  <c r="I71" i="29"/>
  <c r="K64" i="29"/>
  <c r="M64" i="29" s="1"/>
  <c r="M19" i="36"/>
  <c r="G17" i="35"/>
  <c r="H17" i="35" l="1"/>
  <c r="K17" i="35" s="1"/>
  <c r="I17" i="35"/>
  <c r="L17" i="35" s="1"/>
  <c r="J17" i="35"/>
  <c r="I78" i="29"/>
  <c r="I76" i="29"/>
  <c r="K72" i="29"/>
  <c r="M72" i="29" s="1"/>
  <c r="I77" i="29"/>
  <c r="K66" i="29"/>
  <c r="M62" i="29"/>
  <c r="F68" i="29"/>
  <c r="H68" i="29"/>
  <c r="M16" i="35"/>
  <c r="N20" i="36"/>
  <c r="G68" i="29"/>
  <c r="AL18" i="35"/>
  <c r="M20" i="36"/>
  <c r="G18" i="35"/>
  <c r="H18" i="35" l="1"/>
  <c r="K18" i="35" s="1"/>
  <c r="I18" i="35"/>
  <c r="L18" i="35" s="1"/>
  <c r="J18" i="35"/>
  <c r="AL19" i="35"/>
  <c r="F79" i="29"/>
  <c r="F78" i="29"/>
  <c r="F77" i="29"/>
  <c r="K69" i="29"/>
  <c r="N21" i="36"/>
  <c r="M17" i="35"/>
  <c r="P10" i="35" s="1"/>
  <c r="Q12" i="36" s="1"/>
  <c r="P9" i="35"/>
  <c r="Q11" i="36" s="1"/>
  <c r="M21" i="36"/>
  <c r="H77" i="29"/>
  <c r="H79" i="29"/>
  <c r="H76" i="29"/>
  <c r="K71" i="29"/>
  <c r="M71" i="29" s="1"/>
  <c r="G78" i="29"/>
  <c r="G76" i="29"/>
  <c r="G79" i="29"/>
  <c r="K70" i="29"/>
  <c r="M70" i="29" s="1"/>
  <c r="G19" i="35"/>
  <c r="H19" i="35" l="1"/>
  <c r="K19" i="35" s="1"/>
  <c r="E77" i="29"/>
  <c r="F84" i="29" s="1"/>
  <c r="J19" i="35"/>
  <c r="I19" i="35"/>
  <c r="L19" i="35" s="1"/>
  <c r="I84" i="29"/>
  <c r="E76" i="29"/>
  <c r="E78" i="29"/>
  <c r="M18" i="35"/>
  <c r="N22" i="36"/>
  <c r="K73" i="29"/>
  <c r="M69" i="29"/>
  <c r="E79" i="29"/>
  <c r="M22" i="36"/>
  <c r="AL20" i="35"/>
  <c r="G20" i="35"/>
  <c r="H20" i="35" l="1"/>
  <c r="K20" i="35" s="1"/>
  <c r="K77" i="29"/>
  <c r="M77" i="29" s="1"/>
  <c r="H84" i="29"/>
  <c r="I20" i="35"/>
  <c r="L20" i="35" s="1"/>
  <c r="J20" i="35"/>
  <c r="M19" i="35"/>
  <c r="N23" i="36"/>
  <c r="G83" i="29"/>
  <c r="H83" i="29"/>
  <c r="I83" i="29"/>
  <c r="K76" i="29"/>
  <c r="H86" i="29"/>
  <c r="G86" i="29"/>
  <c r="K79" i="29"/>
  <c r="M79" i="29" s="1"/>
  <c r="F86" i="29"/>
  <c r="F85" i="29"/>
  <c r="F82" i="29" s="1"/>
  <c r="I85" i="29"/>
  <c r="G85" i="29"/>
  <c r="K78" i="29"/>
  <c r="M78" i="29" s="1"/>
  <c r="AL21" i="35"/>
  <c r="M23" i="36"/>
  <c r="G21" i="35"/>
  <c r="H21" i="35" l="1"/>
  <c r="K21" i="35" s="1"/>
  <c r="G82" i="29"/>
  <c r="I21" i="35"/>
  <c r="L21" i="35" s="1"/>
  <c r="J21" i="35"/>
  <c r="I82" i="29"/>
  <c r="F91" i="29"/>
  <c r="F92" i="29"/>
  <c r="F93" i="29"/>
  <c r="K83" i="29"/>
  <c r="M76" i="29"/>
  <c r="K80" i="29"/>
  <c r="M20" i="35"/>
  <c r="N24" i="36"/>
  <c r="H82" i="29"/>
  <c r="G90" i="29"/>
  <c r="G93" i="29"/>
  <c r="G92" i="29"/>
  <c r="K84" i="29"/>
  <c r="M84" i="29" s="1"/>
  <c r="AL22" i="35"/>
  <c r="M24" i="36"/>
  <c r="G22" i="35"/>
  <c r="H22" i="35" l="1"/>
  <c r="K22" i="35" s="1"/>
  <c r="I22" i="35"/>
  <c r="L22" i="35" s="1"/>
  <c r="J22" i="35"/>
  <c r="K87" i="29"/>
  <c r="M83" i="29"/>
  <c r="M21" i="35"/>
  <c r="N25" i="36"/>
  <c r="I92" i="29"/>
  <c r="E92" i="29" s="1"/>
  <c r="I91" i="29"/>
  <c r="K86" i="29"/>
  <c r="M86" i="29" s="1"/>
  <c r="I90" i="29"/>
  <c r="AL23" i="35"/>
  <c r="H90" i="29"/>
  <c r="H93" i="29"/>
  <c r="E93" i="29" s="1"/>
  <c r="H91" i="29"/>
  <c r="K85" i="29"/>
  <c r="M85" i="29" s="1"/>
  <c r="M25" i="36"/>
  <c r="G23" i="35"/>
  <c r="H23" i="35" l="1"/>
  <c r="K23" i="35" s="1"/>
  <c r="E91" i="29"/>
  <c r="E90" i="29"/>
  <c r="I23" i="35"/>
  <c r="L23" i="35" s="1"/>
  <c r="J23" i="35"/>
  <c r="G99" i="29"/>
  <c r="I99" i="29"/>
  <c r="F99" i="29"/>
  <c r="K92" i="29"/>
  <c r="M92" i="29" s="1"/>
  <c r="H100" i="29"/>
  <c r="G100" i="29"/>
  <c r="K93" i="29"/>
  <c r="M93" i="29" s="1"/>
  <c r="F100" i="29"/>
  <c r="I98" i="29"/>
  <c r="F98" i="29"/>
  <c r="K91" i="29"/>
  <c r="M91" i="29" s="1"/>
  <c r="H98" i="29"/>
  <c r="G97" i="29"/>
  <c r="I97" i="29"/>
  <c r="H97" i="29"/>
  <c r="K90" i="29"/>
  <c r="M22" i="35"/>
  <c r="N26" i="36"/>
  <c r="M26" i="36"/>
  <c r="AL24" i="35"/>
  <c r="G24" i="35"/>
  <c r="H24" i="35" l="1"/>
  <c r="K24" i="35" s="1"/>
  <c r="I24" i="35"/>
  <c r="L24" i="35" s="1"/>
  <c r="J24" i="35"/>
  <c r="F96" i="29"/>
  <c r="M23" i="35"/>
  <c r="N27" i="36"/>
  <c r="K94" i="29"/>
  <c r="M90" i="29"/>
  <c r="H96" i="29"/>
  <c r="I96" i="29"/>
  <c r="AL25" i="35"/>
  <c r="G96" i="29"/>
  <c r="M27" i="36"/>
  <c r="G25" i="35"/>
  <c r="H25" i="35" l="1"/>
  <c r="K25" i="35" s="1"/>
  <c r="I25" i="35"/>
  <c r="L25" i="35" s="1"/>
  <c r="J25" i="35"/>
  <c r="I106" i="29"/>
  <c r="I105" i="29"/>
  <c r="K100" i="29"/>
  <c r="M100" i="29" s="1"/>
  <c r="I104" i="29"/>
  <c r="H105" i="29"/>
  <c r="H104" i="29"/>
  <c r="K99" i="29"/>
  <c r="M99" i="29" s="1"/>
  <c r="H107" i="29"/>
  <c r="M24" i="35"/>
  <c r="N28" i="36"/>
  <c r="G106" i="29"/>
  <c r="G107" i="29"/>
  <c r="G104" i="29"/>
  <c r="K98" i="29"/>
  <c r="M98" i="29" s="1"/>
  <c r="AL26" i="35"/>
  <c r="F107" i="29"/>
  <c r="K97" i="29"/>
  <c r="F105" i="29"/>
  <c r="F106" i="29"/>
  <c r="M28" i="36"/>
  <c r="G26" i="35"/>
  <c r="H26" i="35" l="1"/>
  <c r="K26" i="35" s="1"/>
  <c r="E104" i="29"/>
  <c r="I111" i="29" s="1"/>
  <c r="I26" i="35"/>
  <c r="L26" i="35" s="1"/>
  <c r="J26" i="35"/>
  <c r="AL27" i="35"/>
  <c r="E106" i="29"/>
  <c r="M29" i="36"/>
  <c r="K101" i="29"/>
  <c r="M97" i="29"/>
  <c r="M25" i="35"/>
  <c r="N29" i="36"/>
  <c r="E105" i="29"/>
  <c r="E107" i="29"/>
  <c r="G27" i="35"/>
  <c r="H27" i="35" l="1"/>
  <c r="K27" i="35" s="1"/>
  <c r="K104" i="29"/>
  <c r="G111" i="29"/>
  <c r="H111" i="29"/>
  <c r="J27" i="35"/>
  <c r="I27" i="35"/>
  <c r="L27" i="35" s="1"/>
  <c r="H112" i="29"/>
  <c r="H110" i="29" s="1"/>
  <c r="K105" i="29"/>
  <c r="M105" i="29" s="1"/>
  <c r="F112" i="29"/>
  <c r="I112" i="29"/>
  <c r="M26" i="35"/>
  <c r="N30" i="36"/>
  <c r="AL28" i="35"/>
  <c r="H114" i="29"/>
  <c r="K107" i="29"/>
  <c r="M107" i="29" s="1"/>
  <c r="G114" i="29"/>
  <c r="F114" i="29"/>
  <c r="M104" i="29"/>
  <c r="F113" i="29"/>
  <c r="I113" i="29"/>
  <c r="G113" i="29"/>
  <c r="K106" i="29"/>
  <c r="M106" i="29" s="1"/>
  <c r="M30" i="36"/>
  <c r="G28" i="35"/>
  <c r="H28" i="35" l="1"/>
  <c r="K28" i="35" s="1"/>
  <c r="I110" i="29"/>
  <c r="F110" i="29"/>
  <c r="K108" i="29"/>
  <c r="G110" i="29"/>
  <c r="I28" i="35"/>
  <c r="L28" i="35" s="1"/>
  <c r="J28" i="35"/>
  <c r="H118" i="29"/>
  <c r="H119" i="29"/>
  <c r="K113" i="29"/>
  <c r="M113" i="29" s="1"/>
  <c r="H121" i="29"/>
  <c r="G118" i="29"/>
  <c r="G121" i="29"/>
  <c r="G120" i="29"/>
  <c r="K112" i="29"/>
  <c r="M112" i="29" s="1"/>
  <c r="F119" i="29"/>
  <c r="F120" i="29"/>
  <c r="F121" i="29"/>
  <c r="K111" i="29"/>
  <c r="AL29" i="35"/>
  <c r="I120" i="29"/>
  <c r="I119" i="29"/>
  <c r="K114" i="29"/>
  <c r="M114" i="29" s="1"/>
  <c r="I118" i="29"/>
  <c r="M27" i="35"/>
  <c r="G29" i="35"/>
  <c r="H29" i="35" l="1"/>
  <c r="K29" i="35" s="1"/>
  <c r="I29" i="35"/>
  <c r="L29" i="35" s="1"/>
  <c r="J29" i="35"/>
  <c r="E120" i="29"/>
  <c r="E121" i="29"/>
  <c r="E119" i="29"/>
  <c r="M28" i="35"/>
  <c r="AL30" i="35"/>
  <c r="K115" i="29"/>
  <c r="M111" i="29"/>
  <c r="E118" i="29"/>
  <c r="G30" i="35"/>
  <c r="H30" i="35" l="1"/>
  <c r="K30" i="35" s="1"/>
  <c r="I30" i="35"/>
  <c r="L30" i="35" s="1"/>
  <c r="J30" i="35"/>
  <c r="I126" i="29"/>
  <c r="F126" i="29"/>
  <c r="H126" i="29"/>
  <c r="K119" i="29"/>
  <c r="M119" i="29" s="1"/>
  <c r="H128" i="29"/>
  <c r="G128" i="29"/>
  <c r="F128" i="29"/>
  <c r="K121" i="29"/>
  <c r="M121" i="29" s="1"/>
  <c r="AL31" i="35"/>
  <c r="M29" i="35"/>
  <c r="G127" i="29"/>
  <c r="F127" i="29"/>
  <c r="I127" i="29"/>
  <c r="K120" i="29"/>
  <c r="M120" i="29" s="1"/>
  <c r="G125" i="29"/>
  <c r="H125" i="29"/>
  <c r="I125" i="29"/>
  <c r="K118" i="29"/>
  <c r="G31" i="35"/>
  <c r="H31" i="35" l="1"/>
  <c r="K31" i="35" s="1"/>
  <c r="G124" i="29"/>
  <c r="I31" i="35"/>
  <c r="L31" i="35" s="1"/>
  <c r="J31" i="35"/>
  <c r="F124" i="29"/>
  <c r="G134" i="29"/>
  <c r="G135" i="29"/>
  <c r="G132" i="29"/>
  <c r="K126" i="29"/>
  <c r="M126" i="29" s="1"/>
  <c r="K122" i="29"/>
  <c r="M118" i="29"/>
  <c r="M30" i="35"/>
  <c r="I124" i="29"/>
  <c r="AL32" i="35"/>
  <c r="H124" i="29"/>
  <c r="G32" i="35"/>
  <c r="H32" i="35" l="1"/>
  <c r="K32" i="35" s="1"/>
  <c r="J32" i="35"/>
  <c r="I32" i="35"/>
  <c r="L32" i="35" s="1"/>
  <c r="I134" i="29"/>
  <c r="I133" i="29"/>
  <c r="K128" i="29"/>
  <c r="M128" i="29" s="1"/>
  <c r="I132" i="29"/>
  <c r="M31" i="35"/>
  <c r="F135" i="29"/>
  <c r="F133" i="29"/>
  <c r="F134" i="29"/>
  <c r="K125" i="29"/>
  <c r="H133" i="29"/>
  <c r="K127" i="29"/>
  <c r="M127" i="29" s="1"/>
  <c r="H132" i="29"/>
  <c r="H135" i="29"/>
  <c r="AL33" i="35"/>
  <c r="G33" i="35"/>
  <c r="H33" i="35" l="1"/>
  <c r="K33" i="35" s="1"/>
  <c r="E132" i="29"/>
  <c r="E135" i="29"/>
  <c r="I33" i="35"/>
  <c r="L33" i="35" s="1"/>
  <c r="J33" i="35"/>
  <c r="H139" i="29"/>
  <c r="I139" i="29"/>
  <c r="K132" i="29"/>
  <c r="G139" i="29"/>
  <c r="AL34" i="35"/>
  <c r="E134" i="29"/>
  <c r="E133" i="29"/>
  <c r="K129" i="29"/>
  <c r="M125" i="29"/>
  <c r="H142" i="29"/>
  <c r="F142" i="29"/>
  <c r="G142" i="29"/>
  <c r="K135" i="29"/>
  <c r="M135" i="29" s="1"/>
  <c r="M32" i="35"/>
  <c r="G34" i="35"/>
  <c r="H34" i="35" l="1"/>
  <c r="K34" i="35" s="1"/>
  <c r="I34" i="35"/>
  <c r="L34" i="35" s="1"/>
  <c r="J34" i="35"/>
  <c r="M132" i="29"/>
  <c r="F141" i="29"/>
  <c r="I141" i="29"/>
  <c r="G141" i="29"/>
  <c r="G138" i="29" s="1"/>
  <c r="K134" i="29"/>
  <c r="M134" i="29" s="1"/>
  <c r="M33" i="35"/>
  <c r="H140" i="29"/>
  <c r="H138" i="29" s="1"/>
  <c r="K133" i="29"/>
  <c r="M133" i="29" s="1"/>
  <c r="F140" i="29"/>
  <c r="I140" i="29"/>
  <c r="AL35" i="35"/>
  <c r="G35" i="35"/>
  <c r="H35" i="35" l="1"/>
  <c r="K35" i="35" s="1"/>
  <c r="I138" i="29"/>
  <c r="I147" i="29" s="1"/>
  <c r="J35" i="35"/>
  <c r="I35" i="35"/>
  <c r="L35" i="35" s="1"/>
  <c r="G146" i="29"/>
  <c r="G149" i="29"/>
  <c r="G148" i="29"/>
  <c r="K140" i="29"/>
  <c r="M140" i="29" s="1"/>
  <c r="H146" i="29"/>
  <c r="H149" i="29"/>
  <c r="H147" i="29"/>
  <c r="K141" i="29"/>
  <c r="M141" i="29" s="1"/>
  <c r="I146" i="29"/>
  <c r="F138" i="29"/>
  <c r="K136" i="29"/>
  <c r="AL36" i="35"/>
  <c r="M34" i="35"/>
  <c r="G36" i="35"/>
  <c r="H36" i="35" l="1"/>
  <c r="K36" i="35" s="1"/>
  <c r="I148" i="29"/>
  <c r="E146" i="29"/>
  <c r="K142" i="29"/>
  <c r="M142" i="29" s="1"/>
  <c r="J36" i="35"/>
  <c r="I36" i="35"/>
  <c r="L36" i="35" s="1"/>
  <c r="AL37" i="35"/>
  <c r="G153" i="29"/>
  <c r="H153" i="29"/>
  <c r="K146" i="29"/>
  <c r="I153" i="29"/>
  <c r="Q35" i="35"/>
  <c r="T35" i="35"/>
  <c r="S35" i="35"/>
  <c r="F147" i="29"/>
  <c r="E147" i="29" s="1"/>
  <c r="F148" i="29"/>
  <c r="E148" i="29" s="1"/>
  <c r="K139" i="29"/>
  <c r="F149" i="29"/>
  <c r="E149" i="29" s="1"/>
  <c r="R35" i="35"/>
  <c r="M35" i="35"/>
  <c r="G37" i="35"/>
  <c r="H37" i="35" l="1"/>
  <c r="K37" i="35" s="1"/>
  <c r="I37" i="35"/>
  <c r="L37" i="35" s="1"/>
  <c r="J37" i="35"/>
  <c r="I154" i="29"/>
  <c r="F154" i="29"/>
  <c r="H154" i="29"/>
  <c r="H152" i="29" s="1"/>
  <c r="K147" i="29"/>
  <c r="M147" i="29" s="1"/>
  <c r="AL38" i="35"/>
  <c r="G155" i="29"/>
  <c r="I155" i="29"/>
  <c r="F155" i="29"/>
  <c r="K148" i="29"/>
  <c r="M148" i="29" s="1"/>
  <c r="M36" i="35"/>
  <c r="R36" i="35"/>
  <c r="H156" i="29"/>
  <c r="G156" i="29"/>
  <c r="K149" i="29"/>
  <c r="M149" i="29" s="1"/>
  <c r="F156" i="29"/>
  <c r="K143" i="29"/>
  <c r="M139" i="29"/>
  <c r="M146" i="29"/>
  <c r="Q36" i="35"/>
  <c r="T36" i="35"/>
  <c r="S36" i="35"/>
  <c r="G38" i="35"/>
  <c r="H38" i="35" l="1"/>
  <c r="K38" i="35" s="1"/>
  <c r="I152" i="29"/>
  <c r="G152" i="29"/>
  <c r="F152" i="29"/>
  <c r="F163" i="29" s="1"/>
  <c r="E163" i="29" s="1"/>
  <c r="K150" i="29"/>
  <c r="J38" i="35"/>
  <c r="I38" i="35"/>
  <c r="L38" i="35" s="1"/>
  <c r="G162" i="29"/>
  <c r="G163" i="29"/>
  <c r="G160" i="29"/>
  <c r="K154" i="29"/>
  <c r="M154" i="29" s="1"/>
  <c r="H161" i="29"/>
  <c r="H163" i="29"/>
  <c r="K155" i="29"/>
  <c r="M155" i="29" s="1"/>
  <c r="H160" i="29"/>
  <c r="K153" i="29"/>
  <c r="R37" i="35"/>
  <c r="M37" i="35"/>
  <c r="AL39" i="35"/>
  <c r="I162" i="29"/>
  <c r="I160" i="29"/>
  <c r="I161" i="29"/>
  <c r="K156" i="29"/>
  <c r="M156" i="29" s="1"/>
  <c r="T37" i="35"/>
  <c r="S37" i="35"/>
  <c r="Q37" i="35"/>
  <c r="G39" i="35"/>
  <c r="H39" i="35" l="1"/>
  <c r="K39" i="35" s="1"/>
  <c r="F161" i="29"/>
  <c r="F162" i="29"/>
  <c r="I39" i="35"/>
  <c r="L39" i="35" s="1"/>
  <c r="J39" i="35"/>
  <c r="K157" i="29"/>
  <c r="M153" i="29"/>
  <c r="E161" i="29"/>
  <c r="E160" i="29"/>
  <c r="AL40" i="35"/>
  <c r="E162" i="29"/>
  <c r="H170" i="29"/>
  <c r="G170" i="29"/>
  <c r="F170" i="29"/>
  <c r="K163" i="29"/>
  <c r="M163" i="29" s="1"/>
  <c r="S38" i="35"/>
  <c r="Q38" i="35"/>
  <c r="T38" i="35"/>
  <c r="M38" i="35"/>
  <c r="R38" i="35"/>
  <c r="G40" i="35"/>
  <c r="H40" i="35" l="1"/>
  <c r="K40" i="35" s="1"/>
  <c r="I40" i="35"/>
  <c r="L40" i="35" s="1"/>
  <c r="J40" i="35"/>
  <c r="H168" i="29"/>
  <c r="K161" i="29"/>
  <c r="M161" i="29" s="1"/>
  <c r="I168" i="29"/>
  <c r="F168" i="29"/>
  <c r="F166" i="29" s="1"/>
  <c r="F169" i="29"/>
  <c r="I169" i="29"/>
  <c r="G169" i="29"/>
  <c r="K162" i="29"/>
  <c r="M162" i="29" s="1"/>
  <c r="M39" i="35"/>
  <c r="R39" i="35"/>
  <c r="I167" i="29"/>
  <c r="I166" i="29" s="1"/>
  <c r="G167" i="29"/>
  <c r="G166" i="29" s="1"/>
  <c r="H167" i="29"/>
  <c r="K160" i="29"/>
  <c r="AL41" i="35"/>
  <c r="S39" i="35"/>
  <c r="Q39" i="35"/>
  <c r="T39" i="35"/>
  <c r="G41" i="35"/>
  <c r="H41" i="35" l="1"/>
  <c r="K41" i="35" s="1"/>
  <c r="I41" i="35"/>
  <c r="L41" i="35" s="1"/>
  <c r="J41" i="35"/>
  <c r="I176" i="29"/>
  <c r="I175" i="29"/>
  <c r="K170" i="29"/>
  <c r="M170" i="29" s="1"/>
  <c r="I174" i="29"/>
  <c r="AL42" i="35"/>
  <c r="M40" i="35"/>
  <c r="R40" i="35"/>
  <c r="F175" i="29"/>
  <c r="F176" i="29"/>
  <c r="F177" i="29"/>
  <c r="K167" i="29"/>
  <c r="K164" i="29"/>
  <c r="M160" i="29"/>
  <c r="T40" i="35"/>
  <c r="S40" i="35"/>
  <c r="Q40" i="35"/>
  <c r="G174" i="29"/>
  <c r="G177" i="29"/>
  <c r="G176" i="29"/>
  <c r="K168" i="29"/>
  <c r="M168" i="29" s="1"/>
  <c r="H166" i="29"/>
  <c r="G42" i="35"/>
  <c r="H42" i="35" l="1"/>
  <c r="K42" i="35" s="1"/>
  <c r="I42" i="35"/>
  <c r="L42" i="35" s="1"/>
  <c r="J42" i="35"/>
  <c r="E176" i="29"/>
  <c r="K171" i="29"/>
  <c r="M167" i="29"/>
  <c r="Q41" i="35"/>
  <c r="T41" i="35"/>
  <c r="S41" i="35"/>
  <c r="H174" i="29"/>
  <c r="E174" i="29" s="1"/>
  <c r="H177" i="29"/>
  <c r="E177" i="29" s="1"/>
  <c r="K169" i="29"/>
  <c r="M169" i="29" s="1"/>
  <c r="H175" i="29"/>
  <c r="E175" i="29" s="1"/>
  <c r="AL43" i="35"/>
  <c r="M41" i="35"/>
  <c r="R41" i="35"/>
  <c r="G43" i="35"/>
  <c r="H43" i="35" l="1"/>
  <c r="K43" i="35" s="1"/>
  <c r="I43" i="35"/>
  <c r="L43" i="35" s="1"/>
  <c r="J43" i="35"/>
  <c r="G181" i="29"/>
  <c r="I181" i="29"/>
  <c r="H181" i="29"/>
  <c r="K174" i="29"/>
  <c r="G183" i="29"/>
  <c r="K176" i="29"/>
  <c r="M176" i="29" s="1"/>
  <c r="I183" i="29"/>
  <c r="F183" i="29"/>
  <c r="I182" i="29"/>
  <c r="F182" i="29"/>
  <c r="H182" i="29"/>
  <c r="K175" i="29"/>
  <c r="M175" i="29" s="1"/>
  <c r="M42" i="35"/>
  <c r="R42" i="35"/>
  <c r="H184" i="29"/>
  <c r="G184" i="29"/>
  <c r="F184" i="29"/>
  <c r="K177" i="29"/>
  <c r="M177" i="29" s="1"/>
  <c r="AL44" i="35"/>
  <c r="S42" i="35"/>
  <c r="Q42" i="35"/>
  <c r="T42" i="35"/>
  <c r="G44" i="35"/>
  <c r="H44" i="35" l="1"/>
  <c r="K44" i="35" s="1"/>
  <c r="G180" i="29"/>
  <c r="G190" i="29" s="1"/>
  <c r="I44" i="35"/>
  <c r="L44" i="35" s="1"/>
  <c r="J44" i="35"/>
  <c r="H180" i="29"/>
  <c r="F180" i="29"/>
  <c r="I180" i="29"/>
  <c r="AL45" i="35"/>
  <c r="K178" i="29"/>
  <c r="M174" i="29"/>
  <c r="G188" i="29"/>
  <c r="K182" i="29"/>
  <c r="M182" i="29" s="1"/>
  <c r="T43" i="35"/>
  <c r="S43" i="35"/>
  <c r="Q43" i="35"/>
  <c r="R43" i="35"/>
  <c r="M43" i="35"/>
  <c r="G45" i="35"/>
  <c r="H45" i="35" l="1"/>
  <c r="K45" i="35" s="1"/>
  <c r="G191" i="29"/>
  <c r="I45" i="35"/>
  <c r="L45" i="35" s="1"/>
  <c r="J45" i="35"/>
  <c r="AL46" i="35"/>
  <c r="I190" i="29"/>
  <c r="I189" i="29"/>
  <c r="K184" i="29"/>
  <c r="M184" i="29" s="1"/>
  <c r="I188" i="29"/>
  <c r="F191" i="29"/>
  <c r="F190" i="29"/>
  <c r="K181" i="29"/>
  <c r="F189" i="29"/>
  <c r="H189" i="29"/>
  <c r="H188" i="29"/>
  <c r="E188" i="29" s="1"/>
  <c r="K183" i="29"/>
  <c r="M183" i="29" s="1"/>
  <c r="H191" i="29"/>
  <c r="R44" i="35"/>
  <c r="M44" i="35"/>
  <c r="Q44" i="35"/>
  <c r="T44" i="35"/>
  <c r="S44" i="35"/>
  <c r="G46" i="35"/>
  <c r="H46" i="35" l="1"/>
  <c r="K46" i="35" s="1"/>
  <c r="E191" i="29"/>
  <c r="I46" i="35"/>
  <c r="L46" i="35" s="1"/>
  <c r="J46" i="35"/>
  <c r="E189" i="29"/>
  <c r="K185" i="29"/>
  <c r="M181" i="29"/>
  <c r="AL47" i="35"/>
  <c r="E190" i="29"/>
  <c r="H198" i="29"/>
  <c r="F198" i="29"/>
  <c r="G198" i="29"/>
  <c r="K191" i="29"/>
  <c r="M191" i="29" s="1"/>
  <c r="M45" i="35"/>
  <c r="R45" i="35"/>
  <c r="G195" i="29"/>
  <c r="H195" i="29"/>
  <c r="I195" i="29"/>
  <c r="K188" i="29"/>
  <c r="T45" i="35"/>
  <c r="Q45" i="35"/>
  <c r="S45" i="35"/>
  <c r="G47" i="35"/>
  <c r="H47" i="35" l="1"/>
  <c r="K47" i="35" s="1"/>
  <c r="I47" i="35"/>
  <c r="L47" i="35" s="1"/>
  <c r="J47" i="35"/>
  <c r="R46" i="35"/>
  <c r="M46" i="35"/>
  <c r="F197" i="29"/>
  <c r="I197" i="29"/>
  <c r="G197" i="29"/>
  <c r="K190" i="29"/>
  <c r="M190" i="29" s="1"/>
  <c r="S46" i="35"/>
  <c r="Q46" i="35"/>
  <c r="T46" i="35"/>
  <c r="H196" i="29"/>
  <c r="H194" i="29" s="1"/>
  <c r="K189" i="29"/>
  <c r="M189" i="29" s="1"/>
  <c r="F196" i="29"/>
  <c r="I196" i="29"/>
  <c r="M188" i="29"/>
  <c r="G194" i="29"/>
  <c r="AL48" i="35"/>
  <c r="G48" i="35"/>
  <c r="H48" i="35" l="1"/>
  <c r="K48" i="35" s="1"/>
  <c r="I194" i="29"/>
  <c r="J48" i="35"/>
  <c r="I48" i="35"/>
  <c r="L48" i="35" s="1"/>
  <c r="H202" i="29"/>
  <c r="H203" i="29"/>
  <c r="H205" i="29"/>
  <c r="K197" i="29"/>
  <c r="M197" i="29" s="1"/>
  <c r="AL49" i="35"/>
  <c r="G202" i="29"/>
  <c r="G205" i="29"/>
  <c r="G204" i="29"/>
  <c r="K196" i="29"/>
  <c r="M196" i="29" s="1"/>
  <c r="I204" i="29"/>
  <c r="I203" i="29"/>
  <c r="K198" i="29"/>
  <c r="M198" i="29" s="1"/>
  <c r="I202" i="29"/>
  <c r="K192" i="29"/>
  <c r="R47" i="35"/>
  <c r="M47" i="35"/>
  <c r="F194" i="29"/>
  <c r="S47" i="35"/>
  <c r="Q47" i="35"/>
  <c r="T47" i="35"/>
  <c r="G49" i="35"/>
  <c r="H49" i="35" l="1"/>
  <c r="K49" i="35" s="1"/>
  <c r="I49" i="35"/>
  <c r="L49" i="35" s="1"/>
  <c r="J49" i="35"/>
  <c r="F203" i="29"/>
  <c r="E203" i="29" s="1"/>
  <c r="F204" i="29"/>
  <c r="E204" i="29" s="1"/>
  <c r="K195" i="29"/>
  <c r="F205" i="29"/>
  <c r="E205" i="29" s="1"/>
  <c r="E202" i="29"/>
  <c r="M48" i="35"/>
  <c r="R48" i="35"/>
  <c r="AL50" i="35"/>
  <c r="S48" i="35"/>
  <c r="T48" i="35"/>
  <c r="Q48" i="35"/>
  <c r="G50" i="35"/>
  <c r="H50" i="35" l="1"/>
  <c r="K50" i="35" s="1"/>
  <c r="I50" i="35"/>
  <c r="L50" i="35" s="1"/>
  <c r="J50" i="35"/>
  <c r="G211" i="29"/>
  <c r="F211" i="29"/>
  <c r="I211" i="29"/>
  <c r="K204" i="29"/>
  <c r="M204" i="29" s="1"/>
  <c r="I210" i="29"/>
  <c r="F210" i="29"/>
  <c r="K203" i="29"/>
  <c r="M203" i="29" s="1"/>
  <c r="H210" i="29"/>
  <c r="M49" i="35"/>
  <c r="R49" i="35"/>
  <c r="T49" i="35"/>
  <c r="S49" i="35"/>
  <c r="Q49" i="35"/>
  <c r="H212" i="29"/>
  <c r="G212" i="29"/>
  <c r="F212" i="29"/>
  <c r="K205" i="29"/>
  <c r="M205" i="29" s="1"/>
  <c r="K199" i="29"/>
  <c r="M195" i="29"/>
  <c r="AL51" i="35"/>
  <c r="G209" i="29"/>
  <c r="H209" i="29"/>
  <c r="I209" i="29"/>
  <c r="K202" i="29"/>
  <c r="G51" i="35"/>
  <c r="H51" i="35" l="1"/>
  <c r="K51" i="35" s="1"/>
  <c r="I208" i="29"/>
  <c r="I51" i="35"/>
  <c r="L51" i="35" s="1"/>
  <c r="J51" i="35"/>
  <c r="I218" i="29"/>
  <c r="I216" i="29"/>
  <c r="K212" i="29"/>
  <c r="M212" i="29" s="1"/>
  <c r="I217" i="29"/>
  <c r="H208" i="29"/>
  <c r="M50" i="35"/>
  <c r="R50" i="35"/>
  <c r="K206" i="29"/>
  <c r="M202" i="29"/>
  <c r="G208" i="29"/>
  <c r="F208" i="29"/>
  <c r="S50" i="35"/>
  <c r="Q50" i="35"/>
  <c r="T50" i="35"/>
  <c r="AL52" i="35"/>
  <c r="G52" i="35"/>
  <c r="H52" i="35" l="1"/>
  <c r="K52" i="35" s="1"/>
  <c r="I52" i="35"/>
  <c r="L52" i="35" s="1"/>
  <c r="J52" i="35"/>
  <c r="F219" i="29"/>
  <c r="F217" i="29"/>
  <c r="F218" i="29"/>
  <c r="K209" i="29"/>
  <c r="G218" i="29"/>
  <c r="G219" i="29"/>
  <c r="K210" i="29"/>
  <c r="M210" i="29" s="1"/>
  <c r="G216" i="29"/>
  <c r="S51" i="35"/>
  <c r="Q51" i="35"/>
  <c r="T51" i="35"/>
  <c r="AL53" i="35"/>
  <c r="H217" i="29"/>
  <c r="K211" i="29"/>
  <c r="M211" i="29" s="1"/>
  <c r="H216" i="29"/>
  <c r="H219" i="29"/>
  <c r="M51" i="35"/>
  <c r="R51" i="35"/>
  <c r="G53" i="35"/>
  <c r="H53" i="35" l="1"/>
  <c r="K53" i="35" s="1"/>
  <c r="E218" i="29"/>
  <c r="E216" i="29"/>
  <c r="H223" i="29" s="1"/>
  <c r="J53" i="35"/>
  <c r="I53" i="35"/>
  <c r="L53" i="35" s="1"/>
  <c r="E217" i="29"/>
  <c r="K213" i="29"/>
  <c r="M209" i="29"/>
  <c r="E219" i="29"/>
  <c r="R52" i="35"/>
  <c r="M52" i="35"/>
  <c r="F225" i="29"/>
  <c r="I225" i="29"/>
  <c r="G225" i="29"/>
  <c r="K218" i="29"/>
  <c r="M218" i="29" s="1"/>
  <c r="G223" i="29"/>
  <c r="K216" i="29"/>
  <c r="I223" i="29"/>
  <c r="AL54" i="35"/>
  <c r="Q52" i="35"/>
  <c r="T52" i="35"/>
  <c r="S52" i="35"/>
  <c r="G54" i="35"/>
  <c r="H54" i="35" l="1"/>
  <c r="K54" i="35" s="1"/>
  <c r="J54" i="35"/>
  <c r="I54" i="35"/>
  <c r="L54" i="35" s="1"/>
  <c r="H224" i="29"/>
  <c r="K217" i="29"/>
  <c r="M217" i="29" s="1"/>
  <c r="F224" i="29"/>
  <c r="F222" i="29" s="1"/>
  <c r="I224" i="29"/>
  <c r="I222" i="29" s="1"/>
  <c r="H226" i="29"/>
  <c r="G226" i="29"/>
  <c r="G222" i="29" s="1"/>
  <c r="K219" i="29"/>
  <c r="M219" i="29" s="1"/>
  <c r="F226" i="29"/>
  <c r="R53" i="35"/>
  <c r="M53" i="35"/>
  <c r="AL55" i="35"/>
  <c r="M216" i="29"/>
  <c r="T53" i="35"/>
  <c r="S53" i="35"/>
  <c r="Q53" i="35"/>
  <c r="G55" i="35"/>
  <c r="H55" i="35" l="1"/>
  <c r="K55" i="35" s="1"/>
  <c r="H222" i="29"/>
  <c r="I55" i="35"/>
  <c r="L55" i="35" s="1"/>
  <c r="J55" i="35"/>
  <c r="G230" i="29"/>
  <c r="E230" i="29" s="1"/>
  <c r="G233" i="29"/>
  <c r="G232" i="29"/>
  <c r="K224" i="29"/>
  <c r="M224" i="29" s="1"/>
  <c r="H230" i="29"/>
  <c r="H233" i="29"/>
  <c r="K225" i="29"/>
  <c r="M225" i="29" s="1"/>
  <c r="H231" i="29"/>
  <c r="M54" i="35"/>
  <c r="R54" i="35"/>
  <c r="I232" i="29"/>
  <c r="I231" i="29"/>
  <c r="K226" i="29"/>
  <c r="M226" i="29" s="1"/>
  <c r="I230" i="29"/>
  <c r="F231" i="29"/>
  <c r="F232" i="29"/>
  <c r="K223" i="29"/>
  <c r="F233" i="29"/>
  <c r="K220" i="29"/>
  <c r="AL56" i="35"/>
  <c r="Q54" i="35"/>
  <c r="T54" i="35"/>
  <c r="S54" i="35"/>
  <c r="G56" i="35"/>
  <c r="H56" i="35" l="1"/>
  <c r="K56" i="35" s="1"/>
  <c r="E233" i="29"/>
  <c r="I56" i="35"/>
  <c r="L56" i="35" s="1"/>
  <c r="J56" i="35"/>
  <c r="H240" i="29"/>
  <c r="G240" i="29"/>
  <c r="F240" i="29"/>
  <c r="K233" i="29"/>
  <c r="M233" i="29" s="1"/>
  <c r="K227" i="29"/>
  <c r="M223" i="29"/>
  <c r="E232" i="29"/>
  <c r="R55" i="35"/>
  <c r="M55" i="35"/>
  <c r="G237" i="29"/>
  <c r="I237" i="29"/>
  <c r="H237" i="29"/>
  <c r="K230" i="29"/>
  <c r="E231" i="29"/>
  <c r="AL57" i="35"/>
  <c r="S55" i="35"/>
  <c r="Q55" i="35"/>
  <c r="T55" i="35"/>
  <c r="G57" i="35"/>
  <c r="H57" i="35" l="1"/>
  <c r="K57" i="35" s="1"/>
  <c r="I57" i="35"/>
  <c r="L57" i="35" s="1"/>
  <c r="J57" i="35"/>
  <c r="M56" i="35"/>
  <c r="R56" i="35"/>
  <c r="H236" i="29"/>
  <c r="I238" i="29"/>
  <c r="I236" i="29" s="1"/>
  <c r="F238" i="29"/>
  <c r="H238" i="29"/>
  <c r="K231" i="29"/>
  <c r="M231" i="29" s="1"/>
  <c r="AL58" i="35"/>
  <c r="G239" i="29"/>
  <c r="G236" i="29" s="1"/>
  <c r="I239" i="29"/>
  <c r="K232" i="29"/>
  <c r="M232" i="29" s="1"/>
  <c r="F239" i="29"/>
  <c r="M230" i="29"/>
  <c r="S56" i="35"/>
  <c r="Q56" i="35"/>
  <c r="T56" i="35"/>
  <c r="G58" i="35"/>
  <c r="H58" i="35" l="1"/>
  <c r="K58" i="35" s="1"/>
  <c r="K234" i="29"/>
  <c r="J58" i="35"/>
  <c r="I58" i="35"/>
  <c r="L58" i="35" s="1"/>
  <c r="G246" i="29"/>
  <c r="G247" i="29"/>
  <c r="G244" i="29"/>
  <c r="K238" i="29"/>
  <c r="M238" i="29" s="1"/>
  <c r="AL59" i="35"/>
  <c r="H245" i="29"/>
  <c r="H247" i="29"/>
  <c r="H244" i="29"/>
  <c r="K239" i="29"/>
  <c r="M239" i="29" s="1"/>
  <c r="M57" i="35"/>
  <c r="R57" i="35"/>
  <c r="S57" i="35"/>
  <c r="Q57" i="35"/>
  <c r="T57" i="35"/>
  <c r="I246" i="29"/>
  <c r="I244" i="29"/>
  <c r="K240" i="29"/>
  <c r="M240" i="29" s="1"/>
  <c r="I245" i="29"/>
  <c r="F236" i="29"/>
  <c r="G59" i="35"/>
  <c r="H59" i="35" l="1"/>
  <c r="K59" i="35" s="1"/>
  <c r="I59" i="35"/>
  <c r="L59" i="35" s="1"/>
  <c r="J59" i="35"/>
  <c r="E244" i="29"/>
  <c r="F247" i="29"/>
  <c r="E247" i="29" s="1"/>
  <c r="F245" i="29"/>
  <c r="E245" i="29" s="1"/>
  <c r="F246" i="29"/>
  <c r="E246" i="29" s="1"/>
  <c r="K237" i="29"/>
  <c r="M58" i="35"/>
  <c r="R58" i="35"/>
  <c r="AL60" i="35"/>
  <c r="S58" i="35"/>
  <c r="T58" i="35"/>
  <c r="Q58" i="35"/>
  <c r="G60" i="35"/>
  <c r="H60" i="35" l="1"/>
  <c r="K60" i="35" s="1"/>
  <c r="N3" i="35" s="1"/>
  <c r="I60" i="35"/>
  <c r="L60" i="35" s="1"/>
  <c r="J60" i="35"/>
  <c r="I253" i="29"/>
  <c r="G253" i="29"/>
  <c r="F253" i="29"/>
  <c r="K246" i="29"/>
  <c r="M246" i="29" s="1"/>
  <c r="H254" i="29"/>
  <c r="K247" i="29"/>
  <c r="M247" i="29" s="1"/>
  <c r="G254" i="29"/>
  <c r="F254" i="29"/>
  <c r="H252" i="29"/>
  <c r="K245" i="29"/>
  <c r="M245" i="29" s="1"/>
  <c r="I252" i="29"/>
  <c r="F252" i="29"/>
  <c r="F250" i="29" s="1"/>
  <c r="I251" i="29"/>
  <c r="I250" i="29" s="1"/>
  <c r="G251" i="29"/>
  <c r="H251" i="29"/>
  <c r="K244" i="29"/>
  <c r="M59" i="35"/>
  <c r="R59" i="35"/>
  <c r="AL61" i="35"/>
  <c r="K241" i="29"/>
  <c r="M237" i="29"/>
  <c r="Q59" i="35"/>
  <c r="T59" i="35"/>
  <c r="S59" i="35"/>
  <c r="AL62" i="35" l="1"/>
  <c r="M244" i="29"/>
  <c r="K248" i="29"/>
  <c r="I260" i="29"/>
  <c r="K254" i="29"/>
  <c r="M254" i="29" s="1"/>
  <c r="I259" i="29"/>
  <c r="I258" i="29"/>
  <c r="H250" i="29"/>
  <c r="R60" i="35"/>
  <c r="M60" i="35"/>
  <c r="P4" i="35"/>
  <c r="Q7" i="36" s="1"/>
  <c r="P11" i="35"/>
  <c r="Q16" i="36" s="1"/>
  <c r="P5" i="35"/>
  <c r="F259" i="29"/>
  <c r="F260" i="29"/>
  <c r="K251" i="29"/>
  <c r="F261" i="29"/>
  <c r="G250" i="29"/>
  <c r="Q60" i="35"/>
  <c r="S60" i="35"/>
  <c r="T60" i="35"/>
  <c r="S34" i="35" l="1"/>
  <c r="S32" i="35"/>
  <c r="S33" i="35"/>
  <c r="S30" i="35"/>
  <c r="S31" i="35"/>
  <c r="S28" i="35"/>
  <c r="S29" i="35"/>
  <c r="S26" i="35"/>
  <c r="S27" i="35"/>
  <c r="S24" i="35"/>
  <c r="S25" i="35"/>
  <c r="S22" i="35"/>
  <c r="S23" i="35"/>
  <c r="S20" i="35"/>
  <c r="S21" i="35"/>
  <c r="S18" i="35"/>
  <c r="S19" i="35"/>
  <c r="X7" i="35"/>
  <c r="O38" i="36" s="1"/>
  <c r="X4" i="35"/>
  <c r="O35" i="36" s="1"/>
  <c r="X5" i="35"/>
  <c r="O36" i="36" s="1"/>
  <c r="X3" i="35"/>
  <c r="O34" i="36" s="1"/>
  <c r="X6" i="35"/>
  <c r="O37" i="36" s="1"/>
  <c r="S2" i="35"/>
  <c r="S3" i="35"/>
  <c r="S4" i="35"/>
  <c r="S5" i="35"/>
  <c r="S6" i="35"/>
  <c r="S7" i="35"/>
  <c r="S8" i="35"/>
  <c r="S9" i="35"/>
  <c r="S10" i="35"/>
  <c r="S11" i="35"/>
  <c r="S12" i="35"/>
  <c r="S13" i="35"/>
  <c r="S14" i="35"/>
  <c r="S15" i="35"/>
  <c r="S16" i="35"/>
  <c r="S17" i="35"/>
  <c r="N5" i="35"/>
  <c r="U2" i="35"/>
  <c r="O3" i="35"/>
  <c r="P6" i="35"/>
  <c r="P7" i="35"/>
  <c r="G258" i="29"/>
  <c r="G260" i="29"/>
  <c r="E260" i="29" s="1"/>
  <c r="G261" i="29"/>
  <c r="K252" i="29"/>
  <c r="M252" i="29" s="1"/>
  <c r="M251" i="29"/>
  <c r="H258" i="29"/>
  <c r="H259" i="29"/>
  <c r="E259" i="29" s="1"/>
  <c r="H261" i="29"/>
  <c r="K253" i="29"/>
  <c r="M253" i="29" s="1"/>
  <c r="AL63" i="35"/>
  <c r="T33" i="35" l="1"/>
  <c r="T34" i="35"/>
  <c r="T32" i="35"/>
  <c r="T31" i="35"/>
  <c r="T30" i="35"/>
  <c r="T29" i="35"/>
  <c r="T28" i="35"/>
  <c r="T26" i="35"/>
  <c r="T27" i="35"/>
  <c r="T25" i="35"/>
  <c r="T24" i="35"/>
  <c r="T23" i="35"/>
  <c r="T21" i="35"/>
  <c r="T22" i="35"/>
  <c r="T20" i="35"/>
  <c r="T19" i="35"/>
  <c r="T18" i="35"/>
  <c r="E261" i="29"/>
  <c r="E258" i="29"/>
  <c r="G265" i="29" s="1"/>
  <c r="G267" i="29"/>
  <c r="F267" i="29"/>
  <c r="I267" i="29"/>
  <c r="K260" i="29"/>
  <c r="M260" i="29" s="1"/>
  <c r="H268" i="29"/>
  <c r="G268" i="29"/>
  <c r="K261" i="29"/>
  <c r="M261" i="29" s="1"/>
  <c r="F268" i="29"/>
  <c r="I266" i="29"/>
  <c r="F266" i="29"/>
  <c r="K259" i="29"/>
  <c r="M259" i="29" s="1"/>
  <c r="H266" i="29"/>
  <c r="P3" i="35"/>
  <c r="P2" i="35"/>
  <c r="H265" i="29"/>
  <c r="K258" i="29"/>
  <c r="X2" i="35"/>
  <c r="O33" i="36" s="1"/>
  <c r="Y2" i="35"/>
  <c r="P33" i="36" s="1"/>
  <c r="Z3" i="35"/>
  <c r="Z2" i="35"/>
  <c r="K33" i="36"/>
  <c r="AL64" i="35"/>
  <c r="K255" i="29"/>
  <c r="P8" i="35"/>
  <c r="Q8" i="36" s="1"/>
  <c r="Y6" i="35"/>
  <c r="P37" i="36" s="1"/>
  <c r="Y5" i="35"/>
  <c r="P36" i="36" s="1"/>
  <c r="Y7" i="35"/>
  <c r="P38" i="36" s="1"/>
  <c r="Y4" i="35"/>
  <c r="P35" i="36" s="1"/>
  <c r="Y3" i="35"/>
  <c r="P34" i="36" s="1"/>
  <c r="T2" i="35"/>
  <c r="T3" i="35"/>
  <c r="T4" i="35"/>
  <c r="T5" i="35"/>
  <c r="T6" i="35"/>
  <c r="T7" i="35"/>
  <c r="T8" i="35"/>
  <c r="T9" i="35"/>
  <c r="T10" i="35"/>
  <c r="T11" i="35"/>
  <c r="T12" i="35"/>
  <c r="T13" i="35"/>
  <c r="T14" i="35"/>
  <c r="T15" i="35"/>
  <c r="T16" i="35"/>
  <c r="T17" i="35"/>
  <c r="I265" i="29" l="1"/>
  <c r="R33" i="35"/>
  <c r="R34" i="35"/>
  <c r="Q33" i="35"/>
  <c r="Q34" i="35"/>
  <c r="Q31" i="35"/>
  <c r="Q32" i="35"/>
  <c r="R31" i="35"/>
  <c r="R32" i="35"/>
  <c r="R29" i="35"/>
  <c r="R30" i="35"/>
  <c r="Q29" i="35"/>
  <c r="Q30" i="35"/>
  <c r="Q27" i="35"/>
  <c r="Q28" i="35"/>
  <c r="R27" i="35"/>
  <c r="R28" i="35"/>
  <c r="Q25" i="35"/>
  <c r="Q26" i="35"/>
  <c r="R25" i="35"/>
  <c r="R26" i="35"/>
  <c r="Q23" i="35"/>
  <c r="Q24" i="35"/>
  <c r="R23" i="35"/>
  <c r="R24" i="35"/>
  <c r="Q21" i="35"/>
  <c r="Q22" i="35"/>
  <c r="R21" i="35"/>
  <c r="R22" i="35"/>
  <c r="Q19" i="35"/>
  <c r="Q20" i="35"/>
  <c r="R19" i="35"/>
  <c r="R20" i="35"/>
  <c r="W2" i="35"/>
  <c r="N33" i="36" s="1"/>
  <c r="R18" i="35"/>
  <c r="Q2" i="35"/>
  <c r="Q18" i="35"/>
  <c r="H264" i="29"/>
  <c r="H272" i="29" s="1"/>
  <c r="G264" i="29"/>
  <c r="G275" i="29" s="1"/>
  <c r="Q5" i="36"/>
  <c r="Q3" i="35"/>
  <c r="V4" i="35"/>
  <c r="M35" i="36" s="1"/>
  <c r="V3" i="35"/>
  <c r="M34" i="36" s="1"/>
  <c r="V7" i="35"/>
  <c r="M38" i="36" s="1"/>
  <c r="V6" i="35"/>
  <c r="M37" i="36" s="1"/>
  <c r="Q4" i="35"/>
  <c r="V5" i="35"/>
  <c r="M36" i="36" s="1"/>
  <c r="Q5" i="35"/>
  <c r="Q6" i="35"/>
  <c r="Q7" i="35"/>
  <c r="Q8" i="35"/>
  <c r="Q9" i="35"/>
  <c r="Q10" i="35"/>
  <c r="Q11" i="35"/>
  <c r="Q12" i="35"/>
  <c r="Q13" i="35"/>
  <c r="Q14" i="35"/>
  <c r="Q15" i="35"/>
  <c r="Q16" i="35"/>
  <c r="Q17" i="35"/>
  <c r="AL65" i="35"/>
  <c r="K262" i="29"/>
  <c r="M258" i="29"/>
  <c r="F264" i="29"/>
  <c r="H273" i="29"/>
  <c r="H275" i="29"/>
  <c r="K267" i="29"/>
  <c r="M267" i="29" s="1"/>
  <c r="G274" i="29"/>
  <c r="Q6" i="36"/>
  <c r="R4" i="35"/>
  <c r="W4" i="35"/>
  <c r="N35" i="36" s="1"/>
  <c r="W3" i="35"/>
  <c r="N34" i="36" s="1"/>
  <c r="W6" i="35"/>
  <c r="N37" i="36" s="1"/>
  <c r="W5" i="35"/>
  <c r="N36" i="36" s="1"/>
  <c r="W7" i="35"/>
  <c r="N38" i="36" s="1"/>
  <c r="R3" i="35"/>
  <c r="R2" i="35"/>
  <c r="R5" i="35"/>
  <c r="R6" i="35"/>
  <c r="R7" i="35"/>
  <c r="R8" i="35"/>
  <c r="R9" i="35"/>
  <c r="R10" i="35"/>
  <c r="R11" i="35"/>
  <c r="R12" i="35"/>
  <c r="R13" i="35"/>
  <c r="R14" i="35"/>
  <c r="R15" i="35"/>
  <c r="R16" i="35"/>
  <c r="R17" i="35"/>
  <c r="V2" i="35"/>
  <c r="M33" i="36" s="1"/>
  <c r="I264" i="29"/>
  <c r="K266" i="29" l="1"/>
  <c r="M266" i="29" s="1"/>
  <c r="G272" i="29"/>
  <c r="F275" i="29"/>
  <c r="E275" i="29" s="1"/>
  <c r="F274" i="29"/>
  <c r="F273" i="29"/>
  <c r="E273" i="29" s="1"/>
  <c r="K265" i="29"/>
  <c r="AL66" i="35"/>
  <c r="I274" i="29"/>
  <c r="I272" i="29"/>
  <c r="K268" i="29"/>
  <c r="M268" i="29" s="1"/>
  <c r="I273" i="29"/>
  <c r="E272" i="29" l="1"/>
  <c r="G279" i="29"/>
  <c r="H279" i="29"/>
  <c r="I279" i="29"/>
  <c r="K272" i="29"/>
  <c r="H280" i="29"/>
  <c r="K273" i="29"/>
  <c r="M273" i="29" s="1"/>
  <c r="F280" i="29"/>
  <c r="I280" i="29"/>
  <c r="K269" i="29"/>
  <c r="M265" i="29"/>
  <c r="E274" i="29"/>
  <c r="AL67" i="35"/>
  <c r="H282" i="29"/>
  <c r="F282" i="29"/>
  <c r="K275" i="29"/>
  <c r="M275" i="29" s="1"/>
  <c r="G282" i="29"/>
  <c r="AL68" i="35" l="1"/>
  <c r="I281" i="29"/>
  <c r="I278" i="29" s="1"/>
  <c r="G281" i="29"/>
  <c r="G278" i="29" s="1"/>
  <c r="F281" i="29"/>
  <c r="F278" i="29" s="1"/>
  <c r="K274" i="29"/>
  <c r="M274" i="29" s="1"/>
  <c r="H278" i="29"/>
  <c r="M272" i="29"/>
  <c r="G288" i="29" l="1"/>
  <c r="G289" i="29"/>
  <c r="G286" i="29"/>
  <c r="K280" i="29"/>
  <c r="M280" i="29" s="1"/>
  <c r="F287" i="29"/>
  <c r="E287" i="29" s="1"/>
  <c r="F288" i="29"/>
  <c r="E288" i="29" s="1"/>
  <c r="F289" i="29"/>
  <c r="E289" i="29" s="1"/>
  <c r="K279" i="29"/>
  <c r="I288" i="29"/>
  <c r="K282" i="29"/>
  <c r="M282" i="29" s="1"/>
  <c r="I287" i="29"/>
  <c r="I286" i="29"/>
  <c r="AL69" i="35"/>
  <c r="K276" i="29"/>
  <c r="H286" i="29"/>
  <c r="K281" i="29"/>
  <c r="M281" i="29" s="1"/>
  <c r="H287" i="29"/>
  <c r="H289" i="29"/>
  <c r="K283" i="29" l="1"/>
  <c r="M279" i="29"/>
  <c r="G295" i="29"/>
  <c r="I295" i="29"/>
  <c r="F295" i="29"/>
  <c r="K288" i="29"/>
  <c r="M288" i="29" s="1"/>
  <c r="H296" i="29"/>
  <c r="G296" i="29"/>
  <c r="K289" i="29"/>
  <c r="M289" i="29" s="1"/>
  <c r="F296" i="29"/>
  <c r="I294" i="29"/>
  <c r="F294" i="29"/>
  <c r="H294" i="29"/>
  <c r="K287" i="29"/>
  <c r="M287" i="29" s="1"/>
  <c r="E286" i="29"/>
  <c r="AL70" i="35"/>
  <c r="AL71" i="35" l="1"/>
  <c r="G293" i="29"/>
  <c r="G292" i="29" s="1"/>
  <c r="I293" i="29"/>
  <c r="I292" i="29" s="1"/>
  <c r="H293" i="29"/>
  <c r="H292" i="29" s="1"/>
  <c r="K286" i="29"/>
  <c r="F292" i="29"/>
  <c r="K290" i="29" l="1"/>
  <c r="M286" i="29"/>
  <c r="I302" i="29"/>
  <c r="I301" i="29"/>
  <c r="I300" i="29"/>
  <c r="K296" i="29"/>
  <c r="M296" i="29" s="1"/>
  <c r="F303" i="29"/>
  <c r="E303" i="29" s="1"/>
  <c r="F301" i="29"/>
  <c r="K293" i="29"/>
  <c r="F302" i="29"/>
  <c r="G302" i="29"/>
  <c r="G300" i="29"/>
  <c r="G303" i="29"/>
  <c r="K294" i="29"/>
  <c r="M294" i="29" s="1"/>
  <c r="AL72" i="35"/>
  <c r="H301" i="29"/>
  <c r="H300" i="29"/>
  <c r="K295" i="29"/>
  <c r="M295" i="29" s="1"/>
  <c r="H303" i="29"/>
  <c r="E301" i="29" l="1"/>
  <c r="H308" i="29"/>
  <c r="K301" i="29"/>
  <c r="M301" i="29" s="1"/>
  <c r="F308" i="29"/>
  <c r="I308" i="29"/>
  <c r="AL73" i="35"/>
  <c r="E302" i="29"/>
  <c r="H310" i="29"/>
  <c r="G310" i="29"/>
  <c r="K303" i="29"/>
  <c r="M303" i="29" s="1"/>
  <c r="F310" i="29"/>
  <c r="E300" i="29"/>
  <c r="K297" i="29"/>
  <c r="M293" i="29"/>
  <c r="AL74" i="35" l="1"/>
  <c r="I309" i="29"/>
  <c r="G309" i="29"/>
  <c r="F309" i="29"/>
  <c r="K302" i="29"/>
  <c r="M302" i="29" s="1"/>
  <c r="F306" i="29"/>
  <c r="I307" i="29"/>
  <c r="H307" i="29"/>
  <c r="H306" i="29" s="1"/>
  <c r="G307" i="29"/>
  <c r="K300" i="29"/>
  <c r="I306" i="29" l="1"/>
  <c r="I316" i="29"/>
  <c r="K310" i="29"/>
  <c r="M310" i="29" s="1"/>
  <c r="I314" i="29"/>
  <c r="I315" i="29"/>
  <c r="M300" i="29"/>
  <c r="K304" i="29"/>
  <c r="F315" i="29"/>
  <c r="F316" i="29"/>
  <c r="K307" i="29"/>
  <c r="F317" i="29"/>
  <c r="G306" i="29"/>
  <c r="AL75" i="35"/>
  <c r="H317" i="29"/>
  <c r="H315" i="29"/>
  <c r="H314" i="29"/>
  <c r="K309" i="29"/>
  <c r="M309" i="29" s="1"/>
  <c r="E315" i="29" l="1"/>
  <c r="I322" i="29" s="1"/>
  <c r="AL76" i="35"/>
  <c r="H322" i="29"/>
  <c r="K315" i="29"/>
  <c r="M315" i="29" s="1"/>
  <c r="G317" i="29"/>
  <c r="E317" i="29" s="1"/>
  <c r="G316" i="29"/>
  <c r="E316" i="29" s="1"/>
  <c r="K308" i="29"/>
  <c r="M308" i="29" s="1"/>
  <c r="G314" i="29"/>
  <c r="E314" i="29" s="1"/>
  <c r="M307" i="29"/>
  <c r="K311" i="29" l="1"/>
  <c r="F322" i="29"/>
  <c r="G323" i="29"/>
  <c r="F323" i="29"/>
  <c r="K316" i="29"/>
  <c r="M316" i="29" s="1"/>
  <c r="I323" i="29"/>
  <c r="H324" i="29"/>
  <c r="G324" i="29"/>
  <c r="F324" i="29"/>
  <c r="K317" i="29"/>
  <c r="M317" i="29" s="1"/>
  <c r="G321" i="29"/>
  <c r="I321" i="29"/>
  <c r="H321" i="29"/>
  <c r="K314" i="29"/>
  <c r="AL77" i="35"/>
  <c r="F320" i="29" l="1"/>
  <c r="F331" i="29"/>
  <c r="F330" i="29"/>
  <c r="F329" i="29"/>
  <c r="K321" i="29"/>
  <c r="K318" i="29"/>
  <c r="M314" i="29"/>
  <c r="I320" i="29"/>
  <c r="AL78" i="35"/>
  <c r="H320" i="29"/>
  <c r="G320" i="29"/>
  <c r="I330" i="29" l="1"/>
  <c r="I328" i="29"/>
  <c r="K324" i="29"/>
  <c r="M324" i="29" s="1"/>
  <c r="I329" i="29"/>
  <c r="AL79" i="35"/>
  <c r="E329" i="29"/>
  <c r="M321" i="29"/>
  <c r="G330" i="29"/>
  <c r="E330" i="29" s="1"/>
  <c r="G331" i="29"/>
  <c r="G328" i="29"/>
  <c r="K322" i="29"/>
  <c r="M322" i="29" s="1"/>
  <c r="H329" i="29"/>
  <c r="H328" i="29"/>
  <c r="K323" i="29"/>
  <c r="M323" i="29" s="1"/>
  <c r="H331" i="29"/>
  <c r="E331" i="29" l="1"/>
  <c r="F338" i="29" s="1"/>
  <c r="H338" i="29"/>
  <c r="AL80" i="35"/>
  <c r="H336" i="29"/>
  <c r="K329" i="29"/>
  <c r="M329" i="29" s="1"/>
  <c r="I336" i="29"/>
  <c r="F336" i="29"/>
  <c r="E328" i="29"/>
  <c r="I337" i="29"/>
  <c r="K330" i="29"/>
  <c r="M330" i="29" s="1"/>
  <c r="G337" i="29"/>
  <c r="F337" i="29"/>
  <c r="K325" i="29"/>
  <c r="G338" i="29" l="1"/>
  <c r="K331" i="29"/>
  <c r="M331" i="29" s="1"/>
  <c r="AL81" i="35"/>
  <c r="H335" i="29"/>
  <c r="H334" i="29" s="1"/>
  <c r="K328" i="29"/>
  <c r="I335" i="29"/>
  <c r="I334" i="29" s="1"/>
  <c r="G335" i="29"/>
  <c r="G334" i="29" s="1"/>
  <c r="F334" i="29"/>
  <c r="F343" i="29" l="1"/>
  <c r="F344" i="29"/>
  <c r="F345" i="29"/>
  <c r="K335" i="29"/>
  <c r="K332" i="29"/>
  <c r="M328" i="29"/>
  <c r="G342" i="29"/>
  <c r="E342" i="29" s="1"/>
  <c r="G345" i="29"/>
  <c r="K336" i="29"/>
  <c r="M336" i="29" s="1"/>
  <c r="G344" i="29"/>
  <c r="H343" i="29"/>
  <c r="K337" i="29"/>
  <c r="M337" i="29" s="1"/>
  <c r="H345" i="29"/>
  <c r="H342" i="29"/>
  <c r="AL82" i="35"/>
  <c r="I344" i="29"/>
  <c r="K338" i="29"/>
  <c r="M338" i="29" s="1"/>
  <c r="I343" i="29"/>
  <c r="I342" i="29"/>
  <c r="G349" i="29" l="1"/>
  <c r="K342" i="29"/>
  <c r="I349" i="29"/>
  <c r="H349" i="29"/>
  <c r="E345" i="29"/>
  <c r="AL83" i="35"/>
  <c r="K339" i="29"/>
  <c r="M335" i="29"/>
  <c r="E344" i="29"/>
  <c r="E343" i="29"/>
  <c r="G351" i="29" l="1"/>
  <c r="F351" i="29"/>
  <c r="K344" i="29"/>
  <c r="M344" i="29" s="1"/>
  <c r="I351" i="29"/>
  <c r="M342" i="29"/>
  <c r="AL84" i="35"/>
  <c r="H352" i="29"/>
  <c r="G352" i="29"/>
  <c r="F352" i="29"/>
  <c r="K345" i="29"/>
  <c r="M345" i="29" s="1"/>
  <c r="I350" i="29"/>
  <c r="F350" i="29"/>
  <c r="H350" i="29"/>
  <c r="H348" i="29" s="1"/>
  <c r="K343" i="29"/>
  <c r="M343" i="29" s="1"/>
  <c r="G348" i="29" l="1"/>
  <c r="F348" i="29"/>
  <c r="I348" i="29"/>
  <c r="I358" i="29" s="1"/>
  <c r="K346" i="29"/>
  <c r="H357" i="29"/>
  <c r="H359" i="29"/>
  <c r="H356" i="29"/>
  <c r="K351" i="29"/>
  <c r="M351" i="29" s="1"/>
  <c r="I357" i="29"/>
  <c r="I356" i="29"/>
  <c r="K350" i="29"/>
  <c r="M350" i="29" s="1"/>
  <c r="G356" i="29"/>
  <c r="G359" i="29"/>
  <c r="G358" i="29"/>
  <c r="F359" i="29"/>
  <c r="F357" i="29"/>
  <c r="F358" i="29"/>
  <c r="K349" i="29"/>
  <c r="AL85" i="35"/>
  <c r="E358" i="29" l="1"/>
  <c r="K358" i="29" s="1"/>
  <c r="M358" i="29" s="1"/>
  <c r="K352" i="29"/>
  <c r="M352" i="29" s="1"/>
  <c r="E359" i="29"/>
  <c r="K359" i="29" s="1"/>
  <c r="M359" i="29" s="1"/>
  <c r="E357" i="29"/>
  <c r="H366" i="29"/>
  <c r="F366" i="29"/>
  <c r="K353" i="29"/>
  <c r="M349" i="29"/>
  <c r="AL86" i="35"/>
  <c r="E356" i="29"/>
  <c r="I365" i="29"/>
  <c r="F365" i="29" l="1"/>
  <c r="G365" i="29"/>
  <c r="G366" i="29"/>
  <c r="AL87" i="35"/>
  <c r="G363" i="29"/>
  <c r="G362" i="29" s="1"/>
  <c r="I363" i="29"/>
  <c r="I362" i="29" s="1"/>
  <c r="K356" i="29"/>
  <c r="H363" i="29"/>
  <c r="H364" i="29"/>
  <c r="K357" i="29"/>
  <c r="M357" i="29" s="1"/>
  <c r="I364" i="29"/>
  <c r="F364" i="29"/>
  <c r="F362" i="29" s="1"/>
  <c r="H362" i="29" l="1"/>
  <c r="G372" i="29"/>
  <c r="G370" i="29"/>
  <c r="G373" i="29"/>
  <c r="K364" i="29"/>
  <c r="M364" i="29" s="1"/>
  <c r="I372" i="29"/>
  <c r="K366" i="29"/>
  <c r="M366" i="29" s="1"/>
  <c r="I371" i="29"/>
  <c r="I370" i="29"/>
  <c r="F371" i="29"/>
  <c r="F372" i="29"/>
  <c r="K363" i="29"/>
  <c r="F373" i="29"/>
  <c r="AL88" i="35"/>
  <c r="M356" i="29"/>
  <c r="K360" i="29"/>
  <c r="AL89" i="35" l="1"/>
  <c r="K367" i="29"/>
  <c r="M363" i="29"/>
  <c r="E372" i="29"/>
  <c r="H370" i="29"/>
  <c r="E370" i="29" s="1"/>
  <c r="H371" i="29"/>
  <c r="E371" i="29" s="1"/>
  <c r="H373" i="29"/>
  <c r="E373" i="29" s="1"/>
  <c r="K365" i="29"/>
  <c r="M365" i="29" s="1"/>
  <c r="F378" i="29" l="1"/>
  <c r="K371" i="29"/>
  <c r="M371" i="29" s="1"/>
  <c r="I378" i="29"/>
  <c r="H378" i="29"/>
  <c r="H380" i="29"/>
  <c r="G380" i="29"/>
  <c r="F380" i="29"/>
  <c r="K373" i="29"/>
  <c r="M373" i="29" s="1"/>
  <c r="G377" i="29"/>
  <c r="H377" i="29"/>
  <c r="K370" i="29"/>
  <c r="I377" i="29"/>
  <c r="G379" i="29"/>
  <c r="I379" i="29"/>
  <c r="F379" i="29"/>
  <c r="K372" i="29"/>
  <c r="M372" i="29" s="1"/>
  <c r="AL90" i="35"/>
  <c r="K374" i="29" l="1"/>
  <c r="M370" i="29"/>
  <c r="I376" i="29"/>
  <c r="AL91" i="35"/>
  <c r="H376" i="29"/>
  <c r="G376" i="29"/>
  <c r="F376" i="29"/>
  <c r="H385" i="29" l="1"/>
  <c r="H384" i="29"/>
  <c r="K379" i="29"/>
  <c r="M379" i="29" s="1"/>
  <c r="H387" i="29"/>
  <c r="G386" i="29"/>
  <c r="K378" i="29"/>
  <c r="M378" i="29" s="1"/>
  <c r="G387" i="29"/>
  <c r="G384" i="29"/>
  <c r="F387" i="29"/>
  <c r="F385" i="29"/>
  <c r="K377" i="29"/>
  <c r="F386" i="29"/>
  <c r="AL92" i="35"/>
  <c r="I386" i="29"/>
  <c r="I384" i="29"/>
  <c r="I385" i="29"/>
  <c r="K380" i="29"/>
  <c r="M380" i="29" s="1"/>
  <c r="AL93" i="35" l="1"/>
  <c r="E385" i="29"/>
  <c r="E384" i="29"/>
  <c r="E386" i="29"/>
  <c r="M377" i="29"/>
  <c r="K381" i="29"/>
  <c r="E387" i="29"/>
  <c r="H391" i="29" l="1"/>
  <c r="K384" i="29"/>
  <c r="G391" i="29"/>
  <c r="I391" i="29"/>
  <c r="H394" i="29"/>
  <c r="K387" i="29"/>
  <c r="M387" i="29" s="1"/>
  <c r="F394" i="29"/>
  <c r="G394" i="29"/>
  <c r="I393" i="29"/>
  <c r="G393" i="29"/>
  <c r="F393" i="29"/>
  <c r="K386" i="29"/>
  <c r="M386" i="29" s="1"/>
  <c r="K385" i="29"/>
  <c r="M385" i="29" s="1"/>
  <c r="I392" i="29"/>
  <c r="H392" i="29"/>
  <c r="F392" i="29"/>
  <c r="F390" i="29" s="1"/>
  <c r="AL94" i="35"/>
  <c r="G390" i="29" l="1"/>
  <c r="M384" i="29"/>
  <c r="K388" i="29"/>
  <c r="F400" i="29"/>
  <c r="F399" i="29"/>
  <c r="K391" i="29"/>
  <c r="F401" i="29"/>
  <c r="I390" i="29"/>
  <c r="AL95" i="35"/>
  <c r="H390" i="29"/>
  <c r="I400" i="29" l="1"/>
  <c r="K394" i="29"/>
  <c r="M394" i="29" s="1"/>
  <c r="I398" i="29"/>
  <c r="I399" i="29"/>
  <c r="M391" i="29"/>
  <c r="H399" i="29"/>
  <c r="H401" i="29"/>
  <c r="H398" i="29"/>
  <c r="K393" i="29"/>
  <c r="M393" i="29" s="1"/>
  <c r="AL96" i="35"/>
  <c r="G400" i="29"/>
  <c r="E400" i="29" s="1"/>
  <c r="K392" i="29"/>
  <c r="M392" i="29" s="1"/>
  <c r="G398" i="29"/>
  <c r="G401" i="29"/>
  <c r="E399" i="29" l="1"/>
  <c r="E401" i="29"/>
  <c r="I407" i="29"/>
  <c r="G407" i="29"/>
  <c r="K400" i="29"/>
  <c r="M400" i="29" s="1"/>
  <c r="F407" i="29"/>
  <c r="AL97" i="35"/>
  <c r="K395" i="29"/>
  <c r="H408" i="29"/>
  <c r="G408" i="29"/>
  <c r="K401" i="29"/>
  <c r="M401" i="29" s="1"/>
  <c r="F408" i="29"/>
  <c r="F406" i="29"/>
  <c r="F404" i="29" s="1"/>
  <c r="I406" i="29"/>
  <c r="K399" i="29"/>
  <c r="M399" i="29" s="1"/>
  <c r="H406" i="29"/>
  <c r="E398" i="29"/>
  <c r="AL98" i="35" l="1"/>
  <c r="H405" i="29"/>
  <c r="H404" i="29" s="1"/>
  <c r="K398" i="29"/>
  <c r="I405" i="29"/>
  <c r="I404" i="29" s="1"/>
  <c r="G405" i="29"/>
  <c r="G404" i="29" s="1"/>
  <c r="F415" i="29"/>
  <c r="F414" i="29"/>
  <c r="F413" i="29"/>
  <c r="K405" i="29"/>
  <c r="K406" i="29" l="1"/>
  <c r="M406" i="29" s="1"/>
  <c r="G414" i="29"/>
  <c r="G415" i="29"/>
  <c r="G412" i="29"/>
  <c r="H413" i="29"/>
  <c r="E413" i="29" s="1"/>
  <c r="K407" i="29"/>
  <c r="M407" i="29" s="1"/>
  <c r="H415" i="29"/>
  <c r="E415" i="29" s="1"/>
  <c r="H412" i="29"/>
  <c r="I414" i="29"/>
  <c r="K408" i="29"/>
  <c r="M408" i="29" s="1"/>
  <c r="I412" i="29"/>
  <c r="I413" i="29"/>
  <c r="K402" i="29"/>
  <c r="M398" i="29"/>
  <c r="M405" i="29"/>
  <c r="AL99" i="35"/>
  <c r="E414" i="29"/>
  <c r="F422" i="29" l="1"/>
  <c r="K415" i="29"/>
  <c r="M415" i="29" s="1"/>
  <c r="G422" i="29"/>
  <c r="H422" i="29"/>
  <c r="I420" i="29"/>
  <c r="K413" i="29"/>
  <c r="M413" i="29" s="1"/>
  <c r="H420" i="29"/>
  <c r="F420" i="29"/>
  <c r="F418" i="29" s="1"/>
  <c r="AL100" i="35"/>
  <c r="F421" i="29"/>
  <c r="I421" i="29"/>
  <c r="K414" i="29"/>
  <c r="M414" i="29" s="1"/>
  <c r="G421" i="29"/>
  <c r="E412" i="29"/>
  <c r="K409" i="29"/>
  <c r="H419" i="29" l="1"/>
  <c r="H418" i="29" s="1"/>
  <c r="I419" i="29"/>
  <c r="I418" i="29" s="1"/>
  <c r="K412" i="29"/>
  <c r="G419" i="29"/>
  <c r="G418" i="29" s="1"/>
  <c r="F428" i="29"/>
  <c r="K419" i="29"/>
  <c r="F429" i="29"/>
  <c r="F427" i="29"/>
  <c r="AL101" i="35"/>
  <c r="M419" i="29" l="1"/>
  <c r="K416" i="29"/>
  <c r="M412" i="29"/>
  <c r="G429" i="29"/>
  <c r="G426" i="29"/>
  <c r="G428" i="29"/>
  <c r="K420" i="29"/>
  <c r="M420" i="29" s="1"/>
  <c r="AL102" i="35"/>
  <c r="K422" i="29"/>
  <c r="M422" i="29" s="1"/>
  <c r="I427" i="29"/>
  <c r="I428" i="29"/>
  <c r="I426" i="29"/>
  <c r="H427" i="29"/>
  <c r="E427" i="29" s="1"/>
  <c r="H426" i="29"/>
  <c r="H429" i="29"/>
  <c r="K421" i="29"/>
  <c r="M421" i="29" s="1"/>
  <c r="E428" i="29" l="1"/>
  <c r="E429" i="29"/>
  <c r="I435" i="29"/>
  <c r="G435" i="29"/>
  <c r="F435" i="29"/>
  <c r="K428" i="29"/>
  <c r="M428" i="29" s="1"/>
  <c r="I434" i="29"/>
  <c r="H434" i="29"/>
  <c r="K427" i="29"/>
  <c r="M427" i="29" s="1"/>
  <c r="F434" i="29"/>
  <c r="F436" i="29"/>
  <c r="G436" i="29"/>
  <c r="H436" i="29"/>
  <c r="K429" i="29"/>
  <c r="M429" i="29" s="1"/>
  <c r="AL103" i="35"/>
  <c r="K423" i="29"/>
  <c r="E426" i="29"/>
  <c r="F432" i="29" l="1"/>
  <c r="F441" i="29" s="1"/>
  <c r="H433" i="29"/>
  <c r="H432" i="29" s="1"/>
  <c r="I433" i="29"/>
  <c r="I432" i="29" s="1"/>
  <c r="K426" i="29"/>
  <c r="G433" i="29"/>
  <c r="G432" i="29" s="1"/>
  <c r="AL104" i="35"/>
  <c r="F442" i="29" l="1"/>
  <c r="K433" i="29"/>
  <c r="F443" i="29"/>
  <c r="I440" i="29"/>
  <c r="I442" i="29"/>
  <c r="K436" i="29"/>
  <c r="M436" i="29" s="1"/>
  <c r="I441" i="29"/>
  <c r="H441" i="29"/>
  <c r="E441" i="29" s="1"/>
  <c r="K435" i="29"/>
  <c r="M435" i="29" s="1"/>
  <c r="H440" i="29"/>
  <c r="H443" i="29"/>
  <c r="M433" i="29"/>
  <c r="G443" i="29"/>
  <c r="G442" i="29"/>
  <c r="E442" i="29" s="1"/>
  <c r="K434" i="29"/>
  <c r="M434" i="29" s="1"/>
  <c r="G440" i="29"/>
  <c r="K430" i="29"/>
  <c r="M426" i="29"/>
  <c r="AL105" i="35"/>
  <c r="E443" i="29" l="1"/>
  <c r="F450" i="29"/>
  <c r="G450" i="29"/>
  <c r="K443" i="29"/>
  <c r="M443" i="29" s="1"/>
  <c r="H450" i="29"/>
  <c r="F449" i="29"/>
  <c r="G449" i="29"/>
  <c r="I449" i="29"/>
  <c r="K442" i="29"/>
  <c r="M442" i="29" s="1"/>
  <c r="E440" i="29"/>
  <c r="I448" i="29"/>
  <c r="K441" i="29"/>
  <c r="M441" i="29" s="1"/>
  <c r="H448" i="29"/>
  <c r="F448" i="29"/>
  <c r="F446" i="29" s="1"/>
  <c r="K437" i="29"/>
  <c r="AL106" i="35"/>
  <c r="AL107" i="35" l="1"/>
  <c r="K447" i="29"/>
  <c r="F456" i="29"/>
  <c r="F457" i="29"/>
  <c r="F455" i="29"/>
  <c r="H447" i="29"/>
  <c r="H446" i="29" s="1"/>
  <c r="I447" i="29"/>
  <c r="I446" i="29" s="1"/>
  <c r="G447" i="29"/>
  <c r="G446" i="29" s="1"/>
  <c r="K440" i="29"/>
  <c r="K450" i="29" l="1"/>
  <c r="M450" i="29" s="1"/>
  <c r="I454" i="29"/>
  <c r="I456" i="29"/>
  <c r="I455" i="29"/>
  <c r="M447" i="29"/>
  <c r="H455" i="29"/>
  <c r="E455" i="29" s="1"/>
  <c r="H454" i="29"/>
  <c r="H457" i="29"/>
  <c r="K449" i="29"/>
  <c r="M449" i="29" s="1"/>
  <c r="M440" i="29"/>
  <c r="K444" i="29"/>
  <c r="AL108" i="35"/>
  <c r="G457" i="29"/>
  <c r="G454" i="29"/>
  <c r="E454" i="29" s="1"/>
  <c r="K448" i="29"/>
  <c r="M448" i="29" s="1"/>
  <c r="G456" i="29"/>
  <c r="E457" i="29" l="1"/>
  <c r="K451" i="29"/>
  <c r="E456" i="29"/>
  <c r="F463" i="29" s="1"/>
  <c r="I462" i="29"/>
  <c r="H462" i="29"/>
  <c r="K455" i="29"/>
  <c r="M455" i="29" s="1"/>
  <c r="F462" i="29"/>
  <c r="K456" i="29"/>
  <c r="M456" i="29" s="1"/>
  <c r="I463" i="29"/>
  <c r="F464" i="29"/>
  <c r="G464" i="29"/>
  <c r="H464" i="29"/>
  <c r="K457" i="29"/>
  <c r="M457" i="29" s="1"/>
  <c r="K454" i="29"/>
  <c r="H461" i="29"/>
  <c r="I461" i="29"/>
  <c r="G461" i="29"/>
  <c r="AL109" i="35"/>
  <c r="G460" i="29" l="1"/>
  <c r="G468" i="29" s="1"/>
  <c r="E468" i="29" s="1"/>
  <c r="I460" i="29"/>
  <c r="G463" i="29"/>
  <c r="H460" i="29"/>
  <c r="H469" i="29"/>
  <c r="K463" i="29"/>
  <c r="M463" i="29" s="1"/>
  <c r="H468" i="29"/>
  <c r="H471" i="29"/>
  <c r="G471" i="29"/>
  <c r="K462" i="29"/>
  <c r="M462" i="29" s="1"/>
  <c r="F460" i="29"/>
  <c r="I468" i="29"/>
  <c r="I470" i="29"/>
  <c r="K464" i="29"/>
  <c r="M464" i="29" s="1"/>
  <c r="I469" i="29"/>
  <c r="K458" i="29"/>
  <c r="M454" i="29"/>
  <c r="AL110" i="35"/>
  <c r="G470" i="29" l="1"/>
  <c r="AL111" i="35"/>
  <c r="H475" i="29"/>
  <c r="I475" i="29"/>
  <c r="G475" i="29"/>
  <c r="K468" i="29"/>
  <c r="F469" i="29"/>
  <c r="E469" i="29" s="1"/>
  <c r="F470" i="29"/>
  <c r="E470" i="29" s="1"/>
  <c r="F471" i="29"/>
  <c r="E471" i="29" s="1"/>
  <c r="K461" i="29"/>
  <c r="I476" i="29" l="1"/>
  <c r="K469" i="29"/>
  <c r="M469" i="29" s="1"/>
  <c r="H476" i="29"/>
  <c r="F476" i="29"/>
  <c r="M468" i="29"/>
  <c r="M461" i="29"/>
  <c r="K465" i="29"/>
  <c r="AL112" i="35"/>
  <c r="F477" i="29"/>
  <c r="G477" i="29"/>
  <c r="G474" i="29" s="1"/>
  <c r="I477" i="29"/>
  <c r="I474" i="29" s="1"/>
  <c r="K470" i="29"/>
  <c r="M470" i="29" s="1"/>
  <c r="F478" i="29"/>
  <c r="K471" i="29"/>
  <c r="M471" i="29" s="1"/>
  <c r="H478" i="29"/>
  <c r="G478" i="29"/>
  <c r="H474" i="29" l="1"/>
  <c r="K472" i="29"/>
  <c r="G485" i="29"/>
  <c r="G482" i="29"/>
  <c r="G484" i="29"/>
  <c r="K476" i="29"/>
  <c r="M476" i="29" s="1"/>
  <c r="K478" i="29"/>
  <c r="M478" i="29" s="1"/>
  <c r="I483" i="29"/>
  <c r="I484" i="29"/>
  <c r="I482" i="29"/>
  <c r="H483" i="29"/>
  <c r="H482" i="29"/>
  <c r="H485" i="29"/>
  <c r="K477" i="29"/>
  <c r="M477" i="29" s="1"/>
  <c r="AL113" i="35"/>
  <c r="F474" i="29"/>
  <c r="AL114" i="35" l="1"/>
  <c r="F484" i="29"/>
  <c r="E484" i="29" s="1"/>
  <c r="K475" i="29"/>
  <c r="F485" i="29"/>
  <c r="E485" i="29" s="1"/>
  <c r="F483" i="29"/>
  <c r="E483" i="29" s="1"/>
  <c r="E482" i="29"/>
  <c r="H489" i="29" l="1"/>
  <c r="I489" i="29"/>
  <c r="K482" i="29"/>
  <c r="G489" i="29"/>
  <c r="I490" i="29"/>
  <c r="H490" i="29"/>
  <c r="K483" i="29"/>
  <c r="M483" i="29" s="1"/>
  <c r="F490" i="29"/>
  <c r="K479" i="29"/>
  <c r="M475" i="29"/>
  <c r="G491" i="29"/>
  <c r="I491" i="29"/>
  <c r="F491" i="29"/>
  <c r="K484" i="29"/>
  <c r="M484" i="29" s="1"/>
  <c r="AL115" i="35"/>
  <c r="F492" i="29"/>
  <c r="G492" i="29"/>
  <c r="H492" i="29"/>
  <c r="K485" i="29"/>
  <c r="M485" i="29" s="1"/>
  <c r="F488" i="29" l="1"/>
  <c r="G488" i="29"/>
  <c r="AL116" i="35"/>
  <c r="K486" i="29"/>
  <c r="M482" i="29"/>
  <c r="G499" i="29"/>
  <c r="G498" i="29"/>
  <c r="K490" i="29"/>
  <c r="M490" i="29" s="1"/>
  <c r="G496" i="29"/>
  <c r="I488" i="29"/>
  <c r="F497" i="29"/>
  <c r="F499" i="29"/>
  <c r="K489" i="29"/>
  <c r="F498" i="29"/>
  <c r="H488" i="29"/>
  <c r="H497" i="29" l="1"/>
  <c r="K491" i="29"/>
  <c r="M491" i="29" s="1"/>
  <c r="H496" i="29"/>
  <c r="E496" i="29" s="1"/>
  <c r="H499" i="29"/>
  <c r="E499" i="29" s="1"/>
  <c r="AL117" i="35"/>
  <c r="M489" i="29"/>
  <c r="I496" i="29"/>
  <c r="I498" i="29"/>
  <c r="E498" i="29" s="1"/>
  <c r="K492" i="29"/>
  <c r="M492" i="29" s="1"/>
  <c r="I497" i="29"/>
  <c r="E497" i="29" l="1"/>
  <c r="I504" i="29" s="1"/>
  <c r="H503" i="29"/>
  <c r="I503" i="29"/>
  <c r="G503" i="29"/>
  <c r="K496" i="29"/>
  <c r="F505" i="29"/>
  <c r="G505" i="29"/>
  <c r="I505" i="29"/>
  <c r="K498" i="29"/>
  <c r="M498" i="29" s="1"/>
  <c r="AL118" i="35"/>
  <c r="F506" i="29"/>
  <c r="G506" i="29"/>
  <c r="K499" i="29"/>
  <c r="M499" i="29" s="1"/>
  <c r="H506" i="29"/>
  <c r="K493" i="29"/>
  <c r="I502" i="29" l="1"/>
  <c r="F504" i="29"/>
  <c r="H504" i="29"/>
  <c r="H502" i="29" s="1"/>
  <c r="K497" i="29"/>
  <c r="M497" i="29" s="1"/>
  <c r="G502" i="29"/>
  <c r="K506" i="29"/>
  <c r="M506" i="29" s="1"/>
  <c r="I512" i="29"/>
  <c r="I510" i="29"/>
  <c r="I511" i="29"/>
  <c r="M496" i="29"/>
  <c r="AL119" i="35"/>
  <c r="F502" i="29"/>
  <c r="H510" i="29" l="1"/>
  <c r="H513" i="29"/>
  <c r="K505" i="29"/>
  <c r="M505" i="29" s="1"/>
  <c r="H511" i="29"/>
  <c r="K500" i="29"/>
  <c r="AL120" i="35"/>
  <c r="K503" i="29"/>
  <c r="F511" i="29"/>
  <c r="E511" i="29" s="1"/>
  <c r="F512" i="29"/>
  <c r="F513" i="29"/>
  <c r="G512" i="29"/>
  <c r="G510" i="29"/>
  <c r="E510" i="29" s="1"/>
  <c r="G513" i="29"/>
  <c r="K504" i="29"/>
  <c r="M504" i="29" s="1"/>
  <c r="E513" i="29" l="1"/>
  <c r="H520" i="29"/>
  <c r="K513" i="29"/>
  <c r="M513" i="29" s="1"/>
  <c r="F520" i="29"/>
  <c r="G520" i="29"/>
  <c r="H517" i="29"/>
  <c r="H516" i="29" s="1"/>
  <c r="K510" i="29"/>
  <c r="I517" i="29"/>
  <c r="G517" i="29"/>
  <c r="E512" i="29"/>
  <c r="H518" i="29"/>
  <c r="K511" i="29"/>
  <c r="M511" i="29" s="1"/>
  <c r="F518" i="29"/>
  <c r="I518" i="29"/>
  <c r="M503" i="29"/>
  <c r="K507" i="29"/>
  <c r="AL121" i="35"/>
  <c r="M510" i="29" l="1"/>
  <c r="K519" i="29"/>
  <c r="M519" i="29" s="1"/>
  <c r="H525" i="29"/>
  <c r="H527" i="29"/>
  <c r="H524" i="29"/>
  <c r="F516" i="29"/>
  <c r="AL122" i="35"/>
  <c r="F519" i="29"/>
  <c r="G519" i="29"/>
  <c r="G516" i="29" s="1"/>
  <c r="I519" i="29"/>
  <c r="I516" i="29" s="1"/>
  <c r="K512" i="29"/>
  <c r="M512" i="29" s="1"/>
  <c r="K518" i="29" l="1"/>
  <c r="M518" i="29" s="1"/>
  <c r="G526" i="29"/>
  <c r="G524" i="29"/>
  <c r="G527" i="29"/>
  <c r="K520" i="29"/>
  <c r="M520" i="29" s="1"/>
  <c r="I526" i="29"/>
  <c r="I525" i="29"/>
  <c r="I524" i="29"/>
  <c r="F526" i="29"/>
  <c r="F525" i="29"/>
  <c r="F527" i="29"/>
  <c r="K517" i="29"/>
  <c r="AL123" i="35"/>
  <c r="K514" i="29"/>
  <c r="AL124" i="35" l="1"/>
  <c r="M517" i="29"/>
  <c r="K521" i="29"/>
  <c r="E527" i="29"/>
  <c r="E524" i="29"/>
  <c r="E525" i="29"/>
  <c r="E526" i="29"/>
  <c r="K526" i="29" l="1"/>
  <c r="M526" i="29" s="1"/>
  <c r="K525" i="29"/>
  <c r="M525" i="29" s="1"/>
  <c r="K527" i="29"/>
  <c r="M527" i="29" s="1"/>
  <c r="AL125" i="35"/>
  <c r="K524" i="29"/>
  <c r="K528" i="29" l="1"/>
  <c r="M524" i="29"/>
  <c r="AL126" i="35"/>
  <c r="AL127" i="35" l="1"/>
  <c r="AL128" i="35" l="1"/>
  <c r="AL129" i="35" l="1"/>
  <c r="AL130" i="35" l="1"/>
  <c r="AL131" i="35" l="1"/>
  <c r="AL132" i="35" l="1"/>
  <c r="AL133" i="35" l="1"/>
  <c r="AL134" i="35" l="1"/>
  <c r="AL135" i="35" l="1"/>
  <c r="AL136" i="35" l="1"/>
  <c r="AL137" i="35" l="1"/>
  <c r="AL138" i="35" l="1"/>
  <c r="AL139" i="35" l="1"/>
  <c r="AL140" i="35" l="1"/>
  <c r="AL141" i="35" l="1"/>
  <c r="AL142" i="35" l="1"/>
  <c r="AL143" i="35" l="1"/>
  <c r="AL144" i="35" l="1"/>
  <c r="AL145" i="35" l="1"/>
  <c r="AL146" i="35" l="1"/>
  <c r="AL147" i="35" l="1"/>
  <c r="AL148" i="35" l="1"/>
  <c r="AL149" i="35" l="1"/>
  <c r="AL150" i="35" l="1"/>
  <c r="AL151" i="35" l="1"/>
  <c r="AL152" i="35" l="1"/>
  <c r="AL153" i="35" l="1"/>
  <c r="AL154" i="35" l="1"/>
  <c r="AL155" i="35" l="1"/>
  <c r="AL156" i="35" l="1"/>
  <c r="AL157" i="35" l="1"/>
  <c r="AL158" i="35" l="1"/>
  <c r="AL159" i="35" l="1"/>
  <c r="AL160" i="35" l="1"/>
  <c r="AL161" i="35" l="1"/>
  <c r="AL162" i="35" l="1"/>
  <c r="AL163" i="35" l="1"/>
  <c r="AL164" i="35" l="1"/>
  <c r="AL165" i="35" l="1"/>
  <c r="AL166" i="35" l="1"/>
  <c r="AL167" i="35" l="1"/>
  <c r="AL168" i="35" l="1"/>
  <c r="AL169" i="35" l="1"/>
  <c r="AL170" i="35" l="1"/>
  <c r="AL171" i="35" l="1"/>
  <c r="AL172" i="35" l="1"/>
  <c r="AL173" i="35" l="1"/>
  <c r="AL174" i="35" l="1"/>
  <c r="AL175" i="35" l="1"/>
  <c r="AL176" i="35" l="1"/>
  <c r="AL177" i="35" l="1"/>
  <c r="AL178" i="35" l="1"/>
  <c r="AL179" i="35" l="1"/>
  <c r="AL180" i="35" l="1"/>
  <c r="AL181" i="35" l="1"/>
  <c r="AL182" i="35" l="1"/>
  <c r="AL183" i="35" l="1"/>
  <c r="AL184" i="35" l="1"/>
  <c r="AL185" i="35" l="1"/>
  <c r="AL186" i="35" l="1"/>
  <c r="AL187" i="35" l="1"/>
  <c r="AL188" i="35" l="1"/>
  <c r="AL189" i="35" l="1"/>
  <c r="AL190" i="35" l="1"/>
  <c r="AL191" i="35" l="1"/>
  <c r="AL192" i="35" l="1"/>
  <c r="AL193" i="35" l="1"/>
  <c r="AL194" i="35" l="1"/>
  <c r="AL195" i="35" l="1"/>
  <c r="AL196" i="35" l="1"/>
  <c r="AL197" i="35" l="1"/>
  <c r="AL198" i="35" l="1"/>
  <c r="AL199" i="35" l="1"/>
  <c r="AL200" i="35" l="1"/>
  <c r="AL201" i="35" l="1"/>
  <c r="AL202" i="35" l="1"/>
  <c r="AL203" i="35" l="1"/>
  <c r="AL204" i="35" l="1"/>
  <c r="AL205" i="35" l="1"/>
  <c r="AL206" i="35" l="1"/>
  <c r="AL207" i="35" l="1"/>
  <c r="AL208" i="35" l="1"/>
  <c r="AL209" i="35" l="1"/>
  <c r="AL210" i="35" l="1"/>
  <c r="AL211" i="35" l="1"/>
  <c r="AL212" i="35" l="1"/>
  <c r="AL213" i="35" l="1"/>
  <c r="AL214" i="35" l="1"/>
  <c r="AL215" i="35" l="1"/>
  <c r="AL216" i="35" l="1"/>
  <c r="AL217" i="35" l="1"/>
  <c r="AL218" i="35" l="1"/>
  <c r="AL219" i="35" l="1"/>
  <c r="AL220" i="35" l="1"/>
  <c r="AL221" i="35" l="1"/>
  <c r="AL222" i="35" l="1"/>
  <c r="AL223" i="35" l="1"/>
  <c r="AL224" i="35" l="1"/>
  <c r="AL225" i="35" l="1"/>
  <c r="AL226" i="35" l="1"/>
  <c r="AL227" i="35" l="1"/>
  <c r="AL228" i="35" l="1"/>
  <c r="AL229" i="35" l="1"/>
  <c r="AL230" i="35" l="1"/>
  <c r="AL231" i="35" l="1"/>
  <c r="AL232" i="35" l="1"/>
  <c r="AL233" i="35" l="1"/>
  <c r="AL234" i="35" l="1"/>
  <c r="AL235" i="35" l="1"/>
  <c r="AL236" i="35" l="1"/>
  <c r="AL237" i="35" l="1"/>
  <c r="AL238" i="35" l="1"/>
  <c r="AL239" i="35" l="1"/>
  <c r="AL240" i="35" l="1"/>
  <c r="AL241" i="35" l="1"/>
  <c r="AL242" i="35" l="1"/>
  <c r="AL243" i="35" l="1"/>
  <c r="AL244" i="35" l="1"/>
  <c r="AL245" i="35" l="1"/>
  <c r="AL246" i="35" l="1"/>
  <c r="AL247" i="35" l="1"/>
  <c r="AL248" i="35" l="1"/>
  <c r="AL249" i="35" l="1"/>
  <c r="AL250" i="35" l="1"/>
  <c r="AL251" i="35" l="1"/>
  <c r="AL252" i="35" l="1"/>
  <c r="AL253" i="35" l="1"/>
  <c r="AL254" i="35" l="1"/>
  <c r="AL255" i="35" l="1"/>
  <c r="AL256" i="35" l="1"/>
  <c r="AL257" i="35" l="1"/>
  <c r="AL258" i="35" l="1"/>
  <c r="AL259" i="35" l="1"/>
  <c r="AL260" i="35" l="1"/>
  <c r="AL261" i="35" l="1"/>
  <c r="AL262" i="35" l="1"/>
  <c r="AL263" i="35" l="1"/>
  <c r="AL264" i="35" l="1"/>
  <c r="AL265" i="35" l="1"/>
  <c r="AL266" i="35" l="1"/>
  <c r="AL267" i="35" l="1"/>
  <c r="AL268" i="35" l="1"/>
  <c r="AL269" i="35" l="1"/>
  <c r="AL270" i="35" l="1"/>
  <c r="AL271" i="35" l="1"/>
  <c r="AL272" i="35" l="1"/>
  <c r="AL273" i="35" l="1"/>
  <c r="AL274" i="35" l="1"/>
  <c r="AL275" i="35" l="1"/>
  <c r="AL276" i="35" l="1"/>
  <c r="AL277" i="35" l="1"/>
  <c r="AL278" i="35" l="1"/>
  <c r="AL279" i="35" l="1"/>
  <c r="AL280" i="35" l="1"/>
  <c r="AL281" i="35" l="1"/>
  <c r="AL282" i="35" l="1"/>
  <c r="AL283" i="35" l="1"/>
  <c r="AL284" i="35" l="1"/>
  <c r="AL285" i="35" l="1"/>
  <c r="AL286" i="35" l="1"/>
  <c r="AL287" i="35" l="1"/>
  <c r="AL288" i="35" l="1"/>
  <c r="AL289" i="35" l="1"/>
  <c r="AL290" i="35" l="1"/>
  <c r="AL291" i="35" l="1"/>
  <c r="AL292" i="35" l="1"/>
  <c r="AL293" i="35" l="1"/>
  <c r="AL294" i="35" l="1"/>
  <c r="AL295" i="35" l="1"/>
  <c r="AL296" i="35" l="1"/>
  <c r="AL297" i="35" l="1"/>
  <c r="AL298" i="35" l="1"/>
  <c r="AL299" i="35" l="1"/>
  <c r="AL301" i="35" l="1"/>
  <c r="P12" i="35" s="1"/>
  <c r="H1" i="36" s="1"/>
  <c r="AL300" i="3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Tanner</author>
  </authors>
  <commentList>
    <comment ref="Q2" authorId="0" shapeId="0" xr:uid="{00000000-0006-0000-0100-000001000000}">
      <text>
        <r>
          <rPr>
            <b/>
            <sz val="8"/>
            <color indexed="81"/>
            <rFont val="Tahoma"/>
            <family val="2"/>
          </rPr>
          <t>HISTORIC FIT -
AVG ANN INC</t>
        </r>
      </text>
    </comment>
    <comment ref="R2" authorId="0" shapeId="0" xr:uid="{00000000-0006-0000-0100-000002000000}">
      <text>
        <r>
          <rPr>
            <b/>
            <sz val="8"/>
            <color indexed="81"/>
            <rFont val="Tahoma"/>
            <family val="2"/>
          </rPr>
          <t>HISTORIC FIT -
AVG ANN RATE</t>
        </r>
      </text>
    </comment>
    <comment ref="W2" authorId="0" shapeId="0" xr:uid="{00000000-0006-0000-0100-000003000000}">
      <text>
        <r>
          <rPr>
            <b/>
            <sz val="8"/>
            <color indexed="81"/>
            <rFont val="Tahoma"/>
            <family val="2"/>
          </rPr>
          <t>PROJECTION -
AVG ANN RATE</t>
        </r>
      </text>
    </comment>
    <comment ref="AA2" authorId="0" shapeId="0" xr:uid="{00000000-0006-0000-0100-000004000000}">
      <text>
        <r>
          <rPr>
            <b/>
            <sz val="8"/>
            <color indexed="81"/>
            <rFont val="Tahoma"/>
            <family val="2"/>
          </rPr>
          <t xml:space="preserve">The dynamic chart vertical bar refers to these four cells.
</t>
        </r>
      </text>
    </comment>
    <comment ref="AC2" authorId="0" shapeId="0" xr:uid="{00000000-0006-0000-0100-000005000000}">
      <text>
        <r>
          <rPr>
            <b/>
            <sz val="8"/>
            <color indexed="81"/>
            <rFont val="Tahoma"/>
            <family val="2"/>
          </rPr>
          <t>These two cells are to be left blank.  A named range which returns a blank data set referts to them.</t>
        </r>
      </text>
    </comment>
    <comment ref="AE2" authorId="0" shapeId="0" xr:uid="{00000000-0006-0000-0100-000006000000}">
      <text>
        <r>
          <rPr>
            <b/>
            <sz val="8"/>
            <color indexed="81"/>
            <rFont val="Tahoma"/>
            <family val="2"/>
          </rPr>
          <t>These are the projections of the user-defined rate</t>
        </r>
      </text>
    </comment>
  </commentList>
</comments>
</file>

<file path=xl/sharedStrings.xml><?xml version="1.0" encoding="utf-8"?>
<sst xmlns="http://schemas.openxmlformats.org/spreadsheetml/2006/main" count="4593" uniqueCount="441">
  <si>
    <t>Year</t>
  </si>
  <si>
    <t>AADT</t>
  </si>
  <si>
    <t>Location Description</t>
  </si>
  <si>
    <t>ID #</t>
  </si>
  <si>
    <t>Historic AADT Estimates</t>
  </si>
  <si>
    <t>AADT TREND ANALYSIS</t>
  </si>
  <si>
    <t>HISTORIC DATA</t>
  </si>
  <si>
    <t>STATISTICAL RESULTS</t>
  </si>
  <si>
    <t>AVG ANN INC:</t>
  </si>
  <si>
    <t>AVG ANN RATE:</t>
  </si>
  <si>
    <t>LINEAR REG:</t>
  </si>
  <si>
    <t>Base Year:</t>
  </si>
  <si>
    <t>Future Year:</t>
  </si>
  <si>
    <t>Base AADT:</t>
  </si>
  <si>
    <t>Growth Rate:</t>
  </si>
  <si>
    <t>R-SQUARED</t>
  </si>
  <si>
    <t>LINEAR:</t>
  </si>
  <si>
    <t>EXPONENTIAL:</t>
  </si>
  <si>
    <t>SHOW STATION #:</t>
  </si>
  <si>
    <t xml:space="preserve">   AVG ANN INC</t>
  </si>
  <si>
    <t xml:space="preserve">   AVG ANN RATE</t>
  </si>
  <si>
    <t xml:space="preserve">   HISTORIC DATA</t>
  </si>
  <si>
    <t>#1</t>
  </si>
  <si>
    <t>#2</t>
  </si>
  <si>
    <t>#3</t>
  </si>
  <si>
    <t>#4</t>
  </si>
  <si>
    <t>FUTURE PROJECTIONS:</t>
  </si>
  <si>
    <t>NUMBER OF DATA POINTS:</t>
  </si>
  <si>
    <t>EXPONENTIAL REG:</t>
  </si>
  <si>
    <t>FUT YRS:</t>
  </si>
  <si>
    <t>Avg Ann Inc</t>
  </si>
  <si>
    <t>Avg Ann Rate</t>
  </si>
  <si>
    <t>Linear Reg</t>
  </si>
  <si>
    <t>Exp Reg</t>
  </si>
  <si>
    <t>#5</t>
  </si>
  <si>
    <t>YEAR</t>
  </si>
  <si>
    <t>DO NOT ATTEMPT TO CHANGE ANY CELL LOCATED TO THE RIGHT OF THIS LINE       DO NOT ATTEMPT TO CHANGE ANY CELL LOCATED TO THE RIGHT OF THIS LINE</t>
  </si>
  <si>
    <t>Future           Projection:</t>
  </si>
  <si>
    <t>Future AADT:</t>
  </si>
  <si>
    <t>NORTH CAROLINA DEPARTMENT OF TRANSPORTATION / TRANSP. PLANNING BRANCH</t>
  </si>
  <si>
    <t xml:space="preserve">   LINEAR REGRESSION</t>
  </si>
  <si>
    <t xml:space="preserve">   EXPONENTIAL REGRESSION</t>
  </si>
  <si>
    <t xml:space="preserve">   USER-DEFINED (FUT PROJ)</t>
  </si>
  <si>
    <t xml:space="preserve">   USER-DEFINED (A.G.R.)</t>
  </si>
  <si>
    <t>SHOW HISTORIC DATA:</t>
  </si>
  <si>
    <t>SHOW FUTURE DATA:</t>
  </si>
  <si>
    <t>Step 1</t>
  </si>
  <si>
    <t>outflow</t>
  </si>
  <si>
    <t>inflow</t>
  </si>
  <si>
    <t>to 1</t>
  </si>
  <si>
    <t>to 2</t>
  </si>
  <si>
    <t>to 3</t>
  </si>
  <si>
    <t>to 4</t>
  </si>
  <si>
    <t>from 1</t>
  </si>
  <si>
    <t>1 to 2</t>
  </si>
  <si>
    <t>1 to 3</t>
  </si>
  <si>
    <t>1 to 4</t>
  </si>
  <si>
    <t>from 2</t>
  </si>
  <si>
    <t>2 to 1</t>
  </si>
  <si>
    <t>2 to 3</t>
  </si>
  <si>
    <t>2 to 4</t>
  </si>
  <si>
    <t>from 3</t>
  </si>
  <si>
    <t>3 to 1</t>
  </si>
  <si>
    <t>3 to 2</t>
  </si>
  <si>
    <t>3 to 4</t>
  </si>
  <si>
    <t>from 4</t>
  </si>
  <si>
    <t>4 to 1</t>
  </si>
  <si>
    <t>4 to 2</t>
  </si>
  <si>
    <t>4 to 3</t>
  </si>
  <si>
    <t>Iteration #</t>
  </si>
  <si>
    <t>Step 2</t>
  </si>
  <si>
    <t>check</t>
  </si>
  <si>
    <t>Step 3</t>
  </si>
  <si>
    <t>A</t>
  </si>
  <si>
    <t>if A is greater than C then subtract C from A, else subtract A from C</t>
  </si>
  <si>
    <t>right</t>
  </si>
  <si>
    <t>through</t>
  </si>
  <si>
    <t>left</t>
  </si>
  <si>
    <t>if D is greater than B then subtract B from D, else subtract D from B</t>
  </si>
  <si>
    <t>subtract the smaller of (1) and (2) from the larger of (1) and (2)</t>
  </si>
  <si>
    <t>divide (3) by 2</t>
  </si>
  <si>
    <t>subtract (4) from the larger of (1) and (2)</t>
  </si>
  <si>
    <t>D</t>
  </si>
  <si>
    <t>B</t>
  </si>
  <si>
    <t>A-C</t>
  </si>
  <si>
    <t>B-D</t>
  </si>
  <si>
    <t>TEST</t>
  </si>
  <si>
    <t>calculate proration constant</t>
  </si>
  <si>
    <t>C</t>
  </si>
  <si>
    <t>validate data</t>
  </si>
  <si>
    <t>Census</t>
  </si>
  <si>
    <t>Estimate</t>
  </si>
  <si>
    <t>Area Name</t>
  </si>
  <si>
    <t>North Carolina</t>
  </si>
  <si>
    <t>Alamance</t>
  </si>
  <si>
    <t>Alexander</t>
  </si>
  <si>
    <t>Alleghany</t>
  </si>
  <si>
    <t>Anson</t>
  </si>
  <si>
    <t>Ashe</t>
  </si>
  <si>
    <t>Avery</t>
  </si>
  <si>
    <t>Beaufort</t>
  </si>
  <si>
    <t>Bertie</t>
  </si>
  <si>
    <t>Bladen</t>
  </si>
  <si>
    <t>Brunswick</t>
  </si>
  <si>
    <t>Buncombe</t>
  </si>
  <si>
    <t>Burke</t>
  </si>
  <si>
    <t>Cabarrus</t>
  </si>
  <si>
    <t>Caldwell</t>
  </si>
  <si>
    <t>Camden</t>
  </si>
  <si>
    <t>Carteret</t>
  </si>
  <si>
    <t>Caswell</t>
  </si>
  <si>
    <t>Catawba</t>
  </si>
  <si>
    <t>Chatham</t>
  </si>
  <si>
    <t>Cherokee</t>
  </si>
  <si>
    <t>Chowan</t>
  </si>
  <si>
    <t>Clay</t>
  </si>
  <si>
    <t>Cleveland</t>
  </si>
  <si>
    <t>Columbus</t>
  </si>
  <si>
    <t>Craven</t>
  </si>
  <si>
    <t>Cumberland</t>
  </si>
  <si>
    <t>Currituck</t>
  </si>
  <si>
    <t>Dare</t>
  </si>
  <si>
    <t>Davidson</t>
  </si>
  <si>
    <t>Davie</t>
  </si>
  <si>
    <t>Duplin</t>
  </si>
  <si>
    <t>Durham</t>
  </si>
  <si>
    <t>Edgecombe</t>
  </si>
  <si>
    <t>Forsyth</t>
  </si>
  <si>
    <t>Franklin</t>
  </si>
  <si>
    <t>Gaston</t>
  </si>
  <si>
    <t>Gates</t>
  </si>
  <si>
    <t>Graham</t>
  </si>
  <si>
    <t>Granville</t>
  </si>
  <si>
    <t>Greene</t>
  </si>
  <si>
    <t>Guilford</t>
  </si>
  <si>
    <t>Halifax</t>
  </si>
  <si>
    <t>Harnett</t>
  </si>
  <si>
    <t>Haywood</t>
  </si>
  <si>
    <t>Henderson</t>
  </si>
  <si>
    <t>Hertford</t>
  </si>
  <si>
    <t>Hoke</t>
  </si>
  <si>
    <t>Hyde</t>
  </si>
  <si>
    <t>Iredell</t>
  </si>
  <si>
    <t>Jackson</t>
  </si>
  <si>
    <t>Johnston</t>
  </si>
  <si>
    <t>Jones</t>
  </si>
  <si>
    <t>Lee</t>
  </si>
  <si>
    <t>Lenoir</t>
  </si>
  <si>
    <t>Lincoln</t>
  </si>
  <si>
    <t>Macon</t>
  </si>
  <si>
    <t>Madison</t>
  </si>
  <si>
    <t>Martin</t>
  </si>
  <si>
    <t>McDowell</t>
  </si>
  <si>
    <t>Mecklenburg</t>
  </si>
  <si>
    <t>Mitchell</t>
  </si>
  <si>
    <t>Montgomery</t>
  </si>
  <si>
    <t>Moore</t>
  </si>
  <si>
    <t>Nash</t>
  </si>
  <si>
    <t>New Hanover</t>
  </si>
  <si>
    <t>Northampton</t>
  </si>
  <si>
    <t>Onslow</t>
  </si>
  <si>
    <t>Orange</t>
  </si>
  <si>
    <t>Pamlico</t>
  </si>
  <si>
    <t>Pasquotank</t>
  </si>
  <si>
    <t>Pender</t>
  </si>
  <si>
    <t>Perquimans</t>
  </si>
  <si>
    <t>Person</t>
  </si>
  <si>
    <t>Pitt</t>
  </si>
  <si>
    <t>Polk</t>
  </si>
  <si>
    <t>Randolph</t>
  </si>
  <si>
    <t>Richmond</t>
  </si>
  <si>
    <t>Robeson</t>
  </si>
  <si>
    <t>Rockingham</t>
  </si>
  <si>
    <t>Rowan</t>
  </si>
  <si>
    <t>Rutherford</t>
  </si>
  <si>
    <t>Sampson</t>
  </si>
  <si>
    <t>Scotland</t>
  </si>
  <si>
    <t>Stanly</t>
  </si>
  <si>
    <t>Stokes</t>
  </si>
  <si>
    <t>Surry</t>
  </si>
  <si>
    <t>Swain</t>
  </si>
  <si>
    <t>Transylvania</t>
  </si>
  <si>
    <t>Tyrrell</t>
  </si>
  <si>
    <t>Union</t>
  </si>
  <si>
    <t>Vance</t>
  </si>
  <si>
    <t>Wake</t>
  </si>
  <si>
    <t>Warren</t>
  </si>
  <si>
    <t>Washington</t>
  </si>
  <si>
    <t>Watauga</t>
  </si>
  <si>
    <t>Wayne</t>
  </si>
  <si>
    <t>Wilkes</t>
  </si>
  <si>
    <t>Wilson</t>
  </si>
  <si>
    <t>Yadkin</t>
  </si>
  <si>
    <t>Yancey</t>
  </si>
  <si>
    <t>statwide % change</t>
  </si>
  <si>
    <t>1970 Population</t>
  </si>
  <si>
    <t>1975 Population</t>
  </si>
  <si>
    <t>1980 Population</t>
  </si>
  <si>
    <t>1985 Population</t>
  </si>
  <si>
    <t>1990 Population</t>
  </si>
  <si>
    <t>1995 Population</t>
  </si>
  <si>
    <t>2000 Population</t>
  </si>
  <si>
    <t>Land Mass (sq mi)</t>
  </si>
  <si>
    <t>Alamance Co.</t>
  </si>
  <si>
    <t>Alexander Co.</t>
  </si>
  <si>
    <t>Alleghany Co.</t>
  </si>
  <si>
    <t>Anson Co.</t>
  </si>
  <si>
    <t>Ashe Co.</t>
  </si>
  <si>
    <t>Avery Co.</t>
  </si>
  <si>
    <t>Beaufort Co.</t>
  </si>
  <si>
    <t>Bertie Co.</t>
  </si>
  <si>
    <t>Bladen Co.</t>
  </si>
  <si>
    <t>Brunswick Co.</t>
  </si>
  <si>
    <t>Buncombe Co.</t>
  </si>
  <si>
    <t>Burke Co.</t>
  </si>
  <si>
    <t>Cabarrus Co.</t>
  </si>
  <si>
    <t>Caldwell Co.</t>
  </si>
  <si>
    <t>Camden Co.</t>
  </si>
  <si>
    <t>Carteret Co.</t>
  </si>
  <si>
    <t>Caswell Co.</t>
  </si>
  <si>
    <t>Catawba Co.</t>
  </si>
  <si>
    <t>Chatham Co.</t>
  </si>
  <si>
    <t>Cherokee Co.</t>
  </si>
  <si>
    <t>Chowan Co.</t>
  </si>
  <si>
    <t>Clay Co.</t>
  </si>
  <si>
    <t>Cleveland Co.</t>
  </si>
  <si>
    <t>Columbus Co.</t>
  </si>
  <si>
    <t>Craven Co.</t>
  </si>
  <si>
    <t>Cumberland Co.</t>
  </si>
  <si>
    <t>Currituck Co.</t>
  </si>
  <si>
    <t>Dare Co.</t>
  </si>
  <si>
    <t>Davidson Co.</t>
  </si>
  <si>
    <t>Davie Co.</t>
  </si>
  <si>
    <t>Duplin Co.</t>
  </si>
  <si>
    <t>Durham Co.</t>
  </si>
  <si>
    <t>Edgecombe Co.</t>
  </si>
  <si>
    <t>Forsyth Co.</t>
  </si>
  <si>
    <t>Franklin Co.</t>
  </si>
  <si>
    <t>Gaston Co.</t>
  </si>
  <si>
    <t>Gates Co.</t>
  </si>
  <si>
    <t>Graham Co.</t>
  </si>
  <si>
    <t>Granville Co.</t>
  </si>
  <si>
    <t>Greene Co.</t>
  </si>
  <si>
    <t>Guilford Co.</t>
  </si>
  <si>
    <t>Halifax Co.</t>
  </si>
  <si>
    <t>Harnett Co.</t>
  </si>
  <si>
    <t>Haywood Co.</t>
  </si>
  <si>
    <t>Henderson Co.</t>
  </si>
  <si>
    <t>Hertford Co.</t>
  </si>
  <si>
    <t>Hoke Co.</t>
  </si>
  <si>
    <t>Hyde Co.</t>
  </si>
  <si>
    <t>Iredell Co.</t>
  </si>
  <si>
    <t>Jackson Co.</t>
  </si>
  <si>
    <t>Johnston Co.</t>
  </si>
  <si>
    <t>Jones Co.</t>
  </si>
  <si>
    <t>Lee Co.</t>
  </si>
  <si>
    <t>Lenoir Co.</t>
  </si>
  <si>
    <t>Lincoln Co.</t>
  </si>
  <si>
    <t>Macon Co.</t>
  </si>
  <si>
    <t>Madison Co.</t>
  </si>
  <si>
    <t>Martin Co.</t>
  </si>
  <si>
    <t>McDowell Co.</t>
  </si>
  <si>
    <t>Mecklenburg Co.</t>
  </si>
  <si>
    <t>Mitchell Co.</t>
  </si>
  <si>
    <t>Montgomery Co.</t>
  </si>
  <si>
    <t>Moore Co.</t>
  </si>
  <si>
    <t>Nash Co.</t>
  </si>
  <si>
    <t>New Hanover Co.</t>
  </si>
  <si>
    <t>Northampton Co.</t>
  </si>
  <si>
    <t>Onslow Co.</t>
  </si>
  <si>
    <t>Orange Co.</t>
  </si>
  <si>
    <t>Pamlico Co.</t>
  </si>
  <si>
    <t>Pasquotank Co.</t>
  </si>
  <si>
    <t>Pender Co.</t>
  </si>
  <si>
    <t>Perquimans Co.</t>
  </si>
  <si>
    <t>Person Co.</t>
  </si>
  <si>
    <t>Pitt Co.</t>
  </si>
  <si>
    <t>Polk Co.</t>
  </si>
  <si>
    <t>Randolph Co.</t>
  </si>
  <si>
    <t>Richmond Co.</t>
  </si>
  <si>
    <t>Robeson Co.</t>
  </si>
  <si>
    <t>Rockingham Co.</t>
  </si>
  <si>
    <t>Rowan Co.</t>
  </si>
  <si>
    <t>Rutherford Co.</t>
  </si>
  <si>
    <t>Sampson Co.</t>
  </si>
  <si>
    <t>Scotland Co.</t>
  </si>
  <si>
    <t>Stanly Co.</t>
  </si>
  <si>
    <t>Stokes Co.</t>
  </si>
  <si>
    <t>Surry Co.</t>
  </si>
  <si>
    <t>Swain Co.</t>
  </si>
  <si>
    <t>Transylvania Co.</t>
  </si>
  <si>
    <t>Tyrrell Co.</t>
  </si>
  <si>
    <t>Union Co.</t>
  </si>
  <si>
    <t>Vance Co.</t>
  </si>
  <si>
    <t>Wake Co.</t>
  </si>
  <si>
    <t>Warren Co.</t>
  </si>
  <si>
    <t>Washington Co.</t>
  </si>
  <si>
    <t>Watauga Co.</t>
  </si>
  <si>
    <t>Wayne Co.</t>
  </si>
  <si>
    <t>Wilkes Co.</t>
  </si>
  <si>
    <t>Wilson Co.</t>
  </si>
  <si>
    <t>Yadkin Co.</t>
  </si>
  <si>
    <t>Yancey Co.</t>
  </si>
  <si>
    <t>Cumulative</t>
  </si>
  <si>
    <t>Annualized</t>
  </si>
  <si>
    <t>Sample -- Enter the location description here.</t>
  </si>
  <si>
    <t>VOLUME DATA</t>
  </si>
  <si>
    <t>NB</t>
  </si>
  <si>
    <t>TOTAL</t>
  </si>
  <si>
    <t>24-HR%</t>
  </si>
  <si>
    <t>AM PEAK:</t>
  </si>
  <si>
    <t>PM PEAK:</t>
  </si>
  <si>
    <t>VEH CLASS</t>
  </si>
  <si>
    <t>RESULTS</t>
  </si>
  <si>
    <t># Cars:</t>
  </si>
  <si>
    <t># Duals:</t>
  </si>
  <si>
    <t># TTSTs:</t>
  </si>
  <si>
    <t>% Cars:</t>
  </si>
  <si>
    <t>% Duals:</t>
  </si>
  <si>
    <t>% TTSTs:</t>
  </si>
  <si>
    <t>Axle Factor:</t>
  </si>
  <si>
    <t>Hourly Traffic Data Results Form</t>
  </si>
  <si>
    <t>2006 Population</t>
  </si>
  <si>
    <t>1970 to 2006 annualized population percent increase</t>
  </si>
  <si>
    <t>1970 to 2006 annualized population numerical increase</t>
  </si>
  <si>
    <t>1975 to 2006 annualized population numerical increase</t>
  </si>
  <si>
    <t>1980 to 2006 annualized population numerical increase</t>
  </si>
  <si>
    <t>1985 to 2006 annualized population numerical increase</t>
  </si>
  <si>
    <t>1990 to 2006 annualized population numerical increase</t>
  </si>
  <si>
    <t>1995 to 2006 annualized population numerical increase</t>
  </si>
  <si>
    <t>2000 to 2006 annualized population numerical increase</t>
  </si>
  <si>
    <t>1970 to 2006 cumulative population numerical increase</t>
  </si>
  <si>
    <t>1975 to 2006 cumulative population numerical increase</t>
  </si>
  <si>
    <t>1980 to 2006 cumulative population numerical increase</t>
  </si>
  <si>
    <t>1985 to 2006 cumulative population numerical increase</t>
  </si>
  <si>
    <t>1990 to 2006 cumulative population numerical increase</t>
  </si>
  <si>
    <t>1995 to 2006 cumulative population numerical increase</t>
  </si>
  <si>
    <t>2000 to 2006 cumulative population numerical increase</t>
  </si>
  <si>
    <t>1975 to 2006 annualized population percent increase</t>
  </si>
  <si>
    <t>1980 to 2006 annualized population percent increase</t>
  </si>
  <si>
    <t>1985 to 2006 annualized population percent increase</t>
  </si>
  <si>
    <t>1990 to 2006 annualized population percent increase</t>
  </si>
  <si>
    <t>1995 to 2006 annualized population percent increase</t>
  </si>
  <si>
    <t>2000 to 2006 annualized population percent increase</t>
  </si>
  <si>
    <t>1970 to 2006 cumulative population percent increase</t>
  </si>
  <si>
    <t>1975 to 2006 cumulative population percent increase</t>
  </si>
  <si>
    <t>1980 to 2006 cumulative population percent increase</t>
  </si>
  <si>
    <t>1985 to 2006 cumulative population percent increase</t>
  </si>
  <si>
    <t>1990 to 2006 cumulative population percent increase</t>
  </si>
  <si>
    <t>1995 to 2006 cumulative population percent increase</t>
  </si>
  <si>
    <t>2000 to 2006 cumulative population percent increase</t>
  </si>
  <si>
    <t>USER-DEFINED GROWTH CALCULATOR:</t>
  </si>
  <si>
    <t>Average                Growth Rate:</t>
  </si>
  <si>
    <t>Title - Replace with text</t>
  </si>
  <si>
    <t>Title - Replace with text ore delete</t>
  </si>
  <si>
    <t>Ext Sta 33, Network ID 12043, Catawba NC, NC16 - Catawba Co</t>
  </si>
  <si>
    <t>Ext Sta 32, Network ID 12044, Catawba NC, Sherrils Ford Rd / SR1848 - Catawba Co</t>
  </si>
  <si>
    <t>Ext Sta 52, Network ID 12037, Cleveland Co. NC, I-85</t>
  </si>
  <si>
    <t xml:space="preserve">Ext Sta 53, Network ID 12036, Cleveland Co. NC, NC 216/Battleground Ave. </t>
  </si>
  <si>
    <t xml:space="preserve">Ext Sta 34, Network ID 12045, Lincoln Co. NC, SR 1343/Ivey Church Rd. </t>
  </si>
  <si>
    <t xml:space="preserve">Ext Sta 35, Network ID 12042,  Lincoln Co. NC, US 321 B/Maiden Hwy.  </t>
  </si>
  <si>
    <t xml:space="preserve">Ext Sta 36, Network ID 12041, Lincoln Co. NC, US 321 </t>
  </si>
  <si>
    <t xml:space="preserve">Ext Sta 37, Network ID 12038, Lincoln Co. NC, SR 1005/Startown Rd. </t>
  </si>
  <si>
    <t xml:space="preserve">Ext Sta 38, Network ID 12039, Lincoln Co. NC, SR 1008/Killian Rd.  </t>
  </si>
  <si>
    <t xml:space="preserve">Ext Sta 39, Network ID 12067, Lincoln Co. NC, SR 1197/Cansler Rd.  </t>
  </si>
  <si>
    <t xml:space="preserve">Ext Sta 40, Network ID 12066, Lincoln Co. NC, SR 1125/Cat Square Rd.  </t>
  </si>
  <si>
    <t>Ext Sta 21, Network ID 12053, Rowan NC, Bringle Ferry Rd/SR 1002 - Rowan Co</t>
  </si>
  <si>
    <t>Ext Sta 24, Network ID 12055, Rowan NC, US 601 - Rowan Co</t>
  </si>
  <si>
    <t>Ext Sta 25, Network ID 12056, Rowan NC, NC 801 - Rowan Co</t>
  </si>
  <si>
    <t>Ext Sta 22, Network ID 12057, Rowan NC, I-85 - Rowan Co</t>
  </si>
  <si>
    <t>Ext Sta 23, Network ID 12058, Rowan NC, US 29/Main St - Rowan Co</t>
  </si>
  <si>
    <t>[12065] NC 742 -                                 Stanly County</t>
  </si>
  <si>
    <t>[12052] Plank Road/SR 1935 -          Stanly County</t>
  </si>
  <si>
    <t>[12048] US 52 -                                   Stanly County</t>
  </si>
  <si>
    <t>[12051] NC 731                                   Stanly County</t>
  </si>
  <si>
    <t>[12050] NC 24/27/73                          Stanly County</t>
  </si>
  <si>
    <t>[12049] NC 49-8                                 Stanly County</t>
  </si>
  <si>
    <t>SC 49/Lockhart Rd  - York Co SC</t>
  </si>
  <si>
    <t>SC 97  - York Co SC</t>
  </si>
  <si>
    <t>SC 211/Irene Bridge HWY  - York Co SC</t>
  </si>
  <si>
    <t>US 321/Chester Hwy  - York Co SC</t>
  </si>
  <si>
    <t>S-165/Brattonsville Rd  - York Co SC</t>
  </si>
  <si>
    <t>SC 72/Saluda Rd  - York Co SC</t>
  </si>
  <si>
    <t>I-77 - York Co SC</t>
  </si>
  <si>
    <t>US 21  - York Co SC</t>
  </si>
  <si>
    <t>SC 901/Mt Holly Rd  - York Co SC</t>
  </si>
  <si>
    <t>S-52/Collins RD  - York Co SC</t>
  </si>
  <si>
    <t>US 521/Lancaster Hwy - Lancaster Co SC</t>
  </si>
  <si>
    <t>Ansonville/SR 1002  - Union County</t>
  </si>
  <si>
    <t>NC 200 -   Union County</t>
  </si>
  <si>
    <t>Tom Greene/SR 1130 -   Union County</t>
  </si>
  <si>
    <t>Potter/SR 1137 -   Union County</t>
  </si>
  <si>
    <t>NC 522 -    Union County</t>
  </si>
  <si>
    <t>NC 207  -       Union County</t>
  </si>
  <si>
    <t>Providence/SR 1117 -   Union County</t>
  </si>
  <si>
    <t>Plyler Mill/SR 2156 -   Union County</t>
  </si>
  <si>
    <t>Landsford/SR 1005  -  Union County</t>
  </si>
  <si>
    <t>US 601 &amp; Stack/SR 2115  -  Union County</t>
  </si>
  <si>
    <t>White Store/SR 1003 -  Union County</t>
  </si>
  <si>
    <t xml:space="preserve"> US 74  -   Union County</t>
  </si>
  <si>
    <t>NC 218  -  Union County</t>
  </si>
  <si>
    <t>Peachland/SR 1735  -  Union County</t>
  </si>
  <si>
    <t>NC 222 -     Union County</t>
  </si>
  <si>
    <t xml:space="preserve">NC 198/Blacksburg Rd. </t>
  </si>
  <si>
    <t>US 29, Cleveland Co.</t>
  </si>
  <si>
    <t xml:space="preserve">NC 18/Lafayett St., Cleveland Co. NC, </t>
  </si>
  <si>
    <t>NC-90</t>
  </si>
  <si>
    <t>US-64</t>
  </si>
  <si>
    <t>Old Mountain Rd</t>
  </si>
  <si>
    <t>Sharon School Rd</t>
  </si>
  <si>
    <t>I-40 West</t>
  </si>
  <si>
    <t>US-70 (Hickory Hwy)</t>
  </si>
  <si>
    <t>Bufflao Shoals Rd</t>
  </si>
  <si>
    <t>State Road 10_Lincoln County</t>
  </si>
  <si>
    <t>State Road 18_Lincoln County</t>
  </si>
  <si>
    <t>Old Highway 18_Cleveland County</t>
  </si>
  <si>
    <t>Wards Gap Road_Cleveland County</t>
  </si>
  <si>
    <t>Polkville Road(NC 226)_Cleveland County</t>
  </si>
  <si>
    <t>Newhouse Rd. (State Road 1352)_Cleveland County</t>
  </si>
  <si>
    <t>W Stage Coach Tr.(State Road 1361)_Cleveland County</t>
  </si>
  <si>
    <t>Elenboard Rd._Cleveland County</t>
  </si>
  <si>
    <t>US Hwy 74(W Dixon Blvd.)_Cleveland County</t>
  </si>
  <si>
    <t>McKinney Rd.(State Road 1184)_Cleveland County</t>
  </si>
  <si>
    <t>Cliffside Rd.(State Road 1003)_Cleveland County</t>
  </si>
  <si>
    <t>McCraw Rd.(State Road 1002)_Cleveland County</t>
  </si>
  <si>
    <t>Baily Rd(State Road 1206)_Cleveland County</t>
  </si>
  <si>
    <t>Gaffney Road (NC 150)_Cleveland County</t>
  </si>
  <si>
    <t>RIDGE RD</t>
  </si>
  <si>
    <t>WEST MEMORIAL HWY</t>
  </si>
  <si>
    <t>SANDY SPRINGS RD</t>
  </si>
  <si>
    <t>TURNERSBURG HWY (US 21)</t>
  </si>
  <si>
    <t>I-77 North</t>
  </si>
  <si>
    <t>ZION LIBERTY RD</t>
  </si>
  <si>
    <t>WARREN BRIDGE RD</t>
  </si>
  <si>
    <t>WILKESBORO HWY</t>
  </si>
  <si>
    <t>LINNEYS MILL RD</t>
  </si>
  <si>
    <t>MOUNTAIN VIEW RD</t>
  </si>
  <si>
    <t>TUCKERS GROVE</t>
  </si>
  <si>
    <t>PISGAH CHURCH RD</t>
  </si>
  <si>
    <t>SHEFFIELD RD</t>
  </si>
  <si>
    <t>12003- Tom Greene/SR 1130 -   Union County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</si>
</sst>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0.000"/>
    <numFmt numFmtId="165" formatCode="0.0"/>
    <numFmt numFmtId="166" formatCode="0.0000"/>
    <numFmt numFmtId="167" formatCode="0.0%"/>
    <numFmt numFmtId="168" formatCode="0.0000%"/>
  </numFmts>
  <fonts count="56" x14ac:knownFonts="1">
    <font>
      <sz val="10"/>
      <name val="Arial"/>
    </font>
    <font>
      <sz val="10"/>
      <name val="Arial"/>
      <family val="2"/>
    </font>
    <font>
      <sz val="10"/>
      <name val="Lucida Console"/>
      <family val="3"/>
    </font>
    <font>
      <b/>
      <sz val="10"/>
      <name val="Lucida Console"/>
      <family val="3"/>
    </font>
    <font>
      <sz val="9"/>
      <name val="Lucida Console"/>
      <family val="3"/>
    </font>
    <font>
      <b/>
      <sz val="9"/>
      <name val="Lucida Console"/>
      <family val="3"/>
    </font>
    <font>
      <sz val="9"/>
      <color indexed="9"/>
      <name val="Arial"/>
      <family val="2"/>
    </font>
    <font>
      <sz val="9"/>
      <name val="Arial"/>
      <family val="2"/>
    </font>
    <font>
      <sz val="14"/>
      <name val="Lucida Console"/>
      <family val="3"/>
    </font>
    <font>
      <b/>
      <sz val="8"/>
      <name val="Lucida Console"/>
      <family val="3"/>
    </font>
    <font>
      <sz val="8"/>
      <name val="Lucida Console"/>
      <family val="3"/>
    </font>
    <font>
      <sz val="8"/>
      <color indexed="23"/>
      <name val="Lucida Console"/>
      <family val="3"/>
    </font>
    <font>
      <b/>
      <sz val="8"/>
      <color indexed="60"/>
      <name val="Lucida Console"/>
      <family val="3"/>
    </font>
    <font>
      <b/>
      <sz val="8"/>
      <color indexed="8"/>
      <name val="Lucida Console"/>
      <family val="3"/>
    </font>
    <font>
      <sz val="7"/>
      <name val="Arial"/>
      <family val="2"/>
    </font>
    <font>
      <b/>
      <sz val="6"/>
      <color indexed="60"/>
      <name val="Lucida Console"/>
      <family val="3"/>
    </font>
    <font>
      <b/>
      <sz val="6"/>
      <color indexed="8"/>
      <name val="Lucida Console"/>
      <family val="3"/>
    </font>
    <font>
      <sz val="7.5"/>
      <name val="Lucida Console"/>
      <family val="3"/>
    </font>
    <font>
      <b/>
      <sz val="9"/>
      <color indexed="60"/>
      <name val="Lucida Console"/>
      <family val="3"/>
    </font>
    <font>
      <sz val="8"/>
      <color indexed="22"/>
      <name val="Lucida Console"/>
      <family val="3"/>
    </font>
    <font>
      <sz val="9"/>
      <color indexed="23"/>
      <name val="Lucida Console"/>
      <family val="3"/>
    </font>
    <font>
      <b/>
      <sz val="7"/>
      <name val="Arial"/>
      <family val="2"/>
    </font>
    <font>
      <b/>
      <sz val="8"/>
      <color indexed="16"/>
      <name val="Lucida Console"/>
      <family val="3"/>
    </font>
    <font>
      <i/>
      <sz val="10"/>
      <name val="Arial"/>
      <family val="2"/>
    </font>
    <font>
      <sz val="8"/>
      <name val="Arial"/>
      <family val="2"/>
    </font>
    <font>
      <sz val="16"/>
      <name val="Tahoma"/>
      <family val="2"/>
    </font>
    <font>
      <b/>
      <sz val="16"/>
      <name val="Tahoma"/>
      <family val="2"/>
    </font>
    <font>
      <b/>
      <sz val="14"/>
      <name val="Arial"/>
      <family val="2"/>
    </font>
    <font>
      <sz val="10"/>
      <name val="Courier New"/>
      <family val="3"/>
    </font>
    <font>
      <sz val="10"/>
      <name val="Arial"/>
      <family val="2"/>
    </font>
    <font>
      <sz val="10"/>
      <color indexed="9"/>
      <name val="Arial"/>
      <family val="2"/>
    </font>
    <font>
      <b/>
      <sz val="20"/>
      <name val="Symbol"/>
      <family val="1"/>
      <charset val="2"/>
    </font>
    <font>
      <b/>
      <sz val="10"/>
      <name val="Arial"/>
      <family val="2"/>
    </font>
    <font>
      <sz val="9"/>
      <name val="Arial"/>
      <family val="2"/>
    </font>
    <font>
      <sz val="10"/>
      <name val="Symbol"/>
      <family val="1"/>
      <charset val="2"/>
    </font>
    <font>
      <b/>
      <sz val="12"/>
      <name val="Lucida Console"/>
      <family val="3"/>
    </font>
    <font>
      <sz val="9"/>
      <name val="Courier New"/>
      <family val="3"/>
    </font>
    <font>
      <b/>
      <sz val="9"/>
      <name val="Courier New"/>
      <family val="3"/>
    </font>
    <font>
      <b/>
      <sz val="10"/>
      <name val="Courier New"/>
      <family val="3"/>
    </font>
    <font>
      <sz val="8"/>
      <color indexed="9"/>
      <name val="Courier New"/>
      <family val="3"/>
    </font>
    <font>
      <b/>
      <u/>
      <sz val="10"/>
      <name val="Courier New"/>
      <family val="3"/>
    </font>
    <font>
      <b/>
      <sz val="10"/>
      <color indexed="10"/>
      <name val="Courier New"/>
      <family val="3"/>
    </font>
    <font>
      <b/>
      <sz val="10"/>
      <color indexed="12"/>
      <name val="Courier New"/>
      <family val="3"/>
    </font>
    <font>
      <b/>
      <sz val="8"/>
      <name val="Courier New"/>
      <family val="3"/>
    </font>
    <font>
      <b/>
      <sz val="8"/>
      <color indexed="8"/>
      <name val="Courier New"/>
      <family val="3"/>
    </font>
    <font>
      <sz val="10"/>
      <color indexed="8"/>
      <name val="Courier New"/>
      <family val="3"/>
    </font>
    <font>
      <sz val="8"/>
      <name val="Courier New"/>
      <family val="3"/>
    </font>
    <font>
      <sz val="10"/>
      <color indexed="9"/>
      <name val="Courier New"/>
      <family val="3"/>
    </font>
    <font>
      <sz val="8"/>
      <color indexed="10"/>
      <name val="Courier New"/>
      <family val="3"/>
    </font>
    <font>
      <sz val="8"/>
      <name val="Arial"/>
      <family val="2"/>
    </font>
    <font>
      <b/>
      <sz val="7"/>
      <color rgb="FF333399"/>
      <name val="Lucida Console"/>
      <family val="3"/>
    </font>
    <font>
      <b/>
      <sz val="8"/>
      <color indexed="81"/>
      <name val="Tahoma"/>
      <family val="2"/>
    </font>
    <font>
      <b/>
      <sz val="9"/>
      <color rgb="FF993300"/>
      <name val="Arial"/>
      <family val="2"/>
    </font>
    <font>
      <sz val="10"/>
      <color indexed="8"/>
      <name val="Times New Roman"/>
      <family val="1"/>
    </font>
    <font>
      <sz val="10"/>
      <name val="Times New Roman"/>
      <family val="1"/>
    </font>
    <font>
      <sz val="10"/>
      <color rgb="FF00B0F0"/>
      <name val="MS Sans Serif"/>
      <family val="2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9"/>
        <bgColor indexed="64"/>
      </patternFill>
    </fill>
  </fills>
  <borders count="10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indexed="64"/>
      </right>
      <top/>
      <bottom style="dotted">
        <color indexed="64"/>
      </bottom>
      <diagonal/>
    </border>
    <border>
      <left style="dashed">
        <color indexed="64"/>
      </left>
      <right style="dashed">
        <color indexed="64"/>
      </right>
      <top/>
      <bottom style="dotted">
        <color indexed="64"/>
      </bottom>
      <diagonal/>
    </border>
    <border>
      <left style="dashed">
        <color indexed="64"/>
      </left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dashed">
        <color indexed="64"/>
      </left>
      <right/>
      <top style="medium">
        <color indexed="64"/>
      </top>
      <bottom style="dashed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/>
      <diagonal/>
    </border>
    <border>
      <left style="dashed">
        <color indexed="64"/>
      </left>
      <right/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/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</cellStyleXfs>
  <cellXfs count="354">
    <xf numFmtId="0" fontId="0" fillId="0" borderId="0" xfId="0"/>
    <xf numFmtId="0" fontId="0" fillId="2" borderId="0" xfId="0" applyFill="1"/>
    <xf numFmtId="0" fontId="2" fillId="2" borderId="0" xfId="0" applyFont="1" applyFill="1"/>
    <xf numFmtId="0" fontId="3" fillId="2" borderId="0" xfId="0" applyFont="1" applyFill="1"/>
    <xf numFmtId="0" fontId="4" fillId="2" borderId="0" xfId="0" applyFont="1" applyFill="1"/>
    <xf numFmtId="0" fontId="5" fillId="3" borderId="1" xfId="0" applyFont="1" applyFill="1" applyBorder="1" applyAlignment="1">
      <alignment horizontal="center"/>
    </xf>
    <xf numFmtId="0" fontId="6" fillId="2" borderId="0" xfId="0" applyFont="1" applyFill="1"/>
    <xf numFmtId="0" fontId="7" fillId="2" borderId="0" xfId="0" applyFont="1" applyFill="1"/>
    <xf numFmtId="0" fontId="5" fillId="3" borderId="1" xfId="0" applyFont="1" applyFill="1" applyBorder="1" applyAlignment="1">
      <alignment horizontal="right"/>
    </xf>
    <xf numFmtId="0" fontId="4" fillId="3" borderId="1" xfId="0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0" fontId="6" fillId="2" borderId="0" xfId="0" applyFont="1" applyFill="1" applyAlignment="1">
      <alignment horizontal="center"/>
    </xf>
    <xf numFmtId="0" fontId="7" fillId="2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0" fontId="5" fillId="2" borderId="0" xfId="0" applyFont="1" applyFill="1"/>
    <xf numFmtId="0" fontId="2" fillId="2" borderId="0" xfId="0" applyFont="1" applyFill="1" applyBorder="1"/>
    <xf numFmtId="0" fontId="10" fillId="2" borderId="2" xfId="0" applyFont="1" applyFill="1" applyBorder="1"/>
    <xf numFmtId="0" fontId="9" fillId="2" borderId="2" xfId="0" applyFont="1" applyFill="1" applyBorder="1"/>
    <xf numFmtId="1" fontId="10" fillId="2" borderId="2" xfId="0" applyNumberFormat="1" applyFont="1" applyFill="1" applyBorder="1" applyAlignment="1">
      <alignment horizontal="left"/>
    </xf>
    <xf numFmtId="1" fontId="11" fillId="2" borderId="2" xfId="0" applyNumberFormat="1" applyFont="1" applyFill="1" applyBorder="1" applyAlignment="1">
      <alignment horizontal="left"/>
    </xf>
    <xf numFmtId="167" fontId="10" fillId="2" borderId="2" xfId="2" applyNumberFormat="1" applyFont="1" applyFill="1" applyBorder="1" applyAlignment="1">
      <alignment horizontal="left"/>
    </xf>
    <xf numFmtId="0" fontId="10" fillId="2" borderId="3" xfId="0" applyFont="1" applyFill="1" applyBorder="1"/>
    <xf numFmtId="0" fontId="10" fillId="2" borderId="2" xfId="0" applyFont="1" applyFill="1" applyBorder="1" applyAlignment="1">
      <alignment horizontal="left" indent="1"/>
    </xf>
    <xf numFmtId="166" fontId="10" fillId="2" borderId="2" xfId="0" applyNumberFormat="1" applyFont="1" applyFill="1" applyBorder="1" applyAlignment="1">
      <alignment horizontal="left"/>
    </xf>
    <xf numFmtId="0" fontId="10" fillId="2" borderId="4" xfId="0" applyFont="1" applyFill="1" applyBorder="1"/>
    <xf numFmtId="0" fontId="10" fillId="2" borderId="5" xfId="0" applyFont="1" applyFill="1" applyBorder="1"/>
    <xf numFmtId="0" fontId="10" fillId="2" borderId="6" xfId="0" applyFont="1" applyFill="1" applyBorder="1"/>
    <xf numFmtId="0" fontId="10" fillId="2" borderId="7" xfId="0" applyFont="1" applyFill="1" applyBorder="1"/>
    <xf numFmtId="0" fontId="10" fillId="2" borderId="8" xfId="0" applyFont="1" applyFill="1" applyBorder="1" applyAlignment="1">
      <alignment horizontal="center"/>
    </xf>
    <xf numFmtId="0" fontId="10" fillId="2" borderId="9" xfId="0" applyFont="1" applyFill="1" applyBorder="1" applyAlignment="1">
      <alignment horizontal="center"/>
    </xf>
    <xf numFmtId="0" fontId="10" fillId="2" borderId="10" xfId="0" applyFont="1" applyFill="1" applyBorder="1" applyAlignment="1">
      <alignment horizontal="center"/>
    </xf>
    <xf numFmtId="1" fontId="11" fillId="2" borderId="11" xfId="0" applyNumberFormat="1" applyFont="1" applyFill="1" applyBorder="1" applyAlignment="1">
      <alignment horizontal="left" vertical="center"/>
    </xf>
    <xf numFmtId="1" fontId="11" fillId="2" borderId="12" xfId="0" applyNumberFormat="1" applyFont="1" applyFill="1" applyBorder="1" applyAlignment="1">
      <alignment horizontal="left" vertical="center"/>
    </xf>
    <xf numFmtId="0" fontId="10" fillId="2" borderId="0" xfId="0" applyFont="1" applyFill="1"/>
    <xf numFmtId="0" fontId="10" fillId="2" borderId="2" xfId="0" applyFont="1" applyFill="1" applyBorder="1" applyAlignment="1">
      <alignment horizontal="left"/>
    </xf>
    <xf numFmtId="0" fontId="9" fillId="4" borderId="13" xfId="0" applyFont="1" applyFill="1" applyBorder="1" applyAlignment="1" applyProtection="1">
      <alignment horizontal="center"/>
      <protection locked="0"/>
    </xf>
    <xf numFmtId="0" fontId="9" fillId="4" borderId="14" xfId="0" applyFont="1" applyFill="1" applyBorder="1" applyAlignment="1" applyProtection="1">
      <alignment horizontal="center"/>
      <protection locked="0"/>
    </xf>
    <xf numFmtId="0" fontId="15" fillId="3" borderId="15" xfId="0" applyFont="1" applyFill="1" applyBorder="1" applyAlignment="1">
      <alignment horizontal="center" vertical="center"/>
    </xf>
    <xf numFmtId="1" fontId="13" fillId="3" borderId="16" xfId="0" applyNumberFormat="1" applyFont="1" applyFill="1" applyBorder="1" applyAlignment="1">
      <alignment horizontal="center"/>
    </xf>
    <xf numFmtId="0" fontId="2" fillId="2" borderId="17" xfId="0" applyFont="1" applyFill="1" applyBorder="1"/>
    <xf numFmtId="0" fontId="2" fillId="2" borderId="18" xfId="0" applyFont="1" applyFill="1" applyBorder="1"/>
    <xf numFmtId="0" fontId="2" fillId="2" borderId="19" xfId="0" applyFont="1" applyFill="1" applyBorder="1"/>
    <xf numFmtId="0" fontId="2" fillId="2" borderId="20" xfId="0" applyFont="1" applyFill="1" applyBorder="1"/>
    <xf numFmtId="0" fontId="2" fillId="2" borderId="21" xfId="0" applyFont="1" applyFill="1" applyBorder="1"/>
    <xf numFmtId="0" fontId="2" fillId="2" borderId="22" xfId="0" applyFont="1" applyFill="1" applyBorder="1"/>
    <xf numFmtId="0" fontId="2" fillId="2" borderId="23" xfId="0" applyFont="1" applyFill="1" applyBorder="1"/>
    <xf numFmtId="0" fontId="2" fillId="2" borderId="24" xfId="0" applyFont="1" applyFill="1" applyBorder="1"/>
    <xf numFmtId="0" fontId="10" fillId="2" borderId="25" xfId="0" applyFont="1" applyFill="1" applyBorder="1" applyAlignment="1">
      <alignment horizontal="center"/>
    </xf>
    <xf numFmtId="0" fontId="9" fillId="4" borderId="26" xfId="0" applyFont="1" applyFill="1" applyBorder="1" applyAlignment="1" applyProtection="1">
      <alignment horizontal="center"/>
      <protection locked="0"/>
    </xf>
    <xf numFmtId="0" fontId="4" fillId="4" borderId="27" xfId="0" applyFont="1" applyFill="1" applyBorder="1" applyAlignment="1" applyProtection="1">
      <alignment horizontal="left"/>
      <protection locked="0"/>
    </xf>
    <xf numFmtId="0" fontId="4" fillId="4" borderId="11" xfId="0" applyFont="1" applyFill="1" applyBorder="1" applyAlignment="1" applyProtection="1">
      <alignment horizontal="left"/>
      <protection locked="0"/>
    </xf>
    <xf numFmtId="0" fontId="4" fillId="4" borderId="30" xfId="0" applyFont="1" applyFill="1" applyBorder="1" applyAlignment="1" applyProtection="1">
      <alignment horizontal="right"/>
      <protection locked="0"/>
    </xf>
    <xf numFmtId="0" fontId="4" fillId="4" borderId="32" xfId="0" applyFont="1" applyFill="1" applyBorder="1" applyAlignment="1" applyProtection="1">
      <alignment horizontal="left"/>
      <protection locked="0"/>
    </xf>
    <xf numFmtId="0" fontId="4" fillId="4" borderId="33" xfId="0" applyFont="1" applyFill="1" applyBorder="1" applyAlignment="1" applyProtection="1">
      <alignment horizontal="right"/>
      <protection locked="0"/>
    </xf>
    <xf numFmtId="0" fontId="11" fillId="2" borderId="0" xfId="0" applyFont="1" applyFill="1"/>
    <xf numFmtId="1" fontId="4" fillId="3" borderId="35" xfId="0" applyNumberFormat="1" applyFont="1" applyFill="1" applyBorder="1" applyAlignment="1">
      <alignment horizontal="center"/>
    </xf>
    <xf numFmtId="0" fontId="18" fillId="3" borderId="36" xfId="0" applyFont="1" applyFill="1" applyBorder="1" applyAlignment="1">
      <alignment horizontal="center"/>
    </xf>
    <xf numFmtId="0" fontId="18" fillId="3" borderId="37" xfId="0" applyFont="1" applyFill="1" applyBorder="1" applyAlignment="1">
      <alignment horizontal="center"/>
    </xf>
    <xf numFmtId="1" fontId="19" fillId="2" borderId="0" xfId="0" applyNumberFormat="1" applyFont="1" applyFill="1" applyBorder="1"/>
    <xf numFmtId="165" fontId="19" fillId="2" borderId="0" xfId="0" applyNumberFormat="1" applyFont="1" applyFill="1" applyBorder="1" applyAlignment="1">
      <alignment horizontal="right"/>
    </xf>
    <xf numFmtId="1" fontId="19" fillId="2" borderId="0" xfId="0" applyNumberFormat="1" applyFont="1" applyFill="1" applyBorder="1" applyAlignment="1">
      <alignment horizontal="right"/>
    </xf>
    <xf numFmtId="165" fontId="19" fillId="2" borderId="0" xfId="0" applyNumberFormat="1" applyFont="1" applyFill="1" applyBorder="1"/>
    <xf numFmtId="0" fontId="19" fillId="2" borderId="0" xfId="0" applyFont="1" applyFill="1" applyBorder="1"/>
    <xf numFmtId="166" fontId="19" fillId="2" borderId="0" xfId="0" applyNumberFormat="1" applyFont="1" applyFill="1" applyBorder="1"/>
    <xf numFmtId="1" fontId="19" fillId="2" borderId="20" xfId="0" applyNumberFormat="1" applyFont="1" applyFill="1" applyBorder="1" applyAlignment="1">
      <alignment horizontal="center"/>
    </xf>
    <xf numFmtId="0" fontId="4" fillId="4" borderId="38" xfId="0" applyFont="1" applyFill="1" applyBorder="1" applyAlignment="1" applyProtection="1">
      <alignment horizontal="center"/>
      <protection locked="0"/>
    </xf>
    <xf numFmtId="0" fontId="4" fillId="4" borderId="39" xfId="0" applyFont="1" applyFill="1" applyBorder="1" applyAlignment="1" applyProtection="1">
      <alignment horizontal="center"/>
      <protection locked="0"/>
    </xf>
    <xf numFmtId="1" fontId="4" fillId="4" borderId="39" xfId="0" applyNumberFormat="1" applyFont="1" applyFill="1" applyBorder="1" applyAlignment="1" applyProtection="1">
      <alignment horizontal="center"/>
      <protection locked="0"/>
    </xf>
    <xf numFmtId="1" fontId="4" fillId="3" borderId="40" xfId="0" applyNumberFormat="1" applyFont="1" applyFill="1" applyBorder="1" applyAlignment="1">
      <alignment horizontal="center"/>
    </xf>
    <xf numFmtId="0" fontId="4" fillId="4" borderId="41" xfId="0" applyFont="1" applyFill="1" applyBorder="1" applyAlignment="1" applyProtection="1">
      <alignment horizontal="center"/>
      <protection locked="0"/>
    </xf>
    <xf numFmtId="0" fontId="18" fillId="3" borderId="42" xfId="0" applyFont="1" applyFill="1" applyBorder="1" applyAlignment="1">
      <alignment horizontal="center"/>
    </xf>
    <xf numFmtId="0" fontId="18" fillId="3" borderId="43" xfId="0" applyFont="1" applyFill="1" applyBorder="1" applyAlignment="1">
      <alignment horizontal="center"/>
    </xf>
    <xf numFmtId="10" fontId="2" fillId="2" borderId="0" xfId="0" applyNumberFormat="1" applyFont="1" applyFill="1"/>
    <xf numFmtId="0" fontId="10" fillId="2" borderId="5" xfId="0" applyFont="1" applyFill="1" applyBorder="1" applyAlignment="1">
      <alignment horizontal="left"/>
    </xf>
    <xf numFmtId="0" fontId="10" fillId="2" borderId="44" xfId="0" applyFont="1" applyFill="1" applyBorder="1"/>
    <xf numFmtId="0" fontId="10" fillId="2" borderId="31" xfId="0" applyFont="1" applyFill="1" applyBorder="1"/>
    <xf numFmtId="1" fontId="16" fillId="2" borderId="45" xfId="0" applyNumberFormat="1" applyFont="1" applyFill="1" applyBorder="1" applyAlignment="1">
      <alignment horizontal="center" vertical="center"/>
    </xf>
    <xf numFmtId="1" fontId="16" fillId="2" borderId="46" xfId="0" applyNumberFormat="1" applyFont="1" applyFill="1" applyBorder="1" applyAlignment="1">
      <alignment horizontal="center" vertical="center"/>
    </xf>
    <xf numFmtId="0" fontId="16" fillId="2" borderId="46" xfId="0" applyFont="1" applyFill="1" applyBorder="1" applyAlignment="1">
      <alignment horizontal="center" vertical="center"/>
    </xf>
    <xf numFmtId="0" fontId="16" fillId="2" borderId="47" xfId="0" applyFont="1" applyFill="1" applyBorder="1" applyAlignment="1">
      <alignment horizontal="center" vertical="center"/>
    </xf>
    <xf numFmtId="1" fontId="11" fillId="2" borderId="44" xfId="0" applyNumberFormat="1" applyFont="1" applyFill="1" applyBorder="1" applyAlignment="1">
      <alignment horizontal="left"/>
    </xf>
    <xf numFmtId="0" fontId="10" fillId="2" borderId="0" xfId="0" applyFont="1" applyFill="1" applyBorder="1"/>
    <xf numFmtId="1" fontId="9" fillId="2" borderId="14" xfId="0" applyNumberFormat="1" applyFont="1" applyFill="1" applyBorder="1" applyAlignment="1" applyProtection="1">
      <alignment horizontal="left" indent="1"/>
      <protection locked="0"/>
    </xf>
    <xf numFmtId="0" fontId="9" fillId="2" borderId="14" xfId="0" applyFont="1" applyFill="1" applyBorder="1" applyAlignment="1" applyProtection="1">
      <alignment horizontal="left" indent="1"/>
      <protection locked="0"/>
    </xf>
    <xf numFmtId="10" fontId="9" fillId="2" borderId="14" xfId="2" applyNumberFormat="1" applyFont="1" applyFill="1" applyBorder="1" applyAlignment="1" applyProtection="1">
      <alignment horizontal="left" indent="1"/>
      <protection locked="0"/>
    </xf>
    <xf numFmtId="3" fontId="5" fillId="2" borderId="14" xfId="1" applyNumberFormat="1" applyFont="1" applyFill="1" applyBorder="1" applyAlignment="1">
      <alignment horizontal="center" vertical="center"/>
    </xf>
    <xf numFmtId="3" fontId="5" fillId="2" borderId="48" xfId="1" applyNumberFormat="1" applyFont="1" applyFill="1" applyBorder="1" applyAlignment="1">
      <alignment horizontal="center" vertical="center"/>
    </xf>
    <xf numFmtId="1" fontId="9" fillId="2" borderId="49" xfId="0" applyNumberFormat="1" applyFont="1" applyFill="1" applyBorder="1" applyAlignment="1" applyProtection="1">
      <alignment horizontal="left" indent="1"/>
      <protection locked="0"/>
    </xf>
    <xf numFmtId="0" fontId="9" fillId="4" borderId="34" xfId="0" applyFont="1" applyFill="1" applyBorder="1" applyAlignment="1" applyProtection="1">
      <alignment horizontal="center"/>
      <protection locked="0"/>
    </xf>
    <xf numFmtId="1" fontId="9" fillId="4" borderId="49" xfId="0" applyNumberFormat="1" applyFont="1" applyFill="1" applyBorder="1" applyAlignment="1" applyProtection="1">
      <alignment horizontal="center"/>
      <protection locked="0"/>
    </xf>
    <xf numFmtId="1" fontId="9" fillId="4" borderId="14" xfId="0" applyNumberFormat="1" applyFont="1" applyFill="1" applyBorder="1" applyAlignment="1" applyProtection="1">
      <alignment horizontal="center"/>
      <protection locked="0"/>
    </xf>
    <xf numFmtId="10" fontId="9" fillId="4" borderId="14" xfId="0" applyNumberFormat="1" applyFont="1" applyFill="1" applyBorder="1" applyAlignment="1" applyProtection="1">
      <alignment horizontal="center"/>
      <protection locked="0"/>
    </xf>
    <xf numFmtId="0" fontId="0" fillId="2" borderId="0" xfId="0" applyFill="1" applyAlignment="1">
      <alignment horizontal="center" vertical="center"/>
    </xf>
    <xf numFmtId="9" fontId="1" fillId="2" borderId="0" xfId="2" applyNumberFormat="1" applyFill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1" fontId="23" fillId="2" borderId="0" xfId="0" applyNumberFormat="1" applyFont="1" applyFill="1" applyAlignment="1">
      <alignment horizontal="center" vertical="center"/>
    </xf>
    <xf numFmtId="1" fontId="0" fillId="2" borderId="0" xfId="0" applyNumberFormat="1" applyFill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24" fillId="2" borderId="0" xfId="0" applyFont="1" applyFill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9" fontId="1" fillId="2" borderId="0" xfId="2" applyFill="1" applyAlignment="1">
      <alignment horizontal="center" vertical="center"/>
    </xf>
    <xf numFmtId="1" fontId="0" fillId="2" borderId="1" xfId="0" applyNumberFormat="1" applyFill="1" applyBorder="1" applyAlignment="1">
      <alignment horizontal="center" vertical="center"/>
    </xf>
    <xf numFmtId="0" fontId="0" fillId="2" borderId="0" xfId="0" applyFill="1" applyBorder="1"/>
    <xf numFmtId="0" fontId="0" fillId="2" borderId="0" xfId="0" applyFill="1" applyAlignment="1" applyProtection="1"/>
    <xf numFmtId="0" fontId="0" fillId="2" borderId="0" xfId="0" applyFill="1" applyProtection="1"/>
    <xf numFmtId="0" fontId="0" fillId="2" borderId="0" xfId="0" applyFill="1" applyBorder="1" applyProtection="1"/>
    <xf numFmtId="0" fontId="0" fillId="4" borderId="0" xfId="0" applyFill="1" applyBorder="1" applyProtection="1"/>
    <xf numFmtId="0" fontId="0" fillId="4" borderId="0" xfId="0" applyFill="1" applyBorder="1" applyAlignment="1" applyProtection="1">
      <alignment horizontal="center"/>
    </xf>
    <xf numFmtId="0" fontId="25" fillId="2" borderId="0" xfId="0" applyFont="1" applyFill="1" applyAlignment="1" applyProtection="1">
      <alignment horizontal="center" vertical="center"/>
    </xf>
    <xf numFmtId="0" fontId="26" fillId="2" borderId="0" xfId="0" applyFont="1" applyFill="1" applyAlignment="1" applyProtection="1">
      <alignment horizontal="center" vertical="center"/>
    </xf>
    <xf numFmtId="0" fontId="0" fillId="2" borderId="0" xfId="0" applyFill="1" applyBorder="1" applyAlignment="1" applyProtection="1">
      <alignment horizontal="center"/>
    </xf>
    <xf numFmtId="0" fontId="27" fillId="2" borderId="0" xfId="0" applyFont="1" applyFill="1" applyAlignment="1" applyProtection="1">
      <alignment horizontal="center" vertical="center"/>
    </xf>
    <xf numFmtId="0" fontId="28" fillId="2" borderId="0" xfId="0" applyFont="1" applyFill="1" applyBorder="1" applyAlignment="1" applyProtection="1">
      <alignment horizontal="left" vertical="center" indent="1"/>
    </xf>
    <xf numFmtId="0" fontId="0" fillId="2" borderId="0" xfId="0" applyFill="1" applyAlignment="1" applyProtection="1">
      <protection locked="0"/>
    </xf>
    <xf numFmtId="0" fontId="0" fillId="2" borderId="0" xfId="0" applyFill="1" applyBorder="1" applyAlignment="1" applyProtection="1"/>
    <xf numFmtId="0" fontId="14" fillId="4" borderId="50" xfId="0" applyFont="1" applyFill="1" applyBorder="1" applyAlignment="1" applyProtection="1">
      <alignment horizontal="center" vertical="center"/>
    </xf>
    <xf numFmtId="0" fontId="14" fillId="4" borderId="51" xfId="0" applyFont="1" applyFill="1" applyBorder="1" applyAlignment="1" applyProtection="1">
      <alignment horizontal="center" vertical="center"/>
    </xf>
    <xf numFmtId="0" fontId="14" fillId="4" borderId="52" xfId="0" applyFont="1" applyFill="1" applyBorder="1" applyAlignment="1" applyProtection="1">
      <alignment horizontal="center" vertical="center"/>
    </xf>
    <xf numFmtId="0" fontId="29" fillId="4" borderId="53" xfId="0" applyFont="1" applyFill="1" applyBorder="1" applyAlignment="1" applyProtection="1">
      <alignment horizontal="center" vertical="center"/>
    </xf>
    <xf numFmtId="0" fontId="29" fillId="4" borderId="54" xfId="0" applyFont="1" applyFill="1" applyBorder="1" applyAlignment="1" applyProtection="1">
      <alignment horizontal="center" vertical="center"/>
    </xf>
    <xf numFmtId="0" fontId="29" fillId="4" borderId="55" xfId="0" applyFont="1" applyFill="1" applyBorder="1" applyAlignment="1" applyProtection="1">
      <alignment horizontal="center" vertical="center"/>
    </xf>
    <xf numFmtId="0" fontId="30" fillId="2" borderId="0" xfId="0" applyFont="1" applyFill="1" applyProtection="1"/>
    <xf numFmtId="0" fontId="31" fillId="2" borderId="56" xfId="0" applyFont="1" applyFill="1" applyBorder="1" applyAlignment="1" applyProtection="1">
      <alignment horizontal="center" vertical="center"/>
    </xf>
    <xf numFmtId="0" fontId="31" fillId="2" borderId="0" xfId="0" applyFont="1" applyFill="1" applyBorder="1" applyAlignment="1" applyProtection="1">
      <alignment horizontal="center" vertical="center"/>
    </xf>
    <xf numFmtId="0" fontId="31" fillId="2" borderId="57" xfId="0" applyFont="1" applyFill="1" applyBorder="1" applyAlignment="1" applyProtection="1">
      <alignment horizontal="center" vertical="center"/>
    </xf>
    <xf numFmtId="0" fontId="14" fillId="4" borderId="58" xfId="0" applyFont="1" applyFill="1" applyBorder="1" applyAlignment="1" applyProtection="1">
      <alignment horizontal="center" vertical="center"/>
    </xf>
    <xf numFmtId="0" fontId="29" fillId="4" borderId="59" xfId="0" applyFont="1" applyFill="1" applyBorder="1" applyAlignment="1" applyProtection="1">
      <alignment horizontal="center" vertical="center"/>
    </xf>
    <xf numFmtId="0" fontId="31" fillId="2" borderId="60" xfId="0" applyFont="1" applyFill="1" applyBorder="1" applyAlignment="1" applyProtection="1">
      <alignment horizontal="center" vertical="center"/>
    </xf>
    <xf numFmtId="0" fontId="29" fillId="4" borderId="58" xfId="0" applyFont="1" applyFill="1" applyBorder="1" applyAlignment="1" applyProtection="1">
      <alignment horizontal="center" vertical="center"/>
    </xf>
    <xf numFmtId="0" fontId="14" fillId="4" borderId="59" xfId="0" applyFont="1" applyFill="1" applyBorder="1" applyAlignment="1" applyProtection="1">
      <alignment horizontal="center" vertical="center"/>
    </xf>
    <xf numFmtId="0" fontId="14" fillId="4" borderId="61" xfId="0" applyFont="1" applyFill="1" applyBorder="1" applyAlignment="1" applyProtection="1">
      <alignment horizontal="center" vertical="center"/>
    </xf>
    <xf numFmtId="0" fontId="29" fillId="4" borderId="62" xfId="0" applyFont="1" applyFill="1" applyBorder="1" applyAlignment="1" applyProtection="1">
      <alignment horizontal="center" vertical="center"/>
    </xf>
    <xf numFmtId="0" fontId="29" fillId="4" borderId="61" xfId="0" applyFont="1" applyFill="1" applyBorder="1" applyAlignment="1" applyProtection="1">
      <alignment horizontal="center" vertical="center"/>
    </xf>
    <xf numFmtId="0" fontId="14" fillId="4" borderId="62" xfId="0" applyFont="1" applyFill="1" applyBorder="1" applyAlignment="1" applyProtection="1">
      <alignment horizontal="center" vertical="center"/>
    </xf>
    <xf numFmtId="0" fontId="0" fillId="2" borderId="0" xfId="0" applyFill="1" applyBorder="1" applyAlignment="1" applyProtection="1">
      <alignment horizontal="center" vertical="center"/>
    </xf>
    <xf numFmtId="0" fontId="14" fillId="4" borderId="63" xfId="0" applyFont="1" applyFill="1" applyBorder="1" applyAlignment="1" applyProtection="1">
      <alignment horizontal="center" vertical="center"/>
    </xf>
    <xf numFmtId="0" fontId="29" fillId="4" borderId="64" xfId="0" applyFont="1" applyFill="1" applyBorder="1" applyAlignment="1" applyProtection="1">
      <alignment horizontal="center" vertical="center"/>
    </xf>
    <xf numFmtId="0" fontId="31" fillId="2" borderId="65" xfId="0" applyFont="1" applyFill="1" applyBorder="1" applyAlignment="1" applyProtection="1">
      <alignment horizontal="center" vertical="center"/>
    </xf>
    <xf numFmtId="0" fontId="29" fillId="4" borderId="63" xfId="0" applyFont="1" applyFill="1" applyBorder="1" applyAlignment="1" applyProtection="1">
      <alignment horizontal="center" vertical="center"/>
    </xf>
    <xf numFmtId="0" fontId="14" fillId="4" borderId="64" xfId="0" applyFont="1" applyFill="1" applyBorder="1" applyAlignment="1" applyProtection="1">
      <alignment horizontal="center" vertical="center"/>
    </xf>
    <xf numFmtId="0" fontId="14" fillId="2" borderId="0" xfId="0" applyFont="1" applyFill="1" applyBorder="1" applyAlignment="1" applyProtection="1">
      <alignment horizontal="center" vertical="center"/>
    </xf>
    <xf numFmtId="0" fontId="33" fillId="2" borderId="0" xfId="0" applyFont="1" applyFill="1" applyBorder="1" applyAlignment="1" applyProtection="1">
      <alignment horizontal="center" vertical="center"/>
    </xf>
    <xf numFmtId="0" fontId="29" fillId="4" borderId="50" xfId="0" applyFont="1" applyFill="1" applyBorder="1" applyAlignment="1" applyProtection="1">
      <alignment horizontal="center" vertical="center"/>
    </xf>
    <xf numFmtId="0" fontId="29" fillId="4" borderId="51" xfId="0" applyFont="1" applyFill="1" applyBorder="1" applyAlignment="1" applyProtection="1">
      <alignment horizontal="center" vertical="center"/>
    </xf>
    <xf numFmtId="0" fontId="29" fillId="4" borderId="52" xfId="0" applyFont="1" applyFill="1" applyBorder="1" applyAlignment="1" applyProtection="1">
      <alignment horizontal="center" vertical="center"/>
    </xf>
    <xf numFmtId="0" fontId="14" fillId="4" borderId="66" xfId="0" applyFont="1" applyFill="1" applyBorder="1" applyAlignment="1" applyProtection="1">
      <alignment horizontal="center" vertical="center"/>
    </xf>
    <xf numFmtId="0" fontId="14" fillId="4" borderId="67" xfId="0" applyFont="1" applyFill="1" applyBorder="1" applyAlignment="1" applyProtection="1">
      <alignment horizontal="center" vertical="center"/>
    </xf>
    <xf numFmtId="0" fontId="14" fillId="4" borderId="68" xfId="0" applyFont="1" applyFill="1" applyBorder="1" applyAlignment="1" applyProtection="1">
      <alignment horizontal="center" vertical="center"/>
    </xf>
    <xf numFmtId="166" fontId="0" fillId="2" borderId="0" xfId="0" applyNumberFormat="1" applyFill="1" applyBorder="1" applyAlignment="1" applyProtection="1">
      <alignment horizontal="center"/>
    </xf>
    <xf numFmtId="0" fontId="28" fillId="2" borderId="0" xfId="0" applyFont="1" applyFill="1" applyBorder="1" applyAlignment="1" applyProtection="1">
      <alignment vertical="center"/>
    </xf>
    <xf numFmtId="0" fontId="23" fillId="2" borderId="0" xfId="0" applyFont="1" applyFill="1" applyAlignment="1" applyProtection="1">
      <alignment horizontal="right" vertical="center"/>
    </xf>
    <xf numFmtId="0" fontId="23" fillId="2" borderId="0" xfId="0" applyFont="1" applyFill="1" applyBorder="1" applyAlignment="1" applyProtection="1">
      <alignment horizontal="right" vertical="center"/>
    </xf>
    <xf numFmtId="1" fontId="0" fillId="2" borderId="0" xfId="0" applyNumberFormat="1" applyFill="1" applyBorder="1" applyProtection="1"/>
    <xf numFmtId="0" fontId="34" fillId="2" borderId="0" xfId="0" applyFont="1" applyFill="1" applyProtection="1"/>
    <xf numFmtId="0" fontId="29" fillId="2" borderId="0" xfId="0" applyFont="1" applyFill="1" applyProtection="1"/>
    <xf numFmtId="0" fontId="33" fillId="2" borderId="0" xfId="0" applyFont="1" applyFill="1"/>
    <xf numFmtId="0" fontId="33" fillId="2" borderId="0" xfId="0" applyFont="1" applyFill="1" applyAlignment="1"/>
    <xf numFmtId="0" fontId="33" fillId="3" borderId="0" xfId="0" applyFont="1" applyFill="1" applyAlignment="1">
      <alignment horizontal="center" vertical="center" wrapText="1"/>
    </xf>
    <xf numFmtId="0" fontId="33" fillId="2" borderId="0" xfId="0" applyFont="1" applyFill="1" applyAlignment="1">
      <alignment horizontal="center" vertical="center" wrapText="1"/>
    </xf>
    <xf numFmtId="167" fontId="33" fillId="2" borderId="0" xfId="2" applyNumberFormat="1" applyFont="1" applyFill="1"/>
    <xf numFmtId="1" fontId="33" fillId="2" borderId="0" xfId="0" applyNumberFormat="1" applyFont="1" applyFill="1"/>
    <xf numFmtId="168" fontId="33" fillId="2" borderId="0" xfId="2" applyNumberFormat="1" applyFont="1" applyFill="1"/>
    <xf numFmtId="1" fontId="33" fillId="2" borderId="0" xfId="2" applyNumberFormat="1" applyFont="1" applyFill="1"/>
    <xf numFmtId="3" fontId="33" fillId="2" borderId="0" xfId="0" applyNumberFormat="1" applyFont="1" applyFill="1"/>
    <xf numFmtId="167" fontId="36" fillId="2" borderId="0" xfId="2" applyNumberFormat="1" applyFont="1" applyFill="1" applyBorder="1" applyAlignment="1">
      <alignment horizontal="right" vertical="center"/>
    </xf>
    <xf numFmtId="3" fontId="36" fillId="2" borderId="0" xfId="2" applyNumberFormat="1" applyFont="1" applyFill="1" applyBorder="1" applyAlignment="1">
      <alignment horizontal="right" vertical="center"/>
    </xf>
    <xf numFmtId="3" fontId="37" fillId="2" borderId="0" xfId="2" applyNumberFormat="1" applyFont="1" applyFill="1" applyBorder="1" applyAlignment="1">
      <alignment horizontal="left" vertical="center"/>
    </xf>
    <xf numFmtId="0" fontId="33" fillId="2" borderId="0" xfId="0" applyFont="1" applyFill="1" applyAlignment="1">
      <alignment horizontal="right"/>
    </xf>
    <xf numFmtId="0" fontId="38" fillId="2" borderId="0" xfId="0" applyFont="1" applyFill="1" applyBorder="1" applyProtection="1"/>
    <xf numFmtId="0" fontId="28" fillId="2" borderId="0" xfId="0" applyFont="1" applyFill="1" applyBorder="1" applyProtection="1"/>
    <xf numFmtId="0" fontId="28" fillId="2" borderId="0" xfId="0" applyFont="1" applyFill="1" applyProtection="1"/>
    <xf numFmtId="0" fontId="28" fillId="2" borderId="0" xfId="0" applyFont="1" applyFill="1"/>
    <xf numFmtId="0" fontId="0" fillId="0" borderId="0" xfId="0" applyBorder="1" applyProtection="1"/>
    <xf numFmtId="0" fontId="28" fillId="2" borderId="17" xfId="0" applyFont="1" applyFill="1" applyBorder="1" applyProtection="1"/>
    <xf numFmtId="0" fontId="38" fillId="2" borderId="20" xfId="0" applyFont="1" applyFill="1" applyBorder="1" applyAlignment="1" applyProtection="1">
      <alignment horizontal="right"/>
    </xf>
    <xf numFmtId="0" fontId="38" fillId="4" borderId="30" xfId="0" applyFont="1" applyFill="1" applyBorder="1" applyAlignment="1" applyProtection="1">
      <alignment horizontal="center"/>
      <protection locked="0"/>
    </xf>
    <xf numFmtId="0" fontId="38" fillId="2" borderId="0" xfId="0" applyFont="1" applyFill="1" applyBorder="1" applyAlignment="1" applyProtection="1">
      <alignment horizontal="center"/>
    </xf>
    <xf numFmtId="0" fontId="38" fillId="2" borderId="0" xfId="0" applyFont="1" applyFill="1" applyBorder="1" applyAlignment="1" applyProtection="1">
      <alignment horizontal="right"/>
    </xf>
    <xf numFmtId="0" fontId="38" fillId="2" borderId="21" xfId="0" applyFont="1" applyFill="1" applyBorder="1" applyAlignment="1" applyProtection="1">
      <alignment horizontal="right"/>
    </xf>
    <xf numFmtId="0" fontId="28" fillId="2" borderId="20" xfId="0" applyFont="1" applyFill="1" applyBorder="1" applyProtection="1"/>
    <xf numFmtId="0" fontId="28" fillId="4" borderId="73" xfId="0" applyFont="1" applyFill="1" applyBorder="1" applyAlignment="1" applyProtection="1">
      <alignment horizontal="center"/>
      <protection locked="0"/>
    </xf>
    <xf numFmtId="9" fontId="28" fillId="2" borderId="0" xfId="2" applyFont="1" applyFill="1" applyBorder="1" applyProtection="1"/>
    <xf numFmtId="167" fontId="28" fillId="2" borderId="21" xfId="2" applyNumberFormat="1" applyFont="1" applyFill="1" applyBorder="1" applyProtection="1"/>
    <xf numFmtId="0" fontId="28" fillId="4" borderId="46" xfId="0" applyFont="1" applyFill="1" applyBorder="1" applyAlignment="1" applyProtection="1">
      <alignment horizontal="center"/>
      <protection locked="0"/>
    </xf>
    <xf numFmtId="0" fontId="28" fillId="2" borderId="21" xfId="0" applyFont="1" applyFill="1" applyBorder="1" applyProtection="1"/>
    <xf numFmtId="0" fontId="41" fillId="2" borderId="74" xfId="0" applyFont="1" applyFill="1" applyBorder="1" applyAlignment="1" applyProtection="1">
      <alignment horizontal="center" vertical="center"/>
    </xf>
    <xf numFmtId="0" fontId="42" fillId="2" borderId="74" xfId="0" applyFont="1" applyFill="1" applyBorder="1" applyAlignment="1" applyProtection="1">
      <alignment horizontal="center" vertical="center"/>
    </xf>
    <xf numFmtId="0" fontId="43" fillId="2" borderId="75" xfId="0" applyFont="1" applyFill="1" applyBorder="1" applyAlignment="1" applyProtection="1">
      <alignment horizontal="center"/>
    </xf>
    <xf numFmtId="0" fontId="43" fillId="2" borderId="60" xfId="0" applyFont="1" applyFill="1" applyBorder="1" applyAlignment="1" applyProtection="1">
      <alignment horizontal="center"/>
    </xf>
    <xf numFmtId="0" fontId="44" fillId="2" borderId="60" xfId="0" applyFont="1" applyFill="1" applyBorder="1" applyAlignment="1" applyProtection="1">
      <alignment horizontal="center"/>
    </xf>
    <xf numFmtId="0" fontId="28" fillId="2" borderId="5" xfId="0" applyFont="1" applyFill="1" applyBorder="1" applyAlignment="1" applyProtection="1">
      <alignment horizontal="center"/>
    </xf>
    <xf numFmtId="0" fontId="28" fillId="4" borderId="30" xfId="0" applyFont="1" applyFill="1" applyBorder="1" applyAlignment="1" applyProtection="1">
      <alignment horizontal="center"/>
      <protection locked="0"/>
    </xf>
    <xf numFmtId="0" fontId="45" fillId="4" borderId="30" xfId="0" applyFont="1" applyFill="1" applyBorder="1" applyAlignment="1" applyProtection="1">
      <alignment horizontal="center"/>
      <protection locked="0"/>
    </xf>
    <xf numFmtId="0" fontId="46" fillId="2" borderId="2" xfId="0" applyFont="1" applyFill="1" applyBorder="1" applyAlignment="1" applyProtection="1">
      <alignment horizontal="right"/>
    </xf>
    <xf numFmtId="0" fontId="43" fillId="2" borderId="2" xfId="0" applyFont="1" applyFill="1" applyBorder="1" applyProtection="1"/>
    <xf numFmtId="0" fontId="39" fillId="2" borderId="14" xfId="0" applyFont="1" applyFill="1" applyBorder="1" applyAlignment="1" applyProtection="1">
      <alignment horizontal="center"/>
    </xf>
    <xf numFmtId="167" fontId="43" fillId="2" borderId="2" xfId="2" applyNumberFormat="1" applyFont="1" applyFill="1" applyBorder="1" applyProtection="1"/>
    <xf numFmtId="0" fontId="28" fillId="2" borderId="5" xfId="0" applyFont="1" applyFill="1" applyBorder="1" applyAlignment="1" applyProtection="1">
      <alignment horizontal="center" vertical="center"/>
    </xf>
    <xf numFmtId="0" fontId="39" fillId="2" borderId="14" xfId="0" applyFont="1" applyFill="1" applyBorder="1" applyAlignment="1" applyProtection="1">
      <alignment horizontal="center" vertical="center"/>
    </xf>
    <xf numFmtId="0" fontId="46" fillId="2" borderId="2" xfId="0" applyFont="1" applyFill="1" applyBorder="1" applyProtection="1"/>
    <xf numFmtId="0" fontId="46" fillId="2" borderId="2" xfId="0" applyFont="1" applyFill="1" applyBorder="1" applyAlignment="1" applyProtection="1">
      <alignment horizontal="right" vertical="center"/>
    </xf>
    <xf numFmtId="164" fontId="43" fillId="2" borderId="2" xfId="0" applyNumberFormat="1" applyFont="1" applyFill="1" applyBorder="1" applyProtection="1"/>
    <xf numFmtId="0" fontId="28" fillId="4" borderId="28" xfId="0" applyFont="1" applyFill="1" applyBorder="1" applyAlignment="1" applyProtection="1">
      <alignment horizontal="center"/>
      <protection locked="0"/>
    </xf>
    <xf numFmtId="9" fontId="38" fillId="2" borderId="0" xfId="2" applyFont="1" applyFill="1" applyBorder="1" applyProtection="1"/>
    <xf numFmtId="9" fontId="38" fillId="2" borderId="21" xfId="2" applyNumberFormat="1" applyFont="1" applyFill="1" applyBorder="1" applyProtection="1"/>
    <xf numFmtId="0" fontId="28" fillId="2" borderId="76" xfId="0" applyFont="1" applyFill="1" applyBorder="1" applyAlignment="1" applyProtection="1">
      <alignment horizontal="center"/>
    </xf>
    <xf numFmtId="0" fontId="45" fillId="4" borderId="73" xfId="0" applyFont="1" applyFill="1" applyBorder="1" applyAlignment="1" applyProtection="1">
      <alignment horizontal="center"/>
      <protection locked="0"/>
    </xf>
    <xf numFmtId="0" fontId="39" fillId="2" borderId="2" xfId="0" applyFont="1" applyFill="1" applyBorder="1" applyAlignment="1" applyProtection="1">
      <alignment horizontal="center"/>
    </xf>
    <xf numFmtId="0" fontId="39" fillId="2" borderId="26" xfId="0" applyFont="1" applyFill="1" applyBorder="1" applyAlignment="1" applyProtection="1">
      <alignment horizontal="center"/>
    </xf>
    <xf numFmtId="0" fontId="28" fillId="2" borderId="22" xfId="0" applyFont="1" applyFill="1" applyBorder="1" applyProtection="1"/>
    <xf numFmtId="0" fontId="28" fillId="2" borderId="23" xfId="0" applyFont="1" applyFill="1" applyBorder="1" applyProtection="1"/>
    <xf numFmtId="0" fontId="28" fillId="2" borderId="24" xfId="0" applyFont="1" applyFill="1" applyBorder="1" applyProtection="1"/>
    <xf numFmtId="0" fontId="28" fillId="2" borderId="6" xfId="0" applyFont="1" applyFill="1" applyBorder="1" applyAlignment="1" applyProtection="1">
      <alignment horizontal="center"/>
    </xf>
    <xf numFmtId="0" fontId="28" fillId="4" borderId="33" xfId="0" applyFont="1" applyFill="1" applyBorder="1" applyAlignment="1" applyProtection="1">
      <alignment horizontal="center"/>
      <protection locked="0"/>
    </xf>
    <xf numFmtId="0" fontId="45" fillId="4" borderId="33" xfId="0" applyFont="1" applyFill="1" applyBorder="1" applyAlignment="1" applyProtection="1">
      <alignment horizontal="center"/>
      <protection locked="0"/>
    </xf>
    <xf numFmtId="0" fontId="39" fillId="2" borderId="7" xfId="0" applyFont="1" applyFill="1" applyBorder="1" applyAlignment="1" applyProtection="1">
      <alignment horizontal="center"/>
    </xf>
    <xf numFmtId="0" fontId="39" fillId="2" borderId="48" xfId="0" applyFont="1" applyFill="1" applyBorder="1" applyAlignment="1" applyProtection="1">
      <alignment horizontal="center"/>
    </xf>
    <xf numFmtId="0" fontId="28" fillId="2" borderId="0" xfId="0" applyFont="1" applyFill="1" applyBorder="1"/>
    <xf numFmtId="0" fontId="47" fillId="2" borderId="0" xfId="0" applyFont="1" applyFill="1" applyAlignment="1">
      <alignment horizontal="center"/>
    </xf>
    <xf numFmtId="167" fontId="33" fillId="2" borderId="0" xfId="2" quotePrefix="1" applyNumberFormat="1" applyFont="1" applyFill="1"/>
    <xf numFmtId="0" fontId="2" fillId="2" borderId="2" xfId="0" applyFont="1" applyFill="1" applyBorder="1"/>
    <xf numFmtId="0" fontId="48" fillId="2" borderId="2" xfId="0" applyFont="1" applyFill="1" applyBorder="1" applyProtection="1"/>
    <xf numFmtId="0" fontId="39" fillId="2" borderId="2" xfId="0" applyFont="1" applyFill="1" applyBorder="1" applyProtection="1"/>
    <xf numFmtId="0" fontId="39" fillId="2" borderId="7" xfId="0" applyFont="1" applyFill="1" applyBorder="1" applyProtection="1"/>
    <xf numFmtId="0" fontId="53" fillId="7" borderId="98" xfId="0" applyFont="1" applyFill="1" applyBorder="1" applyAlignment="1"/>
    <xf numFmtId="0" fontId="53" fillId="7" borderId="93" xfId="0" applyFont="1" applyFill="1" applyBorder="1" applyAlignment="1">
      <alignment horizontal="center" vertical="center" wrapText="1"/>
    </xf>
    <xf numFmtId="0" fontId="53" fillId="7" borderId="46" xfId="0" applyFont="1" applyFill="1" applyBorder="1" applyAlignment="1"/>
    <xf numFmtId="0" fontId="53" fillId="7" borderId="95" xfId="0" applyFont="1" applyFill="1" applyBorder="1" applyAlignment="1"/>
    <xf numFmtId="0" fontId="53" fillId="7" borderId="94" xfId="0" applyFont="1" applyFill="1" applyBorder="1" applyAlignment="1">
      <alignment horizontal="center" vertical="center" wrapText="1"/>
    </xf>
    <xf numFmtId="0" fontId="53" fillId="7" borderId="97" xfId="0" applyFont="1" applyFill="1" applyBorder="1" applyAlignment="1">
      <alignment horizontal="center" vertical="center" wrapText="1"/>
    </xf>
    <xf numFmtId="1" fontId="0" fillId="0" borderId="0" xfId="0" applyNumberFormat="1" applyFill="1" applyBorder="1"/>
    <xf numFmtId="0" fontId="55" fillId="0" borderId="0" xfId="0" applyFont="1"/>
    <xf numFmtId="0" fontId="4" fillId="0" borderId="30" xfId="0" applyFont="1" applyFill="1" applyBorder="1" applyAlignment="1" applyProtection="1">
      <alignment horizontal="right"/>
      <protection locked="0"/>
    </xf>
    <xf numFmtId="0" fontId="54" fillId="6" borderId="30" xfId="0" applyFont="1" applyFill="1" applyBorder="1" applyAlignment="1">
      <alignment horizontal="left"/>
    </xf>
    <xf numFmtId="0" fontId="53" fillId="6" borderId="27" xfId="0" applyFont="1" applyFill="1" applyBorder="1" applyAlignment="1"/>
    <xf numFmtId="0" fontId="54" fillId="6" borderId="27" xfId="0" applyFont="1" applyFill="1" applyBorder="1" applyAlignment="1">
      <alignment horizontal="left"/>
    </xf>
    <xf numFmtId="0" fontId="53" fillId="6" borderId="27" xfId="0" applyFont="1" applyFill="1" applyBorder="1" applyAlignment="1">
      <alignment horizontal="left"/>
    </xf>
    <xf numFmtId="0" fontId="4" fillId="4" borderId="30" xfId="0" applyFont="1" applyFill="1" applyBorder="1" applyAlignment="1" applyProtection="1">
      <alignment horizontal="left"/>
      <protection locked="0"/>
    </xf>
    <xf numFmtId="0" fontId="53" fillId="7" borderId="30" xfId="0" applyFont="1" applyFill="1" applyBorder="1" applyAlignment="1"/>
    <xf numFmtId="0" fontId="53" fillId="7" borderId="96" xfId="0" applyFont="1" applyFill="1" applyBorder="1" applyAlignment="1"/>
    <xf numFmtId="0" fontId="4" fillId="4" borderId="94" xfId="0" applyFont="1" applyFill="1" applyBorder="1" applyAlignment="1" applyProtection="1">
      <alignment horizontal="left"/>
      <protection locked="0"/>
    </xf>
    <xf numFmtId="0" fontId="4" fillId="4" borderId="93" xfId="0" applyFont="1" applyFill="1" applyBorder="1" applyAlignment="1" applyProtection="1">
      <alignment horizontal="left"/>
      <protection locked="0"/>
    </xf>
    <xf numFmtId="0" fontId="4" fillId="4" borderId="99" xfId="0" applyFont="1" applyFill="1" applyBorder="1" applyAlignment="1" applyProtection="1">
      <alignment horizontal="left"/>
      <protection locked="0"/>
    </xf>
    <xf numFmtId="0" fontId="4" fillId="4" borderId="28" xfId="0" applyFont="1" applyFill="1" applyBorder="1" applyAlignment="1" applyProtection="1">
      <alignment horizontal="left"/>
      <protection locked="0"/>
    </xf>
    <xf numFmtId="0" fontId="4" fillId="4" borderId="0" xfId="0" applyFont="1" applyFill="1" applyBorder="1" applyAlignment="1" applyProtection="1">
      <alignment horizontal="left"/>
      <protection locked="0"/>
    </xf>
    <xf numFmtId="0" fontId="53" fillId="8" borderId="28" xfId="0" applyFont="1" applyFill="1" applyBorder="1" applyAlignment="1"/>
    <xf numFmtId="0" fontId="4" fillId="9" borderId="11" xfId="3" applyFont="1" applyFill="1" applyBorder="1" applyAlignment="1" applyProtection="1">
      <alignment horizontal="left"/>
      <protection locked="0"/>
    </xf>
    <xf numFmtId="0" fontId="0" fillId="0" borderId="28" xfId="0" applyBorder="1"/>
    <xf numFmtId="0" fontId="53" fillId="6" borderId="28" xfId="0" applyFont="1" applyFill="1" applyBorder="1" applyAlignment="1">
      <alignment horizontal="center" vertical="center" wrapText="1"/>
    </xf>
    <xf numFmtId="0" fontId="0" fillId="0" borderId="30" xfId="0" applyBorder="1"/>
    <xf numFmtId="0" fontId="53" fillId="6" borderId="30" xfId="0" applyFont="1" applyFill="1" applyBorder="1" applyAlignment="1">
      <alignment horizontal="center" vertical="center" wrapText="1"/>
    </xf>
    <xf numFmtId="0" fontId="4" fillId="4" borderId="0" xfId="0" applyFont="1" applyFill="1" applyBorder="1" applyAlignment="1" applyProtection="1">
      <alignment horizontal="right"/>
      <protection locked="0"/>
    </xf>
    <xf numFmtId="0" fontId="55" fillId="0" borderId="28" xfId="0" applyFont="1" applyBorder="1"/>
    <xf numFmtId="0" fontId="53" fillId="6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 applyProtection="1">
      <alignment horizontal="right"/>
      <protection locked="0"/>
    </xf>
    <xf numFmtId="0" fontId="54" fillId="0" borderId="0" xfId="0" applyFont="1" applyFill="1" applyBorder="1" applyAlignment="1">
      <alignment horizontal="center"/>
    </xf>
    <xf numFmtId="1" fontId="0" fillId="0" borderId="30" xfId="0" applyNumberFormat="1" applyFill="1" applyBorder="1"/>
    <xf numFmtId="0" fontId="53" fillId="0" borderId="0" xfId="0" applyFont="1" applyFill="1" applyBorder="1" applyAlignment="1">
      <alignment horizontal="center"/>
    </xf>
    <xf numFmtId="1" fontId="0" fillId="6" borderId="0" xfId="0" applyNumberFormat="1" applyFill="1" applyBorder="1"/>
    <xf numFmtId="1" fontId="0" fillId="6" borderId="30" xfId="0" applyNumberFormat="1" applyFill="1" applyBorder="1"/>
    <xf numFmtId="0" fontId="4" fillId="0" borderId="28" xfId="0" applyFont="1" applyFill="1" applyBorder="1" applyAlignment="1" applyProtection="1">
      <alignment horizontal="right"/>
      <protection locked="0"/>
    </xf>
    <xf numFmtId="1" fontId="0" fillId="0" borderId="28" xfId="0" applyNumberFormat="1" applyFill="1" applyBorder="1"/>
    <xf numFmtId="0" fontId="0" fillId="10" borderId="0" xfId="0" applyFill="1"/>
    <xf numFmtId="0" fontId="4" fillId="4" borderId="93" xfId="0" applyFont="1" applyFill="1" applyBorder="1" applyAlignment="1" applyProtection="1">
      <alignment horizontal="right"/>
      <protection locked="0"/>
    </xf>
    <xf numFmtId="0" fontId="4" fillId="4" borderId="94" xfId="0" applyFont="1" applyFill="1" applyBorder="1" applyAlignment="1" applyProtection="1">
      <alignment horizontal="right"/>
      <protection locked="0"/>
    </xf>
    <xf numFmtId="3" fontId="4" fillId="4" borderId="94" xfId="0" applyNumberFormat="1" applyFont="1" applyFill="1" applyBorder="1" applyAlignment="1" applyProtection="1">
      <alignment horizontal="right"/>
      <protection locked="0"/>
    </xf>
    <xf numFmtId="0" fontId="0" fillId="0" borderId="94" xfId="0" applyBorder="1"/>
    <xf numFmtId="0" fontId="0" fillId="0" borderId="93" xfId="0" applyBorder="1"/>
    <xf numFmtId="0" fontId="54" fillId="6" borderId="0" xfId="0" applyFont="1" applyFill="1" applyBorder="1" applyAlignment="1">
      <alignment horizontal="center"/>
    </xf>
    <xf numFmtId="1" fontId="0" fillId="0" borderId="95" xfId="0" applyNumberFormat="1" applyFill="1" applyBorder="1"/>
    <xf numFmtId="0" fontId="53" fillId="7" borderId="0" xfId="0" applyFont="1" applyFill="1" applyBorder="1" applyAlignment="1">
      <alignment horizontal="center" vertical="center" wrapText="1"/>
    </xf>
    <xf numFmtId="0" fontId="4" fillId="4" borderId="97" xfId="0" applyFont="1" applyFill="1" applyBorder="1" applyAlignment="1" applyProtection="1">
      <alignment horizontal="right"/>
      <protection locked="0"/>
    </xf>
    <xf numFmtId="0" fontId="0" fillId="0" borderId="1" xfId="0" applyBorder="1"/>
    <xf numFmtId="0" fontId="4" fillId="4" borderId="1" xfId="0" applyFont="1" applyFill="1" applyBorder="1" applyAlignment="1" applyProtection="1">
      <alignment horizontal="right"/>
      <protection locked="0"/>
    </xf>
    <xf numFmtId="0" fontId="53" fillId="7" borderId="1" xfId="0" applyFont="1" applyFill="1" applyBorder="1" applyAlignment="1">
      <alignment horizontal="center" vertical="center" wrapText="1"/>
    </xf>
    <xf numFmtId="0" fontId="55" fillId="0" borderId="30" xfId="0" applyFont="1" applyBorder="1"/>
    <xf numFmtId="0" fontId="55" fillId="0" borderId="1" xfId="0" applyFont="1" applyBorder="1"/>
    <xf numFmtId="0" fontId="4" fillId="0" borderId="1" xfId="0" applyFont="1" applyFill="1" applyBorder="1" applyAlignment="1" applyProtection="1">
      <alignment horizontal="right"/>
      <protection locked="0"/>
    </xf>
    <xf numFmtId="0" fontId="4" fillId="0" borderId="11" xfId="0" applyFont="1" applyFill="1" applyBorder="1" applyAlignment="1" applyProtection="1">
      <alignment horizontal="right"/>
      <protection locked="0"/>
    </xf>
    <xf numFmtId="0" fontId="4" fillId="8" borderId="11" xfId="0" applyFont="1" applyFill="1" applyBorder="1" applyAlignment="1" applyProtection="1">
      <alignment horizontal="left"/>
      <protection locked="0"/>
    </xf>
    <xf numFmtId="0" fontId="4" fillId="4" borderId="12" xfId="0" applyFont="1" applyFill="1" applyBorder="1" applyAlignment="1" applyProtection="1">
      <alignment horizontal="right"/>
      <protection locked="0"/>
    </xf>
    <xf numFmtId="0" fontId="4" fillId="4" borderId="11" xfId="0" applyFont="1" applyFill="1" applyBorder="1" applyAlignment="1" applyProtection="1">
      <alignment horizontal="right"/>
      <protection locked="0"/>
    </xf>
    <xf numFmtId="0" fontId="4" fillId="11" borderId="12" xfId="0" applyFont="1" applyFill="1" applyBorder="1" applyAlignment="1" applyProtection="1">
      <alignment horizontal="right"/>
      <protection locked="0"/>
    </xf>
    <xf numFmtId="0" fontId="4" fillId="11" borderId="30" xfId="0" applyFont="1" applyFill="1" applyBorder="1" applyAlignment="1" applyProtection="1">
      <alignment horizontal="right"/>
      <protection locked="0"/>
    </xf>
    <xf numFmtId="0" fontId="0" fillId="11" borderId="0" xfId="0" applyFill="1"/>
    <xf numFmtId="0" fontId="4" fillId="11" borderId="11" xfId="0" applyFont="1" applyFill="1" applyBorder="1" applyAlignment="1" applyProtection="1">
      <alignment horizontal="right"/>
      <protection locked="0"/>
    </xf>
    <xf numFmtId="0" fontId="4" fillId="4" borderId="30" xfId="3" applyFont="1" applyFill="1" applyBorder="1" applyAlignment="1" applyProtection="1">
      <alignment horizontal="right"/>
      <protection locked="0"/>
    </xf>
    <xf numFmtId="0" fontId="4" fillId="0" borderId="30" xfId="3" applyFont="1" applyFill="1" applyBorder="1" applyAlignment="1" applyProtection="1">
      <alignment horizontal="right"/>
      <protection locked="0"/>
    </xf>
    <xf numFmtId="0" fontId="1" fillId="11" borderId="0" xfId="3" applyFill="1"/>
    <xf numFmtId="0" fontId="4" fillId="11" borderId="30" xfId="3" applyFont="1" applyFill="1" applyBorder="1" applyAlignment="1" applyProtection="1">
      <alignment horizontal="right"/>
      <protection locked="0"/>
    </xf>
    <xf numFmtId="0" fontId="0" fillId="0" borderId="0" xfId="0" applyBorder="1"/>
    <xf numFmtId="0" fontId="54" fillId="0" borderId="30" xfId="0" applyFont="1" applyFill="1" applyBorder="1" applyAlignment="1">
      <alignment horizontal="center"/>
    </xf>
    <xf numFmtId="0" fontId="5" fillId="2" borderId="0" xfId="0" applyFont="1" applyFill="1" applyAlignment="1" applyProtection="1">
      <alignment horizontal="left"/>
    </xf>
    <xf numFmtId="0" fontId="11" fillId="2" borderId="0" xfId="0" applyFont="1" applyFill="1" applyAlignment="1" applyProtection="1">
      <alignment horizontal="left" vertical="center" indent="1"/>
      <protection locked="0"/>
    </xf>
    <xf numFmtId="0" fontId="11" fillId="2" borderId="23" xfId="0" applyFont="1" applyFill="1" applyBorder="1" applyAlignment="1" applyProtection="1">
      <alignment horizontal="left" vertical="center" indent="1"/>
      <protection locked="0"/>
    </xf>
    <xf numFmtId="0" fontId="20" fillId="2" borderId="83" xfId="0" applyFont="1" applyFill="1" applyBorder="1" applyAlignment="1">
      <alignment horizontal="right" vertical="center" textRotation="180"/>
    </xf>
    <xf numFmtId="0" fontId="10" fillId="2" borderId="2" xfId="0" applyFont="1" applyFill="1" applyBorder="1" applyAlignment="1">
      <alignment horizontal="left"/>
    </xf>
    <xf numFmtId="0" fontId="10" fillId="2" borderId="7" xfId="0" applyFont="1" applyFill="1" applyBorder="1" applyAlignment="1">
      <alignment horizontal="left"/>
    </xf>
    <xf numFmtId="0" fontId="17" fillId="2" borderId="15" xfId="0" applyFont="1" applyFill="1" applyBorder="1" applyAlignment="1">
      <alignment horizontal="left" vertical="center"/>
    </xf>
    <xf numFmtId="0" fontId="17" fillId="2" borderId="71" xfId="0" applyFont="1" applyFill="1" applyBorder="1" applyAlignment="1">
      <alignment horizontal="left" vertical="center"/>
    </xf>
    <xf numFmtId="0" fontId="17" fillId="2" borderId="77" xfId="0" applyFont="1" applyFill="1" applyBorder="1" applyAlignment="1">
      <alignment horizontal="left" vertical="center"/>
    </xf>
    <xf numFmtId="1" fontId="12" fillId="2" borderId="71" xfId="0" applyNumberFormat="1" applyFont="1" applyFill="1" applyBorder="1" applyAlignment="1">
      <alignment horizontal="left"/>
    </xf>
    <xf numFmtId="0" fontId="21" fillId="4" borderId="15" xfId="0" applyFont="1" applyFill="1" applyBorder="1" applyAlignment="1" applyProtection="1">
      <alignment horizontal="left"/>
      <protection locked="0"/>
    </xf>
    <xf numFmtId="0" fontId="21" fillId="4" borderId="77" xfId="0" applyFont="1" applyFill="1" applyBorder="1" applyAlignment="1" applyProtection="1">
      <alignment horizontal="left"/>
      <protection locked="0"/>
    </xf>
    <xf numFmtId="0" fontId="10" fillId="2" borderId="85" xfId="0" applyFont="1" applyFill="1" applyBorder="1" applyAlignment="1">
      <alignment horizontal="left"/>
    </xf>
    <xf numFmtId="0" fontId="12" fillId="3" borderId="15" xfId="0" applyFont="1" applyFill="1" applyBorder="1" applyAlignment="1">
      <alignment horizontal="left"/>
    </xf>
    <xf numFmtId="0" fontId="12" fillId="3" borderId="71" xfId="0" applyFont="1" applyFill="1" applyBorder="1" applyAlignment="1">
      <alignment horizontal="left"/>
    </xf>
    <xf numFmtId="0" fontId="8" fillId="2" borderId="0" xfId="0" applyFont="1" applyFill="1" applyAlignment="1">
      <alignment horizontal="left" vertical="center"/>
    </xf>
    <xf numFmtId="0" fontId="8" fillId="2" borderId="65" xfId="0" applyFont="1" applyFill="1" applyBorder="1" applyAlignment="1">
      <alignment horizontal="left" vertical="center"/>
    </xf>
    <xf numFmtId="0" fontId="12" fillId="2" borderId="2" xfId="0" applyFont="1" applyFill="1" applyBorder="1" applyAlignment="1">
      <alignment horizontal="left"/>
    </xf>
    <xf numFmtId="0" fontId="9" fillId="2" borderId="2" xfId="0" applyFont="1" applyFill="1" applyBorder="1" applyAlignment="1">
      <alignment horizontal="left"/>
    </xf>
    <xf numFmtId="0" fontId="35" fillId="2" borderId="0" xfId="0" applyFont="1" applyFill="1" applyAlignment="1">
      <alignment horizontal="right" vertical="center"/>
    </xf>
    <xf numFmtId="0" fontId="35" fillId="2" borderId="65" xfId="0" applyFont="1" applyFill="1" applyBorder="1" applyAlignment="1">
      <alignment horizontal="right" vertical="center"/>
    </xf>
    <xf numFmtId="0" fontId="12" fillId="3" borderId="77" xfId="0" applyFont="1" applyFill="1" applyBorder="1" applyAlignment="1">
      <alignment horizontal="left"/>
    </xf>
    <xf numFmtId="0" fontId="12" fillId="3" borderId="84" xfId="0" applyFont="1" applyFill="1" applyBorder="1" applyAlignment="1">
      <alignment horizontal="center"/>
    </xf>
    <xf numFmtId="0" fontId="12" fillId="3" borderId="16" xfId="0" applyFont="1" applyFill="1" applyBorder="1" applyAlignment="1">
      <alignment horizontal="center"/>
    </xf>
    <xf numFmtId="0" fontId="27" fillId="5" borderId="79" xfId="0" applyFont="1" applyFill="1" applyBorder="1" applyAlignment="1" applyProtection="1">
      <alignment horizontal="center" vertical="center"/>
      <protection locked="0"/>
    </xf>
    <xf numFmtId="0" fontId="27" fillId="5" borderId="80" xfId="0" applyFont="1" applyFill="1" applyBorder="1" applyAlignment="1" applyProtection="1">
      <alignment horizontal="center" vertical="center"/>
      <protection locked="0"/>
    </xf>
    <xf numFmtId="0" fontId="27" fillId="5" borderId="81" xfId="0" applyFont="1" applyFill="1" applyBorder="1" applyAlignment="1" applyProtection="1">
      <alignment horizontal="center" vertical="center"/>
      <protection locked="0"/>
    </xf>
    <xf numFmtId="0" fontId="27" fillId="5" borderId="69" xfId="0" applyFont="1" applyFill="1" applyBorder="1" applyAlignment="1" applyProtection="1">
      <alignment horizontal="center" vertical="center" textRotation="180"/>
      <protection locked="0"/>
    </xf>
    <xf numFmtId="0" fontId="27" fillId="5" borderId="72" xfId="0" applyFont="1" applyFill="1" applyBorder="1" applyAlignment="1" applyProtection="1">
      <alignment horizontal="center" vertical="center" textRotation="180"/>
      <protection locked="0"/>
    </xf>
    <xf numFmtId="0" fontId="27" fillId="5" borderId="82" xfId="0" applyFont="1" applyFill="1" applyBorder="1" applyAlignment="1" applyProtection="1">
      <alignment horizontal="center" vertical="center" textRotation="180"/>
      <protection locked="0"/>
    </xf>
    <xf numFmtId="0" fontId="27" fillId="5" borderId="78" xfId="0" applyFont="1" applyFill="1" applyBorder="1" applyAlignment="1" applyProtection="1">
      <alignment horizontal="center" vertical="center" textRotation="180"/>
      <protection locked="0"/>
    </xf>
    <xf numFmtId="0" fontId="27" fillId="2" borderId="61" xfId="0" applyFont="1" applyFill="1" applyBorder="1" applyAlignment="1" applyProtection="1">
      <alignment horizontal="center" vertical="center"/>
    </xf>
    <xf numFmtId="0" fontId="27" fillId="2" borderId="62" xfId="0" applyFont="1" applyFill="1" applyBorder="1" applyAlignment="1" applyProtection="1">
      <alignment horizontal="center" vertical="center"/>
    </xf>
    <xf numFmtId="0" fontId="32" fillId="2" borderId="0" xfId="0" applyFont="1" applyFill="1" applyBorder="1" applyAlignment="1" applyProtection="1">
      <alignment horizontal="center" vertical="center" wrapText="1" shrinkToFit="1"/>
    </xf>
    <xf numFmtId="0" fontId="33" fillId="3" borderId="0" xfId="0" applyFont="1" applyFill="1" applyAlignment="1">
      <alignment horizontal="center" vertical="center" wrapText="1"/>
    </xf>
    <xf numFmtId="0" fontId="38" fillId="4" borderId="15" xfId="0" applyFont="1" applyFill="1" applyBorder="1" applyAlignment="1" applyProtection="1">
      <alignment horizontal="left"/>
      <protection locked="0"/>
    </xf>
    <xf numFmtId="0" fontId="38" fillId="4" borderId="71" xfId="0" applyFont="1" applyFill="1" applyBorder="1" applyAlignment="1" applyProtection="1">
      <alignment horizontal="left"/>
      <protection locked="0"/>
    </xf>
    <xf numFmtId="0" fontId="38" fillId="4" borderId="77" xfId="0" applyFont="1" applyFill="1" applyBorder="1" applyAlignment="1" applyProtection="1">
      <alignment horizontal="left"/>
      <protection locked="0"/>
    </xf>
    <xf numFmtId="0" fontId="43" fillId="2" borderId="89" xfId="0" applyFont="1" applyFill="1" applyBorder="1" applyAlignment="1" applyProtection="1">
      <alignment horizontal="center"/>
    </xf>
    <xf numFmtId="0" fontId="43" fillId="2" borderId="90" xfId="0" applyFont="1" applyFill="1" applyBorder="1" applyAlignment="1" applyProtection="1">
      <alignment horizontal="center"/>
    </xf>
    <xf numFmtId="0" fontId="40" fillId="2" borderId="18" xfId="0" applyFont="1" applyFill="1" applyBorder="1" applyAlignment="1" applyProtection="1">
      <alignment horizontal="center"/>
    </xf>
    <xf numFmtId="0" fontId="40" fillId="2" borderId="19" xfId="0" applyFont="1" applyFill="1" applyBorder="1" applyAlignment="1" applyProtection="1">
      <alignment horizontal="center"/>
    </xf>
    <xf numFmtId="0" fontId="4" fillId="2" borderId="0" xfId="0" applyFont="1" applyFill="1" applyAlignment="1">
      <alignment horizontal="left" vertical="center"/>
    </xf>
    <xf numFmtId="0" fontId="22" fillId="3" borderId="15" xfId="0" applyFont="1" applyFill="1" applyBorder="1" applyAlignment="1">
      <alignment horizontal="left"/>
    </xf>
    <xf numFmtId="0" fontId="22" fillId="3" borderId="71" xfId="0" applyFont="1" applyFill="1" applyBorder="1" applyAlignment="1">
      <alignment horizontal="left"/>
    </xf>
    <xf numFmtId="0" fontId="22" fillId="3" borderId="77" xfId="0" applyFont="1" applyFill="1" applyBorder="1" applyAlignment="1">
      <alignment horizontal="left"/>
    </xf>
    <xf numFmtId="3" fontId="5" fillId="2" borderId="91" xfId="1" applyNumberFormat="1" applyFont="1" applyFill="1" applyBorder="1" applyAlignment="1">
      <alignment horizontal="center" vertical="center" wrapText="1"/>
    </xf>
    <xf numFmtId="3" fontId="5" fillId="2" borderId="29" xfId="1" applyNumberFormat="1" applyFont="1" applyFill="1" applyBorder="1" applyAlignment="1">
      <alignment horizontal="center" vertical="center" wrapText="1"/>
    </xf>
    <xf numFmtId="0" fontId="10" fillId="2" borderId="76" xfId="0" applyFont="1" applyFill="1" applyBorder="1" applyAlignment="1">
      <alignment horizontal="left" wrapText="1"/>
    </xf>
    <xf numFmtId="0" fontId="10" fillId="2" borderId="70" xfId="0" applyFont="1" applyFill="1" applyBorder="1" applyAlignment="1">
      <alignment horizontal="left" wrapText="1"/>
    </xf>
    <xf numFmtId="0" fontId="10" fillId="2" borderId="22" xfId="0" applyFont="1" applyFill="1" applyBorder="1" applyAlignment="1">
      <alignment horizontal="left" wrapText="1"/>
    </xf>
    <xf numFmtId="0" fontId="10" fillId="2" borderId="86" xfId="0" applyFont="1" applyFill="1" applyBorder="1" applyAlignment="1">
      <alignment horizontal="left" wrapText="1"/>
    </xf>
    <xf numFmtId="0" fontId="10" fillId="2" borderId="5" xfId="0" applyFont="1" applyFill="1" applyBorder="1" applyAlignment="1">
      <alignment horizontal="left"/>
    </xf>
    <xf numFmtId="0" fontId="10" fillId="2" borderId="11" xfId="0" applyFont="1" applyFill="1" applyBorder="1" applyAlignment="1">
      <alignment horizontal="left"/>
    </xf>
    <xf numFmtId="167" fontId="5" fillId="2" borderId="91" xfId="2" applyNumberFormat="1" applyFont="1" applyFill="1" applyBorder="1" applyAlignment="1">
      <alignment horizontal="center" vertical="center"/>
    </xf>
    <xf numFmtId="167" fontId="5" fillId="2" borderId="92" xfId="2" applyNumberFormat="1" applyFont="1" applyFill="1" applyBorder="1" applyAlignment="1">
      <alignment horizontal="center" vertical="center"/>
    </xf>
    <xf numFmtId="0" fontId="10" fillId="2" borderId="87" xfId="0" applyFont="1" applyFill="1" applyBorder="1" applyAlignment="1">
      <alignment horizontal="left"/>
    </xf>
    <xf numFmtId="0" fontId="10" fillId="2" borderId="88" xfId="0" applyFont="1" applyFill="1" applyBorder="1" applyAlignment="1">
      <alignment horizontal="left"/>
    </xf>
    <xf numFmtId="0" fontId="10" fillId="2" borderId="4" xfId="0" applyFont="1" applyFill="1" applyBorder="1" applyAlignment="1">
      <alignment horizontal="left" wrapText="1"/>
    </xf>
    <xf numFmtId="0" fontId="10" fillId="2" borderId="27" xfId="0" applyFont="1" applyFill="1" applyBorder="1" applyAlignment="1">
      <alignment horizontal="left" wrapText="1"/>
    </xf>
    <xf numFmtId="0" fontId="10" fillId="2" borderId="5" xfId="0" applyFont="1" applyFill="1" applyBorder="1" applyAlignment="1"/>
    <xf numFmtId="0" fontId="10" fillId="2" borderId="11" xfId="0" applyFont="1" applyFill="1" applyBorder="1" applyAlignment="1"/>
  </cellXfs>
  <cellStyles count="4">
    <cellStyle name="Comma" xfId="1" builtinId="3"/>
    <cellStyle name="Normal" xfId="0" builtinId="0"/>
    <cellStyle name="Normal 2" xfId="3" xr:uid="{9276FB35-A7C6-4C40-AA36-B57313B80E9C}"/>
    <cellStyle name="Percent" xfId="2" builtinId="5"/>
  </cellStyles>
  <dxfs count="13"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643696222907837E-2"/>
          <c:y val="3.7037126343379495E-2"/>
          <c:w val="0.90109959182109112"/>
          <c:h val="0.82222420482302472"/>
        </c:manualLayout>
      </c:layout>
      <c:scatterChart>
        <c:scatterStyle val="lineMarker"/>
        <c:varyColors val="0"/>
        <c:ser>
          <c:idx val="0"/>
          <c:order val="0"/>
          <c:tx>
            <c:v>AADTs</c:v>
          </c:tx>
          <c:spPr>
            <a:ln w="28575">
              <a:noFill/>
            </a:ln>
          </c:spPr>
          <c:marker>
            <c:symbol val="circle"/>
            <c:size val="6"/>
            <c:spPr>
              <a:solidFill>
                <a:srgbClr val="FFFFCC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[0]!AADTYEARS</c:f>
              <c:numCache>
                <c:formatCode>0</c:formatCode>
                <c:ptCount val="11"/>
                <c:pt idx="0">
                  <c:v>2002</c:v>
                </c:pt>
                <c:pt idx="1">
                  <c:v>2003</c:v>
                </c:pt>
                <c:pt idx="2">
                  <c:v>2005</c:v>
                </c:pt>
                <c:pt idx="3">
                  <c:v>2007</c:v>
                </c:pt>
                <c:pt idx="4">
                  <c:v>2009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2015</c:v>
                </c:pt>
                <c:pt idx="9">
                  <c:v>2017</c:v>
                </c:pt>
                <c:pt idx="10">
                  <c:v>2018</c:v>
                </c:pt>
              </c:numCache>
            </c:numRef>
          </c:xVal>
          <c:yVal>
            <c:numRef>
              <c:f>[0]!SERIESAADTS</c:f>
              <c:numCache>
                <c:formatCode>0</c:formatCode>
                <c:ptCount val="11"/>
                <c:pt idx="0">
                  <c:v>24000</c:v>
                </c:pt>
                <c:pt idx="1">
                  <c:v>24000</c:v>
                </c:pt>
                <c:pt idx="2">
                  <c:v>29000</c:v>
                </c:pt>
                <c:pt idx="3">
                  <c:v>30000</c:v>
                </c:pt>
                <c:pt idx="4">
                  <c:v>26000</c:v>
                </c:pt>
                <c:pt idx="5">
                  <c:v>29000</c:v>
                </c:pt>
                <c:pt idx="6">
                  <c:v>26600</c:v>
                </c:pt>
                <c:pt idx="7">
                  <c:v>29000</c:v>
                </c:pt>
                <c:pt idx="8">
                  <c:v>30000</c:v>
                </c:pt>
                <c:pt idx="9">
                  <c:v>32000</c:v>
                </c:pt>
                <c:pt idx="10">
                  <c:v>33000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E4-48EB-89BC-4AB00E0255BE}"/>
            </c:ext>
          </c:extLst>
        </c:ser>
        <c:ser>
          <c:idx val="1"/>
          <c:order val="1"/>
          <c:tx>
            <c:v>AVG ANN INC</c:v>
          </c:tx>
          <c:spPr>
            <a:ln w="12700">
              <a:solidFill>
                <a:srgbClr val="993300"/>
              </a:solidFill>
              <a:prstDash val="solid"/>
            </a:ln>
          </c:spPr>
          <c:marker>
            <c:symbol val="triangle"/>
            <c:size val="3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[0]!AADTYEARS</c:f>
              <c:numCache>
                <c:formatCode>0</c:formatCode>
                <c:ptCount val="11"/>
                <c:pt idx="0">
                  <c:v>2002</c:v>
                </c:pt>
                <c:pt idx="1">
                  <c:v>2003</c:v>
                </c:pt>
                <c:pt idx="2">
                  <c:v>2005</c:v>
                </c:pt>
                <c:pt idx="3">
                  <c:v>2007</c:v>
                </c:pt>
                <c:pt idx="4">
                  <c:v>2009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2015</c:v>
                </c:pt>
                <c:pt idx="9">
                  <c:v>2017</c:v>
                </c:pt>
                <c:pt idx="10">
                  <c:v>2018</c:v>
                </c:pt>
              </c:numCache>
            </c:numRef>
          </c:xVal>
          <c:yVal>
            <c:numRef>
              <c:f>[0]!SERIESHISTORICAAI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6E4-48EB-89BC-4AB00E0255BE}"/>
            </c:ext>
          </c:extLst>
        </c:ser>
        <c:ser>
          <c:idx val="2"/>
          <c:order val="2"/>
          <c:tx>
            <c:v>AVG ANN INC</c:v>
          </c:tx>
          <c:spPr>
            <a:ln w="12700">
              <a:solidFill>
                <a:srgbClr val="993300"/>
              </a:solidFill>
              <a:prstDash val="solid"/>
            </a:ln>
          </c:spPr>
          <c:marker>
            <c:symbol val="triangle"/>
            <c:size val="3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[0]!ALLYEARS</c:f>
              <c:numCache>
                <c:formatCode>0</c:formatCode>
                <c:ptCount val="17"/>
                <c:pt idx="0">
                  <c:v>2002</c:v>
                </c:pt>
                <c:pt idx="1">
                  <c:v>2003</c:v>
                </c:pt>
                <c:pt idx="2">
                  <c:v>2005</c:v>
                </c:pt>
                <c:pt idx="3">
                  <c:v>2007</c:v>
                </c:pt>
                <c:pt idx="4">
                  <c:v>2009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2015</c:v>
                </c:pt>
                <c:pt idx="9">
                  <c:v>2017</c:v>
                </c:pt>
                <c:pt idx="10">
                  <c:v>2018</c:v>
                </c:pt>
                <c:pt idx="11">
                  <c:v>2018</c:v>
                </c:pt>
                <c:pt idx="12" formatCode="General">
                  <c:v>2030</c:v>
                </c:pt>
                <c:pt idx="13" formatCode="General">
                  <c:v>2035</c:v>
                </c:pt>
                <c:pt idx="14" formatCode="General">
                  <c:v>2040</c:v>
                </c:pt>
                <c:pt idx="15" formatCode="General">
                  <c:v>2045</c:v>
                </c:pt>
                <c:pt idx="16" formatCode="General">
                  <c:v>2050</c:v>
                </c:pt>
              </c:numCache>
            </c:numRef>
          </c:xVal>
          <c:yVal>
            <c:numRef>
              <c:f>[0]!SERIESFUTUREAAI</c:f>
              <c:numCache>
                <c:formatCode>0.0</c:formatCode>
                <c:ptCount val="17"/>
                <c:pt idx="0">
                  <c:v>24000</c:v>
                </c:pt>
                <c:pt idx="1">
                  <c:v>24562.5</c:v>
                </c:pt>
                <c:pt idx="2">
                  <c:v>25687.5</c:v>
                </c:pt>
                <c:pt idx="3">
                  <c:v>26812.5</c:v>
                </c:pt>
                <c:pt idx="4">
                  <c:v>27937.5</c:v>
                </c:pt>
                <c:pt idx="5">
                  <c:v>29062.5</c:v>
                </c:pt>
                <c:pt idx="6">
                  <c:v>29625</c:v>
                </c:pt>
                <c:pt idx="7">
                  <c:v>30187.5</c:v>
                </c:pt>
                <c:pt idx="8">
                  <c:v>31312.5</c:v>
                </c:pt>
                <c:pt idx="9">
                  <c:v>32437.5</c:v>
                </c:pt>
                <c:pt idx="10">
                  <c:v>33000</c:v>
                </c:pt>
                <c:pt idx="11">
                  <c:v>33000</c:v>
                </c:pt>
                <c:pt idx="12">
                  <c:v>39750</c:v>
                </c:pt>
                <c:pt idx="13">
                  <c:v>42562.5</c:v>
                </c:pt>
                <c:pt idx="14">
                  <c:v>45375</c:v>
                </c:pt>
                <c:pt idx="15">
                  <c:v>48187.5</c:v>
                </c:pt>
                <c:pt idx="16">
                  <c:v>51000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6E4-48EB-89BC-4AB00E0255BE}"/>
            </c:ext>
          </c:extLst>
        </c:ser>
        <c:ser>
          <c:idx val="4"/>
          <c:order val="4"/>
          <c:tx>
            <c:v>AVG ANN RATE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800080"/>
              </a:solidFill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[0]!AADTYEARS</c:f>
              <c:numCache>
                <c:formatCode>0</c:formatCode>
                <c:ptCount val="11"/>
                <c:pt idx="0">
                  <c:v>2002</c:v>
                </c:pt>
                <c:pt idx="1">
                  <c:v>2003</c:v>
                </c:pt>
                <c:pt idx="2">
                  <c:v>2005</c:v>
                </c:pt>
                <c:pt idx="3">
                  <c:v>2007</c:v>
                </c:pt>
                <c:pt idx="4">
                  <c:v>2009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2015</c:v>
                </c:pt>
                <c:pt idx="9">
                  <c:v>2017</c:v>
                </c:pt>
                <c:pt idx="10">
                  <c:v>2018</c:v>
                </c:pt>
              </c:numCache>
            </c:numRef>
          </c:xVal>
          <c:yVal>
            <c:numRef>
              <c:f>[0]!SERIESHISTORICAAR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6E4-48EB-89BC-4AB00E0255BE}"/>
            </c:ext>
          </c:extLst>
        </c:ser>
        <c:ser>
          <c:idx val="5"/>
          <c:order val="5"/>
          <c:tx>
            <c:v>AVG ANN RATE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800080"/>
              </a:solidFill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[0]!ALLYEARS</c:f>
              <c:numCache>
                <c:formatCode>0</c:formatCode>
                <c:ptCount val="17"/>
                <c:pt idx="0">
                  <c:v>2002</c:v>
                </c:pt>
                <c:pt idx="1">
                  <c:v>2003</c:v>
                </c:pt>
                <c:pt idx="2">
                  <c:v>2005</c:v>
                </c:pt>
                <c:pt idx="3">
                  <c:v>2007</c:v>
                </c:pt>
                <c:pt idx="4">
                  <c:v>2009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2015</c:v>
                </c:pt>
                <c:pt idx="9">
                  <c:v>2017</c:v>
                </c:pt>
                <c:pt idx="10">
                  <c:v>2018</c:v>
                </c:pt>
                <c:pt idx="11">
                  <c:v>2018</c:v>
                </c:pt>
                <c:pt idx="12" formatCode="General">
                  <c:v>2030</c:v>
                </c:pt>
                <c:pt idx="13" formatCode="General">
                  <c:v>2035</c:v>
                </c:pt>
                <c:pt idx="14" formatCode="General">
                  <c:v>2040</c:v>
                </c:pt>
                <c:pt idx="15" formatCode="General">
                  <c:v>2045</c:v>
                </c:pt>
                <c:pt idx="16" formatCode="General">
                  <c:v>2050</c:v>
                </c:pt>
              </c:numCache>
            </c:numRef>
          </c:xVal>
          <c:yVal>
            <c:numRef>
              <c:f>[0]!SERIESFUTUREAAR</c:f>
              <c:numCache>
                <c:formatCode>0.0</c:formatCode>
                <c:ptCount val="17"/>
                <c:pt idx="0">
                  <c:v>24000</c:v>
                </c:pt>
                <c:pt idx="1">
                  <c:v>24482.466016600825</c:v>
                </c:pt>
                <c:pt idx="2">
                  <c:v>25476.689706398363</c:v>
                </c:pt>
                <c:pt idx="3">
                  <c:v>26511.288444390975</c:v>
                </c:pt>
                <c:pt idx="4">
                  <c:v>27587.901846022844</c:v>
                </c:pt>
                <c:pt idx="5">
                  <c:v>28708.236110901496</c:v>
                </c:pt>
                <c:pt idx="6">
                  <c:v>29285.350624237435</c:v>
                </c:pt>
                <c:pt idx="7">
                  <c:v>29874.066726755536</c:v>
                </c:pt>
                <c:pt idx="8">
                  <c:v>31087.241283199026</c:v>
                </c:pt>
                <c:pt idx="9">
                  <c:v>32349.682399761838</c:v>
                </c:pt>
                <c:pt idx="10">
                  <c:v>32999.999999999949</c:v>
                </c:pt>
                <c:pt idx="11">
                  <c:v>32999.999999999949</c:v>
                </c:pt>
                <c:pt idx="12">
                  <c:v>41902.599258177208</c:v>
                </c:pt>
                <c:pt idx="13">
                  <c:v>46287.162312635803</c:v>
                </c:pt>
                <c:pt idx="14">
                  <c:v>51130.512972609613</c:v>
                </c:pt>
                <c:pt idx="15">
                  <c:v>56480.657405272017</c:v>
                </c:pt>
                <c:pt idx="16">
                  <c:v>62390.624999999724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6E4-48EB-89BC-4AB00E0255BE}"/>
            </c:ext>
          </c:extLst>
        </c:ser>
        <c:ser>
          <c:idx val="6"/>
          <c:order val="6"/>
          <c:tx>
            <c:v>LINEAR REG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[0]!ALLYEARS</c:f>
              <c:numCache>
                <c:formatCode>0</c:formatCode>
                <c:ptCount val="17"/>
                <c:pt idx="0">
                  <c:v>2002</c:v>
                </c:pt>
                <c:pt idx="1">
                  <c:v>2003</c:v>
                </c:pt>
                <c:pt idx="2">
                  <c:v>2005</c:v>
                </c:pt>
                <c:pt idx="3">
                  <c:v>2007</c:v>
                </c:pt>
                <c:pt idx="4">
                  <c:v>2009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2015</c:v>
                </c:pt>
                <c:pt idx="9">
                  <c:v>2017</c:v>
                </c:pt>
                <c:pt idx="10">
                  <c:v>2018</c:v>
                </c:pt>
                <c:pt idx="11">
                  <c:v>2018</c:v>
                </c:pt>
                <c:pt idx="12" formatCode="General">
                  <c:v>2030</c:v>
                </c:pt>
                <c:pt idx="13" formatCode="General">
                  <c:v>2035</c:v>
                </c:pt>
                <c:pt idx="14" formatCode="General">
                  <c:v>2040</c:v>
                </c:pt>
                <c:pt idx="15" formatCode="General">
                  <c:v>2045</c:v>
                </c:pt>
                <c:pt idx="16" formatCode="General">
                  <c:v>2050</c:v>
                </c:pt>
              </c:numCache>
            </c:numRef>
          </c:xVal>
          <c:yVal>
            <c:numRef>
              <c:f>[0]!SERIESFUTUREREGINC</c:f>
              <c:numCache>
                <c:formatCode>0.0</c:formatCode>
                <c:ptCount val="17"/>
                <c:pt idx="0">
                  <c:v>24885.800970873679</c:v>
                </c:pt>
                <c:pt idx="1">
                  <c:v>25317.53640776698</c:v>
                </c:pt>
                <c:pt idx="2">
                  <c:v>26181.007281553349</c:v>
                </c:pt>
                <c:pt idx="3">
                  <c:v>27044.478155339719</c:v>
                </c:pt>
                <c:pt idx="4">
                  <c:v>27907.949029126205</c:v>
                </c:pt>
                <c:pt idx="5">
                  <c:v>28771.419902912574</c:v>
                </c:pt>
                <c:pt idx="6">
                  <c:v>29203.155339805759</c:v>
                </c:pt>
                <c:pt idx="7">
                  <c:v>29634.890776698943</c:v>
                </c:pt>
                <c:pt idx="8">
                  <c:v>30498.361650485429</c:v>
                </c:pt>
                <c:pt idx="9">
                  <c:v>31361.832524271798</c:v>
                </c:pt>
                <c:pt idx="10">
                  <c:v>31793.567961164983</c:v>
                </c:pt>
                <c:pt idx="11">
                  <c:v>31793.567961164983</c:v>
                </c:pt>
                <c:pt idx="12">
                  <c:v>36974.393203883432</c:v>
                </c:pt>
                <c:pt idx="13">
                  <c:v>39133.070388349472</c:v>
                </c:pt>
                <c:pt idx="14">
                  <c:v>41291.747572815511</c:v>
                </c:pt>
                <c:pt idx="15">
                  <c:v>43450.424757281551</c:v>
                </c:pt>
                <c:pt idx="16">
                  <c:v>45609.101941747474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6E4-48EB-89BC-4AB00E0255BE}"/>
            </c:ext>
          </c:extLst>
        </c:ser>
        <c:ser>
          <c:idx val="7"/>
          <c:order val="7"/>
          <c:tx>
            <c:v>EXP REG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x"/>
            <c:size val="2"/>
            <c:spPr>
              <a:solidFill>
                <a:srgbClr val="008000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[0]!ALLYEARS</c:f>
              <c:numCache>
                <c:formatCode>0</c:formatCode>
                <c:ptCount val="17"/>
                <c:pt idx="0">
                  <c:v>2002</c:v>
                </c:pt>
                <c:pt idx="1">
                  <c:v>2003</c:v>
                </c:pt>
                <c:pt idx="2">
                  <c:v>2005</c:v>
                </c:pt>
                <c:pt idx="3">
                  <c:v>2007</c:v>
                </c:pt>
                <c:pt idx="4">
                  <c:v>2009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2015</c:v>
                </c:pt>
                <c:pt idx="9">
                  <c:v>2017</c:v>
                </c:pt>
                <c:pt idx="10">
                  <c:v>2018</c:v>
                </c:pt>
                <c:pt idx="11">
                  <c:v>2018</c:v>
                </c:pt>
                <c:pt idx="12" formatCode="General">
                  <c:v>2030</c:v>
                </c:pt>
                <c:pt idx="13" formatCode="General">
                  <c:v>2035</c:v>
                </c:pt>
                <c:pt idx="14" formatCode="General">
                  <c:v>2040</c:v>
                </c:pt>
                <c:pt idx="15" formatCode="General">
                  <c:v>2045</c:v>
                </c:pt>
                <c:pt idx="16" formatCode="General">
                  <c:v>2050</c:v>
                </c:pt>
              </c:numCache>
            </c:numRef>
          </c:xVal>
          <c:yVal>
            <c:numRef>
              <c:f>[0]!SERIESFUTUREREGRATE</c:f>
              <c:numCache>
                <c:formatCode>0.0</c:formatCode>
                <c:ptCount val="17"/>
                <c:pt idx="0">
                  <c:v>24926.104968983611</c:v>
                </c:pt>
                <c:pt idx="1">
                  <c:v>25313.097994349795</c:v>
                </c:pt>
                <c:pt idx="2">
                  <c:v>26105.202237921567</c:v>
                </c:pt>
                <c:pt idx="3">
                  <c:v>26922.093219680202</c:v>
                </c:pt>
                <c:pt idx="4">
                  <c:v>27764.546572877178</c:v>
                </c:pt>
                <c:pt idx="5">
                  <c:v>28633.362202087443</c:v>
                </c:pt>
                <c:pt idx="6">
                  <c:v>29077.912663492458</c:v>
                </c:pt>
                <c:pt idx="7">
                  <c:v>29529.365042714206</c:v>
                </c:pt>
                <c:pt idx="8">
                  <c:v>30453.405844260302</c:v>
                </c:pt>
                <c:pt idx="9">
                  <c:v>31406.361978109915</c:v>
                </c:pt>
                <c:pt idx="10">
                  <c:v>31893.964957106353</c:v>
                </c:pt>
                <c:pt idx="11">
                  <c:v>31893.964957106353</c:v>
                </c:pt>
                <c:pt idx="12">
                  <c:v>38370.643492083873</c:v>
                </c:pt>
                <c:pt idx="13">
                  <c:v>41443.219559510668</c:v>
                </c:pt>
                <c:pt idx="14">
                  <c:v>44761.83590228697</c:v>
                </c:pt>
                <c:pt idx="15">
                  <c:v>48346.194495486656</c:v>
                </c:pt>
                <c:pt idx="16">
                  <c:v>52217.57497386304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6E4-48EB-89BC-4AB00E0255BE}"/>
            </c:ext>
          </c:extLst>
        </c:ser>
        <c:ser>
          <c:idx val="8"/>
          <c:order val="8"/>
          <c:tx>
            <c:v>LINEAR REG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[0]!AADTYEARS</c:f>
              <c:numCache>
                <c:formatCode>0</c:formatCode>
                <c:ptCount val="11"/>
                <c:pt idx="0">
                  <c:v>2002</c:v>
                </c:pt>
                <c:pt idx="1">
                  <c:v>2003</c:v>
                </c:pt>
                <c:pt idx="2">
                  <c:v>2005</c:v>
                </c:pt>
                <c:pt idx="3">
                  <c:v>2007</c:v>
                </c:pt>
                <c:pt idx="4">
                  <c:v>2009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2015</c:v>
                </c:pt>
                <c:pt idx="9">
                  <c:v>2017</c:v>
                </c:pt>
                <c:pt idx="10">
                  <c:v>2018</c:v>
                </c:pt>
              </c:numCache>
            </c:numRef>
          </c:xVal>
          <c:yVal>
            <c:numRef>
              <c:f>[0]!SERIESHISTORICREGINC</c:f>
              <c:numCache>
                <c:formatCode>0.0</c:formatCode>
                <c:ptCount val="11"/>
                <c:pt idx="0">
                  <c:v>24885.800970873679</c:v>
                </c:pt>
                <c:pt idx="1">
                  <c:v>25317.53640776698</c:v>
                </c:pt>
                <c:pt idx="2">
                  <c:v>26181.007281553349</c:v>
                </c:pt>
                <c:pt idx="3">
                  <c:v>27044.478155339719</c:v>
                </c:pt>
                <c:pt idx="4">
                  <c:v>27907.949029126205</c:v>
                </c:pt>
                <c:pt idx="5">
                  <c:v>28771.419902912574</c:v>
                </c:pt>
                <c:pt idx="6">
                  <c:v>29203.155339805759</c:v>
                </c:pt>
                <c:pt idx="7">
                  <c:v>29634.890776698943</c:v>
                </c:pt>
                <c:pt idx="8">
                  <c:v>30498.361650485429</c:v>
                </c:pt>
                <c:pt idx="9">
                  <c:v>31361.832524271798</c:v>
                </c:pt>
                <c:pt idx="10">
                  <c:v>31793.567961164983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6E4-48EB-89BC-4AB00E0255BE}"/>
            </c:ext>
          </c:extLst>
        </c:ser>
        <c:ser>
          <c:idx val="9"/>
          <c:order val="9"/>
          <c:tx>
            <c:v>EXP REG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star"/>
            <c:size val="2"/>
            <c:spPr>
              <a:solidFill>
                <a:srgbClr val="008000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[0]!AADTYEARS</c:f>
              <c:numCache>
                <c:formatCode>0</c:formatCode>
                <c:ptCount val="11"/>
                <c:pt idx="0">
                  <c:v>2002</c:v>
                </c:pt>
                <c:pt idx="1">
                  <c:v>2003</c:v>
                </c:pt>
                <c:pt idx="2">
                  <c:v>2005</c:v>
                </c:pt>
                <c:pt idx="3">
                  <c:v>2007</c:v>
                </c:pt>
                <c:pt idx="4">
                  <c:v>2009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2015</c:v>
                </c:pt>
                <c:pt idx="9">
                  <c:v>2017</c:v>
                </c:pt>
                <c:pt idx="10">
                  <c:v>2018</c:v>
                </c:pt>
              </c:numCache>
            </c:numRef>
          </c:xVal>
          <c:yVal>
            <c:numRef>
              <c:f>[0]!SERIESHISTORICREGRATE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6E4-48EB-89BC-4AB00E0255BE}"/>
            </c:ext>
          </c:extLst>
        </c:ser>
        <c:ser>
          <c:idx val="10"/>
          <c:order val="10"/>
          <c:tx>
            <c:v>USER-DEFINED (A.G.R.)</c:v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square"/>
            <c:size val="2"/>
            <c:spPr>
              <a:solidFill>
                <a:srgbClr val="3366FF"/>
              </a:solidFill>
              <a:ln>
                <a:solidFill>
                  <a:srgbClr val="3366FF"/>
                </a:solidFill>
                <a:prstDash val="solid"/>
              </a:ln>
            </c:spPr>
          </c:marker>
          <c:xVal>
            <c:numRef>
              <c:f>[0]!USERRATEYEAR</c:f>
              <c:numCache>
                <c:formatCode>General</c:formatCode>
                <c:ptCount val="30"/>
                <c:pt idx="0" formatCode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  <c:pt idx="13">
                  <c:v>2019</c:v>
                </c:pt>
                <c:pt idx="14">
                  <c:v>2020</c:v>
                </c:pt>
                <c:pt idx="15">
                  <c:v>2021</c:v>
                </c:pt>
                <c:pt idx="16">
                  <c:v>2022</c:v>
                </c:pt>
                <c:pt idx="17">
                  <c:v>2023</c:v>
                </c:pt>
                <c:pt idx="18">
                  <c:v>2024</c:v>
                </c:pt>
                <c:pt idx="19">
                  <c:v>2025</c:v>
                </c:pt>
                <c:pt idx="20">
                  <c:v>2026</c:v>
                </c:pt>
                <c:pt idx="21">
                  <c:v>2027</c:v>
                </c:pt>
                <c:pt idx="22">
                  <c:v>2028</c:v>
                </c:pt>
                <c:pt idx="23">
                  <c:v>2029</c:v>
                </c:pt>
                <c:pt idx="24">
                  <c:v>2030</c:v>
                </c:pt>
                <c:pt idx="25">
                  <c:v>2031</c:v>
                </c:pt>
                <c:pt idx="26">
                  <c:v>2032</c:v>
                </c:pt>
                <c:pt idx="27">
                  <c:v>2033</c:v>
                </c:pt>
                <c:pt idx="28">
                  <c:v>2034</c:v>
                </c:pt>
                <c:pt idx="29">
                  <c:v>2035</c:v>
                </c:pt>
              </c:numCache>
            </c:numRef>
          </c:xVal>
          <c:yVal>
            <c:numRef>
              <c:f>[0]!SERIESUSERRATE2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6E4-48EB-89BC-4AB00E0255BE}"/>
            </c:ext>
          </c:extLst>
        </c:ser>
        <c:ser>
          <c:idx val="11"/>
          <c:order val="11"/>
          <c:tx>
            <c:v>USER-DEFINED (F.P.)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2"/>
            <c:spPr>
              <a:solidFill>
                <a:srgbClr val="993366"/>
              </a:solidFill>
              <a:ln>
                <a:solidFill>
                  <a:srgbClr val="993366"/>
                </a:solidFill>
                <a:prstDash val="solid"/>
              </a:ln>
            </c:spPr>
          </c:marker>
          <c:xVal>
            <c:numRef>
              <c:f>[0]!USERRATEYEAR</c:f>
              <c:numCache>
                <c:formatCode>General</c:formatCode>
                <c:ptCount val="30"/>
                <c:pt idx="0" formatCode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  <c:pt idx="13">
                  <c:v>2019</c:v>
                </c:pt>
                <c:pt idx="14">
                  <c:v>2020</c:v>
                </c:pt>
                <c:pt idx="15">
                  <c:v>2021</c:v>
                </c:pt>
                <c:pt idx="16">
                  <c:v>2022</c:v>
                </c:pt>
                <c:pt idx="17">
                  <c:v>2023</c:v>
                </c:pt>
                <c:pt idx="18">
                  <c:v>2024</c:v>
                </c:pt>
                <c:pt idx="19">
                  <c:v>2025</c:v>
                </c:pt>
                <c:pt idx="20">
                  <c:v>2026</c:v>
                </c:pt>
                <c:pt idx="21">
                  <c:v>2027</c:v>
                </c:pt>
                <c:pt idx="22">
                  <c:v>2028</c:v>
                </c:pt>
                <c:pt idx="23">
                  <c:v>2029</c:v>
                </c:pt>
                <c:pt idx="24">
                  <c:v>2030</c:v>
                </c:pt>
                <c:pt idx="25">
                  <c:v>2031</c:v>
                </c:pt>
                <c:pt idx="26">
                  <c:v>2032</c:v>
                </c:pt>
                <c:pt idx="27">
                  <c:v>2033</c:v>
                </c:pt>
                <c:pt idx="28">
                  <c:v>2034</c:v>
                </c:pt>
                <c:pt idx="29">
                  <c:v>2035</c:v>
                </c:pt>
              </c:numCache>
            </c:numRef>
          </c:xVal>
          <c:yVal>
            <c:numRef>
              <c:f>[0]!SERIESUSERRATE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F6E4-48EB-89BC-4AB00E0255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855232"/>
        <c:axId val="83856768"/>
      </c:scatterChart>
      <c:scatterChart>
        <c:scatterStyle val="lineMarker"/>
        <c:varyColors val="0"/>
        <c:ser>
          <c:idx val="3"/>
          <c:order val="3"/>
          <c:tx>
            <c:v>LAST AADT</c:v>
          </c:tx>
          <c:spPr>
            <a:ln w="12700">
              <a:solidFill>
                <a:srgbClr val="9999FF"/>
              </a:solidFill>
              <a:prstDash val="solid"/>
            </a:ln>
          </c:spPr>
          <c:marker>
            <c:symbol val="none"/>
          </c:marker>
          <c:xVal>
            <c:numRef>
              <c:f>'AADT Current'!$Z$2:$Z$3</c:f>
              <c:numCache>
                <c:formatCode>0</c:formatCode>
                <c:ptCount val="2"/>
                <c:pt idx="0">
                  <c:v>2018</c:v>
                </c:pt>
                <c:pt idx="1">
                  <c:v>2018</c:v>
                </c:pt>
              </c:numCache>
            </c:numRef>
          </c:xVal>
          <c:yVal>
            <c:numRef>
              <c:f>'AADT Current'!$AA$2:$AA$3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F6E4-48EB-89BC-4AB00E0255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186240"/>
        <c:axId val="84187776"/>
      </c:scatterChart>
      <c:valAx>
        <c:axId val="83855232"/>
        <c:scaling>
          <c:orientation val="minMax"/>
          <c:max val="2051"/>
          <c:min val="1991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3856768"/>
        <c:crosses val="autoZero"/>
        <c:crossBetween val="midCat"/>
      </c:valAx>
      <c:valAx>
        <c:axId val="83856768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3855232"/>
        <c:crosses val="autoZero"/>
        <c:crossBetween val="midCat"/>
      </c:valAx>
      <c:valAx>
        <c:axId val="84186240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84187776"/>
        <c:crosses val="autoZero"/>
        <c:crossBetween val="midCat"/>
      </c:valAx>
      <c:valAx>
        <c:axId val="84187776"/>
        <c:scaling>
          <c:orientation val="minMax"/>
          <c:max val="100"/>
        </c:scaling>
        <c:delete val="0"/>
        <c:axPos val="r"/>
        <c:numFmt formatCode="General" sourceLinked="1"/>
        <c:majorTickMark val="cross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325" b="0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4186240"/>
        <c:crosses val="max"/>
        <c:crossBetween val="midCat"/>
      </c:valAx>
      <c:spPr>
        <a:noFill/>
        <a:ln w="25400">
          <a:noFill/>
        </a:ln>
      </c:spPr>
    </c:plotArea>
    <c:legend>
      <c:legendPos val="r"/>
      <c:legendEntry>
        <c:idx val="1"/>
        <c:delete val="1"/>
      </c:legendEntry>
      <c:legendEntry>
        <c:idx val="3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11"/>
        <c:delete val="1"/>
      </c:legendEntry>
      <c:layout>
        <c:manualLayout>
          <c:xMode val="edge"/>
          <c:yMode val="edge"/>
          <c:x val="7.849299580323094E-3"/>
          <c:y val="0.91358244980336079"/>
          <c:w val="0.98587202728858059"/>
          <c:h val="7.901253619920958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-3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707330386437664E-2"/>
          <c:y val="5.2264808362369339E-2"/>
          <c:w val="0.90853838870837444"/>
          <c:h val="0.7804878048780488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'Traffic Data'!$C$5</c:f>
              <c:strCache>
                <c:ptCount val="1"/>
                <c:pt idx="0">
                  <c:v>NB</c:v>
                </c:pt>
              </c:strCache>
            </c:strRef>
          </c:tx>
          <c:spPr>
            <a:ln w="12700">
              <a:solidFill>
                <a:srgbClr val="993366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993366"/>
              </a:solidFill>
              <a:ln>
                <a:solidFill>
                  <a:srgbClr val="CC99FF"/>
                </a:solidFill>
                <a:prstDash val="solid"/>
              </a:ln>
            </c:spPr>
          </c:marker>
          <c:xVal>
            <c:numRef>
              <c:f>'Traffic Data'!$B$6:$B$29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xVal>
          <c:yVal>
            <c:numRef>
              <c:f>'Traffic Data'!$C$6:$C$29</c:f>
              <c:numCache>
                <c:formatCode>General</c:formatCode>
                <c:ptCount val="24"/>
                <c:pt idx="0">
                  <c:v>36</c:v>
                </c:pt>
                <c:pt idx="1">
                  <c:v>8</c:v>
                </c:pt>
                <c:pt idx="2">
                  <c:v>4</c:v>
                </c:pt>
                <c:pt idx="3">
                  <c:v>2</c:v>
                </c:pt>
                <c:pt idx="4">
                  <c:v>6</c:v>
                </c:pt>
                <c:pt idx="5">
                  <c:v>32</c:v>
                </c:pt>
                <c:pt idx="6">
                  <c:v>115</c:v>
                </c:pt>
                <c:pt idx="7">
                  <c:v>171</c:v>
                </c:pt>
                <c:pt idx="8">
                  <c:v>225</c:v>
                </c:pt>
                <c:pt idx="9">
                  <c:v>245</c:v>
                </c:pt>
                <c:pt idx="10">
                  <c:v>264</c:v>
                </c:pt>
                <c:pt idx="11">
                  <c:v>308</c:v>
                </c:pt>
                <c:pt idx="12">
                  <c:v>303</c:v>
                </c:pt>
                <c:pt idx="13">
                  <c:v>296</c:v>
                </c:pt>
                <c:pt idx="14">
                  <c:v>287</c:v>
                </c:pt>
                <c:pt idx="15">
                  <c:v>337</c:v>
                </c:pt>
                <c:pt idx="16">
                  <c:v>233</c:v>
                </c:pt>
                <c:pt idx="17">
                  <c:v>313</c:v>
                </c:pt>
                <c:pt idx="18">
                  <c:v>230</c:v>
                </c:pt>
                <c:pt idx="19">
                  <c:v>214</c:v>
                </c:pt>
                <c:pt idx="20">
                  <c:v>196</c:v>
                </c:pt>
                <c:pt idx="21">
                  <c:v>136</c:v>
                </c:pt>
                <c:pt idx="22">
                  <c:v>72</c:v>
                </c:pt>
                <c:pt idx="23">
                  <c:v>40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4BD-4AAF-B536-8291727907EB}"/>
            </c:ext>
          </c:extLst>
        </c:ser>
        <c:ser>
          <c:idx val="1"/>
          <c:order val="1"/>
          <c:tx>
            <c:strRef>
              <c:f>'Traffic Data'!$D$5</c:f>
              <c:strCache>
                <c:ptCount val="1"/>
                <c:pt idx="0">
                  <c:v>SB</c:v>
                </c:pt>
              </c:strCache>
            </c:strRef>
          </c:tx>
          <c:spPr>
            <a:ln w="12700">
              <a:solidFill>
                <a:srgbClr val="99CC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339966"/>
              </a:solidFill>
              <a:ln>
                <a:solidFill>
                  <a:srgbClr val="99CC00"/>
                </a:solidFill>
                <a:prstDash val="solid"/>
              </a:ln>
            </c:spPr>
          </c:marker>
          <c:xVal>
            <c:numRef>
              <c:f>'Traffic Data'!$B$6:$B$29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xVal>
          <c:yVal>
            <c:numRef>
              <c:f>'Traffic Data'!$D$6:$D$29</c:f>
              <c:numCache>
                <c:formatCode>General</c:formatCode>
                <c:ptCount val="24"/>
                <c:pt idx="0">
                  <c:v>32</c:v>
                </c:pt>
                <c:pt idx="1">
                  <c:v>22</c:v>
                </c:pt>
                <c:pt idx="2">
                  <c:v>8</c:v>
                </c:pt>
                <c:pt idx="3">
                  <c:v>4</c:v>
                </c:pt>
                <c:pt idx="4">
                  <c:v>10</c:v>
                </c:pt>
                <c:pt idx="5">
                  <c:v>30</c:v>
                </c:pt>
                <c:pt idx="6">
                  <c:v>89</c:v>
                </c:pt>
                <c:pt idx="7">
                  <c:v>170</c:v>
                </c:pt>
                <c:pt idx="8">
                  <c:v>262</c:v>
                </c:pt>
                <c:pt idx="9">
                  <c:v>255</c:v>
                </c:pt>
                <c:pt idx="10">
                  <c:v>291</c:v>
                </c:pt>
                <c:pt idx="11">
                  <c:v>324</c:v>
                </c:pt>
                <c:pt idx="12">
                  <c:v>333</c:v>
                </c:pt>
                <c:pt idx="13">
                  <c:v>316</c:v>
                </c:pt>
                <c:pt idx="14">
                  <c:v>326</c:v>
                </c:pt>
                <c:pt idx="15">
                  <c:v>345</c:v>
                </c:pt>
                <c:pt idx="16">
                  <c:v>371</c:v>
                </c:pt>
                <c:pt idx="17">
                  <c:v>336</c:v>
                </c:pt>
                <c:pt idx="18">
                  <c:v>310</c:v>
                </c:pt>
                <c:pt idx="19">
                  <c:v>216</c:v>
                </c:pt>
                <c:pt idx="20">
                  <c:v>182</c:v>
                </c:pt>
                <c:pt idx="21">
                  <c:v>142</c:v>
                </c:pt>
                <c:pt idx="22">
                  <c:v>92</c:v>
                </c:pt>
                <c:pt idx="23">
                  <c:v>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4BD-4AAF-B536-8291727907EB}"/>
            </c:ext>
          </c:extLst>
        </c:ser>
        <c:ser>
          <c:idx val="2"/>
          <c:order val="2"/>
          <c:tx>
            <c:strRef>
              <c:f>'Traffic Data'!$E$5</c:f>
              <c:strCache>
                <c:ptCount val="1"/>
                <c:pt idx="0">
                  <c:v>TOTAL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triangle"/>
            <c:size val="4"/>
            <c:spPr>
              <a:solidFill>
                <a:srgbClr val="FFCC00"/>
              </a:solidFill>
              <a:ln>
                <a:solidFill>
                  <a:srgbClr val="FF6600"/>
                </a:solidFill>
                <a:prstDash val="solid"/>
              </a:ln>
            </c:spPr>
          </c:marker>
          <c:xVal>
            <c:numRef>
              <c:f>'Traffic Data'!$B$6:$B$29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xVal>
          <c:yVal>
            <c:numRef>
              <c:f>'Traffic Data'!$E$6:$E$29</c:f>
              <c:numCache>
                <c:formatCode>General</c:formatCode>
                <c:ptCount val="24"/>
                <c:pt idx="0">
                  <c:v>68</c:v>
                </c:pt>
                <c:pt idx="1">
                  <c:v>30</c:v>
                </c:pt>
                <c:pt idx="2">
                  <c:v>12</c:v>
                </c:pt>
                <c:pt idx="3">
                  <c:v>6</c:v>
                </c:pt>
                <c:pt idx="4">
                  <c:v>16</c:v>
                </c:pt>
                <c:pt idx="5">
                  <c:v>62</c:v>
                </c:pt>
                <c:pt idx="6">
                  <c:v>204</c:v>
                </c:pt>
                <c:pt idx="7">
                  <c:v>341</c:v>
                </c:pt>
                <c:pt idx="8">
                  <c:v>487</c:v>
                </c:pt>
                <c:pt idx="9">
                  <c:v>500</c:v>
                </c:pt>
                <c:pt idx="10">
                  <c:v>555</c:v>
                </c:pt>
                <c:pt idx="11">
                  <c:v>632</c:v>
                </c:pt>
                <c:pt idx="12">
                  <c:v>636</c:v>
                </c:pt>
                <c:pt idx="13">
                  <c:v>612</c:v>
                </c:pt>
                <c:pt idx="14">
                  <c:v>613</c:v>
                </c:pt>
                <c:pt idx="15">
                  <c:v>682</c:v>
                </c:pt>
                <c:pt idx="16">
                  <c:v>604</c:v>
                </c:pt>
                <c:pt idx="17">
                  <c:v>649</c:v>
                </c:pt>
                <c:pt idx="18">
                  <c:v>540</c:v>
                </c:pt>
                <c:pt idx="19">
                  <c:v>430</c:v>
                </c:pt>
                <c:pt idx="20">
                  <c:v>378</c:v>
                </c:pt>
                <c:pt idx="21">
                  <c:v>278</c:v>
                </c:pt>
                <c:pt idx="22">
                  <c:v>164</c:v>
                </c:pt>
                <c:pt idx="23">
                  <c:v>103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4BD-4AAF-B536-8291727907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065728"/>
        <c:axId val="87067648"/>
      </c:scatterChart>
      <c:valAx>
        <c:axId val="87065728"/>
        <c:scaling>
          <c:orientation val="minMax"/>
          <c:max val="24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7067648"/>
        <c:crosses val="autoZero"/>
        <c:crossBetween val="midCat"/>
        <c:majorUnit val="2"/>
      </c:valAx>
      <c:valAx>
        <c:axId val="870676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706572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1.0162621797632825E-2"/>
          <c:y val="0.91986062717770034"/>
          <c:w val="0.98170926565133076"/>
          <c:h val="6.96864111498257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'AADT Current'!$AB$2" lockText="1" noThreeD="1"/>
</file>

<file path=xl/ctrlProps/ctrlProp3.xml><?xml version="1.0" encoding="utf-8"?>
<formControlPr xmlns="http://schemas.microsoft.com/office/spreadsheetml/2009/9/main" objectType="CheckBox" fmlaLink="'AADT Current'!$AB$3" lockText="1" noThreeD="1"/>
</file>

<file path=xl/ctrlProps/ctrlProp4.xml><?xml version="1.0" encoding="utf-8"?>
<formControlPr xmlns="http://schemas.microsoft.com/office/spreadsheetml/2009/9/main" objectType="CheckBox" checked="Checked" fmlaLink="'AADT Current'!$AB$7" lockText="1" noThreeD="1"/>
</file>

<file path=xl/ctrlProps/ctrlProp5.xml><?xml version="1.0" encoding="utf-8"?>
<formControlPr xmlns="http://schemas.microsoft.com/office/spreadsheetml/2009/9/main" objectType="CheckBox" fmlaLink="'AADT Current'!$AB$4" lockText="1" noThreeD="1"/>
</file>

<file path=xl/ctrlProps/ctrlProp6.xml><?xml version="1.0" encoding="utf-8"?>
<formControlPr xmlns="http://schemas.microsoft.com/office/spreadsheetml/2009/9/main" objectType="CheckBox" checked="Checked" fmlaLink="'AADT Current'!$AB$8" lockText="1" noThreeD="1"/>
</file>

<file path=xl/ctrlProps/ctrlProp7.xml><?xml version="1.0" encoding="utf-8"?>
<formControlPr xmlns="http://schemas.microsoft.com/office/spreadsheetml/2009/9/main" objectType="CheckBox" checked="Checked" fmlaLink="'AADT Current'!$AB$9" lockText="1" noThreeD="1"/>
</file>

<file path=xl/ctrlProps/ctrlProp8.xml><?xml version="1.0" encoding="utf-8"?>
<formControlPr xmlns="http://schemas.microsoft.com/office/spreadsheetml/2009/9/main" objectType="CheckBox" checked="Checked" fmlaLink="'AADT Current'!$AB$10" lockText="1" noThreeD="1"/>
</file>

<file path=xl/ctrlProps/ctrlProp9.xml><?xml version="1.0" encoding="utf-8"?>
<formControlPr xmlns="http://schemas.microsoft.com/office/spreadsheetml/2009/9/main" objectType="CheckBox" checked="Checked" fmlaLink="'AADT Current'!$AB$5" lockText="1" noThreeD="1"/>
</file>

<file path=xl/ctrlProps/ctrlProp10.xml><?xml version="1.0" encoding="utf-8"?>
<formControlPr xmlns="http://schemas.microsoft.com/office/spreadsheetml/2009/9/main" objectType="CheckBox" fmlaLink="'AADT Current'!$AB$6" lockText="1" noThreeD="1"/>
</file>

<file path=xl/ctrlProps/ctrlProp11.xml><?xml version="1.0" encoding="utf-8"?>
<formControlPr xmlns="http://schemas.microsoft.com/office/spreadsheetml/2009/9/main" objectType="CheckBox" fmlaLink="'AADT Current'!$AB$12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fmlaLink="'AADT Current'!$AB$11" lockText="1" noThreeD="1"/>
</file>

<file path=xl/ctrlProps/ctrlProp1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38100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1" i="0" u="none" strike="noStrike" baseline="0">
                  <a:solidFill>
                    <a:srgbClr val="333399"/>
                  </a:solidFill>
                  <a:latin typeface="Lucida Console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11</xdr:col>
      <xdr:colOff>0</xdr:colOff>
      <xdr:row>30</xdr:row>
      <xdr:rowOff>0</xdr:rowOff>
    </xdr:to>
    <xdr:graphicFrame macro="">
      <xdr:nvGraphicFramePr>
        <xdr:cNvPr id="2049" name="Chart 1">
          <a:extLst>
            <a:ext uri="{FF2B5EF4-FFF2-40B4-BE49-F238E27FC236}">
              <a16:creationId xmlns:a16="http://schemas.microsoft.com/office/drawing/2014/main" id="{00000000-0008-0000-0200-000001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133350</xdr:rowOff>
        </xdr:from>
        <xdr:to>
          <xdr:col>1</xdr:col>
          <xdr:colOff>304800</xdr:colOff>
          <xdr:row>37</xdr:row>
          <xdr:rowOff>28575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133350</xdr:rowOff>
        </xdr:from>
        <xdr:to>
          <xdr:col>1</xdr:col>
          <xdr:colOff>304800</xdr:colOff>
          <xdr:row>32</xdr:row>
          <xdr:rowOff>28575</xdr:rowOff>
        </xdr:to>
        <xdr:sp macro="" textlink="">
          <xdr:nvSpPr>
            <xdr:cNvPr id="2051" name="Check Box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600075</xdr:colOff>
          <xdr:row>30</xdr:row>
          <xdr:rowOff>133350</xdr:rowOff>
        </xdr:from>
        <xdr:to>
          <xdr:col>5</xdr:col>
          <xdr:colOff>295275</xdr:colOff>
          <xdr:row>32</xdr:row>
          <xdr:rowOff>28575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133350</xdr:rowOff>
        </xdr:from>
        <xdr:to>
          <xdr:col>1</xdr:col>
          <xdr:colOff>304800</xdr:colOff>
          <xdr:row>33</xdr:row>
          <xdr:rowOff>28575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600075</xdr:colOff>
          <xdr:row>31</xdr:row>
          <xdr:rowOff>133350</xdr:rowOff>
        </xdr:from>
        <xdr:to>
          <xdr:col>5</xdr:col>
          <xdr:colOff>295275</xdr:colOff>
          <xdr:row>33</xdr:row>
          <xdr:rowOff>28575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600075</xdr:colOff>
          <xdr:row>32</xdr:row>
          <xdr:rowOff>133350</xdr:rowOff>
        </xdr:from>
        <xdr:to>
          <xdr:col>5</xdr:col>
          <xdr:colOff>295275</xdr:colOff>
          <xdr:row>34</xdr:row>
          <xdr:rowOff>28575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600075</xdr:colOff>
          <xdr:row>33</xdr:row>
          <xdr:rowOff>133350</xdr:rowOff>
        </xdr:from>
        <xdr:to>
          <xdr:col>5</xdr:col>
          <xdr:colOff>295275</xdr:colOff>
          <xdr:row>35</xdr:row>
          <xdr:rowOff>28575</xdr:rowOff>
        </xdr:to>
        <xdr:sp macro="" textlink="">
          <xdr:nvSpPr>
            <xdr:cNvPr id="2056" name="Check Box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2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133350</xdr:rowOff>
        </xdr:from>
        <xdr:to>
          <xdr:col>1</xdr:col>
          <xdr:colOff>304800</xdr:colOff>
          <xdr:row>34</xdr:row>
          <xdr:rowOff>28575</xdr:rowOff>
        </xdr:to>
        <xdr:sp macro="" textlink="">
          <xdr:nvSpPr>
            <xdr:cNvPr id="2057" name="Check Box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2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133350</xdr:rowOff>
        </xdr:from>
        <xdr:to>
          <xdr:col>1</xdr:col>
          <xdr:colOff>304800</xdr:colOff>
          <xdr:row>35</xdr:row>
          <xdr:rowOff>28575</xdr:rowOff>
        </xdr:to>
        <xdr:sp macro="" textlink="">
          <xdr:nvSpPr>
            <xdr:cNvPr id="2058" name="Check Box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600075</xdr:colOff>
          <xdr:row>34</xdr:row>
          <xdr:rowOff>133350</xdr:rowOff>
        </xdr:from>
        <xdr:to>
          <xdr:col>5</xdr:col>
          <xdr:colOff>295275</xdr:colOff>
          <xdr:row>36</xdr:row>
          <xdr:rowOff>28575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2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24</xdr:row>
          <xdr:rowOff>19050</xdr:rowOff>
        </xdr:from>
        <xdr:to>
          <xdr:col>10</xdr:col>
          <xdr:colOff>895350</xdr:colOff>
          <xdr:row>25</xdr:row>
          <xdr:rowOff>66675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2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993300"/>
                  </a:solidFill>
                  <a:latin typeface="Arial"/>
                  <a:cs typeface="Arial"/>
                </a:rPr>
                <a:t>Update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600075</xdr:colOff>
          <xdr:row>35</xdr:row>
          <xdr:rowOff>133350</xdr:rowOff>
        </xdr:from>
        <xdr:to>
          <xdr:col>5</xdr:col>
          <xdr:colOff>295275</xdr:colOff>
          <xdr:row>37</xdr:row>
          <xdr:rowOff>28575</xdr:rowOff>
        </xdr:to>
        <xdr:sp macro="" textlink="">
          <xdr:nvSpPr>
            <xdr:cNvPr id="2087" name="Check Box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2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28</xdr:row>
          <xdr:rowOff>38100</xdr:rowOff>
        </xdr:from>
        <xdr:to>
          <xdr:col>12</xdr:col>
          <xdr:colOff>533400</xdr:colOff>
          <xdr:row>29</xdr:row>
          <xdr:rowOff>85725</xdr:rowOff>
        </xdr:to>
        <xdr:sp macro="" textlink="">
          <xdr:nvSpPr>
            <xdr:cNvPr id="2099" name="Button 51" hidden="1">
              <a:extLst>
                <a:ext uri="{63B3BB69-23CF-44E3-9099-C40C66FF867C}">
                  <a14:compatExt spid="_x0000_s2099"/>
                </a:ext>
                <a:ext uri="{FF2B5EF4-FFF2-40B4-BE49-F238E27FC236}">
                  <a16:creationId xmlns:a16="http://schemas.microsoft.com/office/drawing/2014/main" id="{00000000-0008-0000-0200-00003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993300"/>
                  </a:solidFill>
                  <a:latin typeface="Arial"/>
                  <a:cs typeface="Arial"/>
                </a:rPr>
                <a:t>Print All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</xdr:row>
      <xdr:rowOff>0</xdr:rowOff>
    </xdr:from>
    <xdr:to>
      <xdr:col>15</xdr:col>
      <xdr:colOff>0</xdr:colOff>
      <xdr:row>16</xdr:row>
      <xdr:rowOff>161925</xdr:rowOff>
    </xdr:to>
    <xdr:graphicFrame macro="">
      <xdr:nvGraphicFramePr>
        <xdr:cNvPr id="7169" name="Chart 1">
          <a:extLst>
            <a:ext uri="{FF2B5EF4-FFF2-40B4-BE49-F238E27FC236}">
              <a16:creationId xmlns:a16="http://schemas.microsoft.com/office/drawing/2014/main" id="{00000000-0008-0000-0600-0000011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J488"/>
  <sheetViews>
    <sheetView topLeftCell="A9" workbookViewId="0">
      <selection activeCell="E21" sqref="E21"/>
    </sheetView>
  </sheetViews>
  <sheetFormatPr defaultRowHeight="12.75" x14ac:dyDescent="0.2"/>
  <cols>
    <col min="1" max="1" width="8.85546875" style="13" customWidth="1"/>
    <col min="2" max="2" width="28.85546875" style="4" customWidth="1"/>
    <col min="3" max="36" width="7" style="4" customWidth="1"/>
    <col min="37" max="16384" width="9.140625" style="2"/>
  </cols>
  <sheetData>
    <row r="1" spans="1:36" x14ac:dyDescent="0.2">
      <c r="A1" s="292" t="s">
        <v>4</v>
      </c>
      <c r="B1" s="292"/>
      <c r="S1" s="14"/>
      <c r="AD1" s="14"/>
    </row>
    <row r="2" spans="1:36" x14ac:dyDescent="0.2">
      <c r="A2" s="293" t="s">
        <v>353</v>
      </c>
      <c r="B2" s="293"/>
    </row>
    <row r="3" spans="1:36" x14ac:dyDescent="0.2">
      <c r="A3" s="294" t="s">
        <v>354</v>
      </c>
      <c r="B3" s="294"/>
    </row>
    <row r="4" spans="1:36" s="3" customFormat="1" x14ac:dyDescent="0.2">
      <c r="A4" s="5" t="s">
        <v>3</v>
      </c>
      <c r="B4" s="5" t="s">
        <v>2</v>
      </c>
      <c r="C4" s="8">
        <v>2020</v>
      </c>
      <c r="D4" s="8">
        <v>2019</v>
      </c>
      <c r="E4" s="8">
        <v>2018</v>
      </c>
      <c r="F4" s="8">
        <v>2017</v>
      </c>
      <c r="G4" s="8">
        <v>2016</v>
      </c>
      <c r="H4" s="8">
        <v>2015</v>
      </c>
      <c r="I4" s="8">
        <v>2014</v>
      </c>
      <c r="J4" s="8">
        <v>2013</v>
      </c>
      <c r="K4" s="8">
        <v>2012</v>
      </c>
      <c r="L4" s="8">
        <v>2011</v>
      </c>
      <c r="M4" s="8">
        <v>2010</v>
      </c>
      <c r="N4" s="8">
        <v>2009</v>
      </c>
      <c r="O4" s="8">
        <v>2008</v>
      </c>
      <c r="P4" s="8">
        <v>2007</v>
      </c>
      <c r="Q4" s="8">
        <v>2006</v>
      </c>
      <c r="R4" s="8">
        <v>2005</v>
      </c>
      <c r="S4" s="8">
        <v>2004</v>
      </c>
      <c r="T4" s="8">
        <v>2003</v>
      </c>
      <c r="U4" s="8">
        <v>2002</v>
      </c>
      <c r="V4" s="8">
        <v>2001</v>
      </c>
      <c r="W4" s="8">
        <v>2000</v>
      </c>
      <c r="X4" s="8">
        <v>1999</v>
      </c>
      <c r="Y4" s="8">
        <v>1998</v>
      </c>
      <c r="Z4" s="8">
        <v>1997</v>
      </c>
      <c r="AA4" s="8">
        <v>1996</v>
      </c>
      <c r="AB4" s="8">
        <v>1995</v>
      </c>
      <c r="AC4" s="8">
        <v>1994</v>
      </c>
      <c r="AD4" s="8">
        <v>1993</v>
      </c>
      <c r="AE4" s="8">
        <v>1992</v>
      </c>
      <c r="AF4" s="8">
        <v>1991</v>
      </c>
      <c r="AG4" s="8">
        <v>1990</v>
      </c>
      <c r="AH4" s="8">
        <v>1989</v>
      </c>
      <c r="AI4" s="8">
        <v>1988</v>
      </c>
      <c r="AJ4" s="8">
        <v>1987</v>
      </c>
    </row>
    <row r="5" spans="1:36" x14ac:dyDescent="0.2">
      <c r="A5" s="9">
        <v>12001</v>
      </c>
      <c r="B5" s="234" t="s">
        <v>388</v>
      </c>
      <c r="C5"/>
      <c r="D5"/>
      <c r="E5">
        <v>600</v>
      </c>
      <c r="F5" s="247"/>
      <c r="G5">
        <v>620</v>
      </c>
      <c r="H5"/>
      <c r="I5">
        <v>550</v>
      </c>
      <c r="J5"/>
      <c r="K5" s="247">
        <v>875</v>
      </c>
      <c r="L5" s="231"/>
      <c r="M5">
        <v>700</v>
      </c>
      <c r="N5" s="231"/>
      <c r="O5">
        <v>510</v>
      </c>
      <c r="P5" s="231"/>
      <c r="Q5">
        <v>610</v>
      </c>
      <c r="R5" s="231"/>
      <c r="S5">
        <v>660</v>
      </c>
      <c r="T5" s="231"/>
      <c r="U5" s="247">
        <v>570</v>
      </c>
      <c r="V5" s="248">
        <v>530</v>
      </c>
      <c r="W5" s="248"/>
      <c r="X5" s="248">
        <v>480</v>
      </c>
      <c r="Y5" s="248"/>
      <c r="Z5" s="248">
        <v>470</v>
      </c>
      <c r="AA5" s="248"/>
      <c r="AB5" s="248">
        <v>410</v>
      </c>
      <c r="AC5" s="248"/>
      <c r="AD5" s="248">
        <v>340</v>
      </c>
      <c r="AE5" s="248"/>
      <c r="AF5" s="248">
        <v>550</v>
      </c>
      <c r="AG5" s="248"/>
      <c r="AH5" s="248">
        <v>600</v>
      </c>
      <c r="AI5" s="248"/>
      <c r="AJ5" s="248">
        <v>300</v>
      </c>
    </row>
    <row r="6" spans="1:36" x14ac:dyDescent="0.2">
      <c r="A6" s="9">
        <v>12002</v>
      </c>
      <c r="B6" s="234" t="s">
        <v>389</v>
      </c>
      <c r="C6"/>
      <c r="D6"/>
      <c r="E6">
        <v>3200</v>
      </c>
      <c r="F6" s="249"/>
      <c r="G6" s="249">
        <v>3700</v>
      </c>
      <c r="H6">
        <v>3300</v>
      </c>
      <c r="I6">
        <v>3000</v>
      </c>
      <c r="J6">
        <v>3000</v>
      </c>
      <c r="K6" s="249">
        <v>2700</v>
      </c>
      <c r="L6" s="249">
        <v>2800</v>
      </c>
      <c r="M6" s="249">
        <v>2900</v>
      </c>
      <c r="N6" s="249">
        <v>2500</v>
      </c>
      <c r="O6" s="249">
        <v>2600</v>
      </c>
      <c r="P6" s="249">
        <v>2900</v>
      </c>
      <c r="Q6" s="249">
        <v>2700</v>
      </c>
      <c r="R6" s="249">
        <v>3000</v>
      </c>
      <c r="S6" s="249">
        <v>2800</v>
      </c>
      <c r="T6" s="249">
        <v>2400</v>
      </c>
      <c r="U6" s="249">
        <v>2700</v>
      </c>
      <c r="V6" s="250">
        <v>2600</v>
      </c>
      <c r="W6" s="250">
        <v>2600</v>
      </c>
      <c r="X6" s="250">
        <v>2100</v>
      </c>
      <c r="Y6" s="250">
        <v>2500</v>
      </c>
      <c r="Z6" s="250">
        <v>2700</v>
      </c>
      <c r="AA6" s="250">
        <v>2700</v>
      </c>
      <c r="AB6" s="250">
        <v>2700</v>
      </c>
      <c r="AC6" s="250">
        <v>2600</v>
      </c>
      <c r="AD6" s="250">
        <v>2600</v>
      </c>
      <c r="AE6" s="250">
        <v>2500</v>
      </c>
      <c r="AF6" s="250">
        <v>2500</v>
      </c>
      <c r="AG6" s="250">
        <v>2500</v>
      </c>
      <c r="AH6" s="250">
        <v>2500</v>
      </c>
      <c r="AI6" s="250">
        <v>2200</v>
      </c>
      <c r="AJ6" s="250">
        <v>1900</v>
      </c>
    </row>
    <row r="7" spans="1:36" x14ac:dyDescent="0.2">
      <c r="A7" s="9">
        <v>12003</v>
      </c>
      <c r="B7" s="234" t="s">
        <v>390</v>
      </c>
      <c r="C7"/>
      <c r="D7"/>
      <c r="E7"/>
      <c r="F7" s="251">
        <v>180</v>
      </c>
      <c r="G7"/>
      <c r="H7">
        <v>150</v>
      </c>
      <c r="I7"/>
      <c r="J7">
        <v>140</v>
      </c>
      <c r="K7" s="251"/>
      <c r="L7">
        <v>160</v>
      </c>
      <c r="M7" s="231"/>
      <c r="N7">
        <v>170</v>
      </c>
      <c r="O7" s="231"/>
      <c r="P7">
        <v>150</v>
      </c>
      <c r="Q7" s="252"/>
      <c r="R7" s="247">
        <v>170</v>
      </c>
      <c r="S7" s="252"/>
      <c r="T7" s="247">
        <v>210</v>
      </c>
      <c r="U7" s="248"/>
      <c r="V7" s="248">
        <v>210</v>
      </c>
      <c r="W7" s="248"/>
      <c r="X7" s="248">
        <v>250</v>
      </c>
      <c r="Y7" s="248"/>
      <c r="Z7" s="248">
        <v>200</v>
      </c>
      <c r="AA7" s="248"/>
      <c r="AB7" s="248">
        <v>190</v>
      </c>
      <c r="AC7" s="248"/>
      <c r="AD7" s="248">
        <v>160</v>
      </c>
      <c r="AE7" s="248"/>
      <c r="AF7" s="248">
        <v>150</v>
      </c>
      <c r="AG7" s="248"/>
      <c r="AH7" s="248">
        <v>150</v>
      </c>
      <c r="AI7" s="248"/>
      <c r="AJ7" s="248">
        <v>100</v>
      </c>
    </row>
    <row r="8" spans="1:36" x14ac:dyDescent="0.2">
      <c r="A8" s="9">
        <v>12004</v>
      </c>
      <c r="B8" s="234" t="s">
        <v>391</v>
      </c>
      <c r="C8"/>
      <c r="D8"/>
      <c r="E8">
        <v>800</v>
      </c>
      <c r="F8"/>
      <c r="G8" s="231">
        <v>420</v>
      </c>
      <c r="H8">
        <v>430</v>
      </c>
      <c r="I8"/>
      <c r="J8"/>
      <c r="K8">
        <v>580</v>
      </c>
      <c r="L8" s="231"/>
      <c r="M8">
        <v>570</v>
      </c>
      <c r="N8" s="231"/>
      <c r="O8" s="231"/>
      <c r="P8" s="231"/>
      <c r="Q8">
        <v>640</v>
      </c>
      <c r="R8" s="231"/>
      <c r="S8">
        <v>680</v>
      </c>
      <c r="T8" s="231"/>
      <c r="U8" s="249">
        <v>580</v>
      </c>
      <c r="V8" s="250">
        <v>480</v>
      </c>
      <c r="W8" s="250"/>
      <c r="X8" s="250">
        <v>500</v>
      </c>
      <c r="Y8" s="250"/>
      <c r="Z8" s="250">
        <v>480</v>
      </c>
      <c r="AA8" s="250"/>
      <c r="AB8" s="250">
        <v>510</v>
      </c>
      <c r="AC8" s="250"/>
      <c r="AD8" s="250">
        <v>400</v>
      </c>
      <c r="AE8" s="250"/>
      <c r="AF8" s="250">
        <v>400</v>
      </c>
      <c r="AG8" s="250"/>
      <c r="AH8" s="250">
        <v>350</v>
      </c>
      <c r="AI8" s="250"/>
      <c r="AJ8" s="250">
        <v>250</v>
      </c>
    </row>
    <row r="9" spans="1:36" x14ac:dyDescent="0.2">
      <c r="A9" s="9">
        <v>12005</v>
      </c>
      <c r="B9" s="234" t="s">
        <v>392</v>
      </c>
      <c r="C9"/>
      <c r="D9"/>
      <c r="E9">
        <v>2900</v>
      </c>
      <c r="F9">
        <v>2500</v>
      </c>
      <c r="G9">
        <v>2200</v>
      </c>
      <c r="H9">
        <v>2200</v>
      </c>
      <c r="I9"/>
      <c r="J9">
        <v>2000</v>
      </c>
      <c r="K9">
        <v>1700</v>
      </c>
      <c r="L9">
        <v>2000</v>
      </c>
      <c r="M9">
        <v>1900</v>
      </c>
      <c r="N9">
        <v>1700</v>
      </c>
      <c r="O9" s="231"/>
      <c r="P9">
        <v>2000</v>
      </c>
      <c r="Q9">
        <v>1800</v>
      </c>
      <c r="R9">
        <v>1800</v>
      </c>
      <c r="S9">
        <v>1700</v>
      </c>
      <c r="T9">
        <v>1800</v>
      </c>
      <c r="U9" s="249">
        <v>1900</v>
      </c>
      <c r="V9" s="250">
        <v>1800</v>
      </c>
      <c r="W9" s="250">
        <v>1800</v>
      </c>
      <c r="X9" s="250">
        <v>2000</v>
      </c>
      <c r="Y9" s="250">
        <v>1700</v>
      </c>
      <c r="Z9" s="250">
        <v>1900</v>
      </c>
      <c r="AA9" s="250">
        <v>1700</v>
      </c>
      <c r="AB9" s="250">
        <v>1700</v>
      </c>
      <c r="AC9" s="250">
        <v>1500</v>
      </c>
      <c r="AD9" s="250">
        <v>1400</v>
      </c>
      <c r="AE9" s="250">
        <v>1400</v>
      </c>
      <c r="AF9" s="250">
        <v>1300</v>
      </c>
      <c r="AG9" s="250">
        <v>1300</v>
      </c>
      <c r="AH9" s="250">
        <v>1600</v>
      </c>
      <c r="AI9" s="250">
        <v>1200</v>
      </c>
      <c r="AJ9" s="250">
        <v>1100</v>
      </c>
    </row>
    <row r="10" spans="1:36" x14ac:dyDescent="0.2">
      <c r="A10" s="9">
        <v>12006</v>
      </c>
      <c r="B10" s="234" t="s">
        <v>393</v>
      </c>
      <c r="C10"/>
      <c r="D10"/>
      <c r="E10">
        <v>1800</v>
      </c>
      <c r="F10">
        <v>1800</v>
      </c>
      <c r="G10"/>
      <c r="H10">
        <v>1700</v>
      </c>
      <c r="I10"/>
      <c r="J10">
        <v>1800</v>
      </c>
      <c r="K10">
        <v>1800</v>
      </c>
      <c r="L10">
        <v>1900</v>
      </c>
      <c r="M10" s="231"/>
      <c r="N10">
        <v>1900</v>
      </c>
      <c r="O10">
        <v>2000</v>
      </c>
      <c r="P10">
        <v>1900</v>
      </c>
      <c r="Q10">
        <v>1900</v>
      </c>
      <c r="R10">
        <v>2000</v>
      </c>
      <c r="S10">
        <v>2000</v>
      </c>
      <c r="T10">
        <v>2000</v>
      </c>
      <c r="U10">
        <v>2000</v>
      </c>
      <c r="V10" s="250">
        <v>1800</v>
      </c>
      <c r="W10" s="250">
        <v>1800</v>
      </c>
      <c r="X10" s="250">
        <v>1800</v>
      </c>
      <c r="Y10" s="250">
        <v>1800</v>
      </c>
      <c r="Z10" s="250">
        <v>1700</v>
      </c>
      <c r="AA10" s="250">
        <v>1800</v>
      </c>
      <c r="AB10" s="250">
        <v>1500</v>
      </c>
      <c r="AC10" s="250">
        <v>1200</v>
      </c>
      <c r="AD10" s="250">
        <v>1100</v>
      </c>
      <c r="AE10" s="250">
        <v>1000</v>
      </c>
      <c r="AF10" s="250">
        <v>1100</v>
      </c>
      <c r="AG10" s="250">
        <v>1300</v>
      </c>
      <c r="AH10" s="250">
        <v>1100</v>
      </c>
      <c r="AI10" s="250">
        <v>1100</v>
      </c>
      <c r="AJ10" s="250">
        <v>900</v>
      </c>
    </row>
    <row r="11" spans="1:36" x14ac:dyDescent="0.2">
      <c r="A11" s="9">
        <v>12007</v>
      </c>
      <c r="B11" s="234" t="s">
        <v>394</v>
      </c>
      <c r="C11"/>
      <c r="D11"/>
      <c r="E11"/>
      <c r="F11" s="251">
        <v>960</v>
      </c>
      <c r="G11"/>
      <c r="H11">
        <v>780</v>
      </c>
      <c r="I11"/>
      <c r="J11">
        <v>730</v>
      </c>
      <c r="K11" s="251"/>
      <c r="L11">
        <v>730</v>
      </c>
      <c r="M11" s="231"/>
      <c r="N11">
        <v>810</v>
      </c>
      <c r="O11" s="231"/>
      <c r="P11">
        <v>1100</v>
      </c>
      <c r="Q11" s="231"/>
      <c r="R11">
        <v>730</v>
      </c>
      <c r="S11" s="231"/>
      <c r="T11">
        <v>620</v>
      </c>
      <c r="U11" s="253"/>
      <c r="V11" s="250"/>
      <c r="W11" s="250"/>
      <c r="X11" s="250"/>
      <c r="Y11" s="250"/>
      <c r="Z11" s="250"/>
      <c r="AA11" s="250"/>
      <c r="AB11" s="250">
        <v>1000</v>
      </c>
      <c r="AC11" s="250"/>
      <c r="AD11" s="250">
        <v>1000</v>
      </c>
      <c r="AE11" s="250"/>
      <c r="AF11" s="250">
        <v>900</v>
      </c>
      <c r="AG11" s="250"/>
      <c r="AH11" s="250">
        <v>850</v>
      </c>
      <c r="AI11" s="250"/>
      <c r="AJ11" s="250">
        <v>700</v>
      </c>
    </row>
    <row r="12" spans="1:36" x14ac:dyDescent="0.2">
      <c r="A12" s="9">
        <v>12008</v>
      </c>
      <c r="B12" s="234" t="s">
        <v>395</v>
      </c>
      <c r="C12"/>
      <c r="D12"/>
      <c r="E12">
        <v>400</v>
      </c>
      <c r="F12"/>
      <c r="G12" s="231"/>
      <c r="H12">
        <v>136</v>
      </c>
      <c r="I12">
        <v>500</v>
      </c>
      <c r="J12"/>
      <c r="K12">
        <v>460</v>
      </c>
      <c r="L12" s="231"/>
      <c r="M12">
        <v>540</v>
      </c>
      <c r="N12" s="231"/>
      <c r="O12">
        <v>440</v>
      </c>
      <c r="P12" s="231"/>
      <c r="Q12">
        <v>470</v>
      </c>
      <c r="R12" s="231"/>
      <c r="S12">
        <v>450</v>
      </c>
      <c r="T12" s="231"/>
      <c r="U12" s="249">
        <v>640</v>
      </c>
      <c r="V12" s="250">
        <v>350</v>
      </c>
      <c r="W12" s="250"/>
      <c r="X12" s="250">
        <v>330</v>
      </c>
      <c r="Y12" s="250"/>
      <c r="Z12" s="250">
        <v>310</v>
      </c>
      <c r="AA12" s="250"/>
      <c r="AB12" s="250">
        <v>280</v>
      </c>
      <c r="AC12" s="250"/>
      <c r="AD12" s="250">
        <v>200</v>
      </c>
      <c r="AE12" s="250"/>
      <c r="AF12" s="250">
        <v>210</v>
      </c>
      <c r="AG12" s="250"/>
      <c r="AH12" s="250">
        <v>200</v>
      </c>
      <c r="AI12" s="250"/>
      <c r="AJ12" s="250">
        <v>200</v>
      </c>
    </row>
    <row r="13" spans="1:36" x14ac:dyDescent="0.2">
      <c r="A13" s="9">
        <v>12009</v>
      </c>
      <c r="B13" s="234" t="s">
        <v>396</v>
      </c>
      <c r="C13"/>
      <c r="D13"/>
      <c r="E13"/>
      <c r="F13" s="251">
        <v>570</v>
      </c>
      <c r="G13"/>
      <c r="H13">
        <v>440</v>
      </c>
      <c r="I13"/>
      <c r="J13">
        <v>620</v>
      </c>
      <c r="K13" s="251">
        <v>800</v>
      </c>
      <c r="L13">
        <v>690</v>
      </c>
      <c r="M13" s="231"/>
      <c r="N13">
        <v>650</v>
      </c>
      <c r="O13" s="231"/>
      <c r="P13">
        <v>680</v>
      </c>
      <c r="Q13" s="231"/>
      <c r="R13">
        <v>490</v>
      </c>
      <c r="S13" s="231"/>
      <c r="T13" s="249">
        <v>570</v>
      </c>
      <c r="U13" s="250"/>
      <c r="V13" s="250">
        <v>510</v>
      </c>
      <c r="W13" s="250"/>
      <c r="X13" s="250">
        <v>590</v>
      </c>
      <c r="Y13" s="250"/>
      <c r="Z13" s="250">
        <v>480</v>
      </c>
      <c r="AA13" s="250"/>
      <c r="AB13" s="250">
        <v>340</v>
      </c>
      <c r="AC13" s="250"/>
      <c r="AD13" s="250">
        <v>290</v>
      </c>
      <c r="AE13" s="250"/>
      <c r="AF13" s="250">
        <v>300</v>
      </c>
      <c r="AG13" s="250"/>
      <c r="AH13" s="250">
        <v>500</v>
      </c>
      <c r="AI13" s="250"/>
      <c r="AJ13" s="250">
        <v>600</v>
      </c>
    </row>
    <row r="14" spans="1:36" x14ac:dyDescent="0.2">
      <c r="A14" s="9">
        <v>12010</v>
      </c>
      <c r="B14" s="234" t="s">
        <v>397</v>
      </c>
      <c r="C14"/>
      <c r="D14"/>
      <c r="E14">
        <v>15000</v>
      </c>
      <c r="F14"/>
      <c r="G14"/>
      <c r="H14">
        <v>11000</v>
      </c>
      <c r="I14">
        <v>12000</v>
      </c>
      <c r="J14">
        <v>11000</v>
      </c>
      <c r="K14">
        <v>10000</v>
      </c>
      <c r="L14">
        <v>10000</v>
      </c>
      <c r="M14">
        <v>10000</v>
      </c>
      <c r="N14" s="231"/>
      <c r="O14" s="231"/>
      <c r="P14">
        <v>11000</v>
      </c>
      <c r="Q14">
        <v>11000</v>
      </c>
      <c r="R14">
        <v>11000</v>
      </c>
      <c r="S14">
        <v>10000</v>
      </c>
      <c r="T14">
        <v>8300</v>
      </c>
      <c r="U14" s="249">
        <v>10000</v>
      </c>
      <c r="V14" s="250">
        <v>10000</v>
      </c>
      <c r="W14" s="250">
        <v>11000</v>
      </c>
      <c r="X14" s="250">
        <v>11000</v>
      </c>
      <c r="Y14" s="250"/>
      <c r="Z14" s="250">
        <v>9400</v>
      </c>
      <c r="AA14" s="250">
        <v>8600</v>
      </c>
      <c r="AB14" s="250">
        <v>9000</v>
      </c>
      <c r="AC14" s="250">
        <v>7600</v>
      </c>
      <c r="AD14" s="250">
        <v>6800</v>
      </c>
      <c r="AE14" s="250">
        <v>6300</v>
      </c>
      <c r="AF14" s="250">
        <v>6300</v>
      </c>
      <c r="AG14" s="250">
        <v>6300</v>
      </c>
      <c r="AH14" s="250">
        <v>7100</v>
      </c>
      <c r="AI14" s="250">
        <v>6300</v>
      </c>
      <c r="AJ14" s="250">
        <v>6300</v>
      </c>
    </row>
    <row r="15" spans="1:36" x14ac:dyDescent="0.2">
      <c r="A15" s="9">
        <v>12011</v>
      </c>
      <c r="B15" s="234" t="s">
        <v>398</v>
      </c>
      <c r="C15"/>
      <c r="D15"/>
      <c r="E15">
        <v>800</v>
      </c>
      <c r="F15" s="251"/>
      <c r="G15"/>
      <c r="H15">
        <v>600</v>
      </c>
      <c r="I15"/>
      <c r="J15"/>
      <c r="K15" s="251">
        <v>800</v>
      </c>
      <c r="L15">
        <v>470</v>
      </c>
      <c r="M15" s="231"/>
      <c r="N15">
        <v>490</v>
      </c>
      <c r="O15" s="231"/>
      <c r="P15">
        <v>490</v>
      </c>
      <c r="Q15" s="231"/>
      <c r="R15">
        <v>490</v>
      </c>
      <c r="S15" s="231"/>
      <c r="T15" s="249">
        <v>450</v>
      </c>
      <c r="U15" s="250"/>
      <c r="V15" s="250">
        <v>500</v>
      </c>
      <c r="W15" s="250"/>
      <c r="X15" s="250">
        <v>500</v>
      </c>
      <c r="Y15" s="250"/>
      <c r="Z15" s="250">
        <v>430</v>
      </c>
      <c r="AA15" s="250"/>
      <c r="AB15" s="250">
        <v>380</v>
      </c>
      <c r="AC15" s="250"/>
      <c r="AD15" s="250">
        <v>400</v>
      </c>
      <c r="AE15" s="250"/>
      <c r="AF15" s="250">
        <v>300</v>
      </c>
      <c r="AG15" s="250"/>
      <c r="AH15" s="250">
        <v>300</v>
      </c>
      <c r="AI15" s="250"/>
      <c r="AJ15" s="250">
        <v>300</v>
      </c>
    </row>
    <row r="16" spans="1:36" x14ac:dyDescent="0.2">
      <c r="A16" s="9">
        <v>12012</v>
      </c>
      <c r="B16" s="234" t="s">
        <v>399</v>
      </c>
      <c r="C16"/>
      <c r="D16"/>
      <c r="E16"/>
      <c r="F16" s="249">
        <v>15000</v>
      </c>
      <c r="G16" s="249">
        <v>15000</v>
      </c>
      <c r="H16">
        <v>15000</v>
      </c>
      <c r="I16"/>
      <c r="J16">
        <v>13000</v>
      </c>
      <c r="K16" s="249">
        <v>13000</v>
      </c>
      <c r="L16" s="249">
        <v>14000</v>
      </c>
      <c r="M16" s="249">
        <v>14000</v>
      </c>
      <c r="N16" s="249">
        <v>13000</v>
      </c>
      <c r="O16" s="249">
        <v>14000</v>
      </c>
      <c r="P16" s="249">
        <v>14000</v>
      </c>
      <c r="Q16" s="249">
        <v>14000</v>
      </c>
      <c r="R16" s="249">
        <v>15000</v>
      </c>
      <c r="S16" s="249">
        <v>15000</v>
      </c>
      <c r="T16" s="249">
        <v>16000</v>
      </c>
      <c r="U16" s="249">
        <v>15000</v>
      </c>
      <c r="V16" s="250">
        <v>15000</v>
      </c>
      <c r="W16" s="250">
        <v>15000</v>
      </c>
      <c r="X16" s="250">
        <v>16000</v>
      </c>
      <c r="Y16" s="250">
        <v>14000</v>
      </c>
      <c r="Z16" s="250">
        <v>13800</v>
      </c>
      <c r="AA16" s="250">
        <v>13400</v>
      </c>
      <c r="AB16" s="250">
        <v>12800</v>
      </c>
      <c r="AC16" s="250">
        <v>11100</v>
      </c>
      <c r="AD16" s="250">
        <v>10800</v>
      </c>
      <c r="AE16" s="250">
        <v>10000</v>
      </c>
      <c r="AF16" s="250">
        <v>10400</v>
      </c>
      <c r="AG16" s="250">
        <v>9900</v>
      </c>
      <c r="AH16" s="250">
        <v>10000</v>
      </c>
      <c r="AI16" s="250">
        <v>9700</v>
      </c>
      <c r="AJ16" s="250">
        <v>9700</v>
      </c>
    </row>
    <row r="17" spans="1:36" x14ac:dyDescent="0.2">
      <c r="A17" s="9">
        <v>12013</v>
      </c>
      <c r="B17" s="234" t="s">
        <v>400</v>
      </c>
      <c r="C17"/>
      <c r="D17"/>
      <c r="E17">
        <v>4700</v>
      </c>
      <c r="F17" s="249">
        <v>5000</v>
      </c>
      <c r="G17" s="249"/>
      <c r="H17">
        <v>3200</v>
      </c>
      <c r="I17"/>
      <c r="J17"/>
      <c r="K17" s="249">
        <v>2900</v>
      </c>
      <c r="L17" s="249">
        <v>2700</v>
      </c>
      <c r="M17" s="249">
        <v>2900</v>
      </c>
      <c r="N17" s="249">
        <v>2500</v>
      </c>
      <c r="O17" s="249">
        <v>2400</v>
      </c>
      <c r="P17" s="249">
        <v>2700</v>
      </c>
      <c r="Q17" s="249">
        <v>2700</v>
      </c>
      <c r="R17" s="249">
        <v>2200</v>
      </c>
      <c r="S17" s="249">
        <v>2200</v>
      </c>
      <c r="T17" s="249">
        <v>1600</v>
      </c>
      <c r="U17" s="249">
        <v>1500</v>
      </c>
      <c r="V17" s="250">
        <v>1600</v>
      </c>
      <c r="W17" s="250">
        <v>1300</v>
      </c>
      <c r="X17" s="250">
        <v>1200</v>
      </c>
      <c r="Y17" s="250">
        <v>1100</v>
      </c>
      <c r="Z17" s="250">
        <v>1200</v>
      </c>
      <c r="AA17" s="250">
        <v>1100</v>
      </c>
      <c r="AB17" s="250">
        <v>1100</v>
      </c>
      <c r="AC17" s="250">
        <v>1000</v>
      </c>
      <c r="AD17" s="250">
        <v>850</v>
      </c>
      <c r="AE17" s="250">
        <v>800</v>
      </c>
      <c r="AF17" s="250">
        <v>800</v>
      </c>
      <c r="AG17" s="250">
        <v>700</v>
      </c>
      <c r="AH17" s="250">
        <v>500</v>
      </c>
      <c r="AI17" s="250">
        <v>800</v>
      </c>
      <c r="AJ17" s="250">
        <v>600</v>
      </c>
    </row>
    <row r="18" spans="1:36" x14ac:dyDescent="0.2">
      <c r="A18" s="9">
        <v>12014</v>
      </c>
      <c r="B18" s="234" t="s">
        <v>401</v>
      </c>
      <c r="C18"/>
      <c r="D18"/>
      <c r="E18">
        <v>276</v>
      </c>
      <c r="F18" s="232">
        <v>270</v>
      </c>
      <c r="G18" s="254"/>
      <c r="H18">
        <v>220</v>
      </c>
      <c r="I18"/>
      <c r="J18"/>
      <c r="K18" s="232"/>
      <c r="L18" s="254">
        <v>220</v>
      </c>
      <c r="M18" s="254"/>
      <c r="N18" s="254">
        <v>240</v>
      </c>
      <c r="O18" s="254"/>
      <c r="P18" s="254">
        <v>270</v>
      </c>
      <c r="Q18" s="253"/>
      <c r="R18" s="253">
        <v>250</v>
      </c>
      <c r="S18" s="253"/>
      <c r="T18" s="253">
        <v>260</v>
      </c>
      <c r="U18" s="250"/>
      <c r="V18" s="250">
        <v>1600</v>
      </c>
      <c r="W18" s="250"/>
      <c r="X18" s="250">
        <v>1700</v>
      </c>
      <c r="Y18" s="250"/>
      <c r="Z18" s="250">
        <v>1800</v>
      </c>
      <c r="AA18" s="250"/>
      <c r="AB18" s="250">
        <v>1700</v>
      </c>
      <c r="AC18" s="250"/>
      <c r="AD18" s="250">
        <v>1900</v>
      </c>
      <c r="AE18" s="250"/>
      <c r="AF18" s="250">
        <v>1700</v>
      </c>
      <c r="AG18" s="250"/>
      <c r="AH18" s="250">
        <v>1800</v>
      </c>
      <c r="AI18" s="250"/>
      <c r="AJ18" s="250">
        <v>1600</v>
      </c>
    </row>
    <row r="19" spans="1:36" x14ac:dyDescent="0.2">
      <c r="A19" s="9">
        <v>12015</v>
      </c>
      <c r="B19" s="235" t="s">
        <v>377</v>
      </c>
      <c r="C19" s="255"/>
      <c r="D19" s="255"/>
      <c r="E19" s="255">
        <v>1100</v>
      </c>
      <c r="F19" s="232">
        <v>1100</v>
      </c>
      <c r="G19" s="254">
        <v>1250</v>
      </c>
      <c r="H19" s="255">
        <v>1200</v>
      </c>
      <c r="I19" s="255">
        <v>1150</v>
      </c>
      <c r="J19" s="255">
        <v>1300</v>
      </c>
      <c r="K19" s="232">
        <v>1130</v>
      </c>
      <c r="L19" s="254">
        <v>1350</v>
      </c>
      <c r="M19" s="254">
        <v>1400</v>
      </c>
      <c r="N19" s="254"/>
      <c r="O19" s="254"/>
      <c r="P19" s="254"/>
      <c r="Q19" s="230">
        <v>1550</v>
      </c>
      <c r="R19" s="230">
        <v>1400</v>
      </c>
      <c r="S19" s="230">
        <v>1550</v>
      </c>
      <c r="T19" s="230">
        <v>1550</v>
      </c>
      <c r="U19" s="230">
        <v>1350</v>
      </c>
      <c r="V19" s="256">
        <v>1700</v>
      </c>
      <c r="W19" s="256">
        <v>1450</v>
      </c>
      <c r="X19" s="256">
        <v>1650</v>
      </c>
      <c r="Y19" s="256">
        <v>1600</v>
      </c>
      <c r="Z19" s="256">
        <v>1400</v>
      </c>
      <c r="AA19" s="256">
        <v>1300</v>
      </c>
      <c r="AB19" s="256">
        <v>1350</v>
      </c>
      <c r="AC19" s="256">
        <v>1400</v>
      </c>
      <c r="AD19" s="256">
        <v>1250</v>
      </c>
      <c r="AE19" s="256">
        <v>850</v>
      </c>
      <c r="AF19" s="256">
        <v>1150</v>
      </c>
      <c r="AG19" s="256">
        <v>1150</v>
      </c>
      <c r="AH19" s="256">
        <v>1100</v>
      </c>
      <c r="AI19" s="256">
        <v>1233</v>
      </c>
      <c r="AJ19" s="256">
        <v>1050</v>
      </c>
    </row>
    <row r="20" spans="1:36" x14ac:dyDescent="0.2">
      <c r="A20" s="9">
        <v>12016</v>
      </c>
      <c r="B20" s="235" t="s">
        <v>378</v>
      </c>
      <c r="C20" s="255"/>
      <c r="D20" s="255"/>
      <c r="E20" s="255">
        <v>555</v>
      </c>
      <c r="F20" s="232">
        <v>400</v>
      </c>
      <c r="G20" s="254">
        <v>550</v>
      </c>
      <c r="H20" s="255">
        <v>300</v>
      </c>
      <c r="I20" s="255"/>
      <c r="J20" s="255">
        <v>425</v>
      </c>
      <c r="K20" s="232">
        <v>320</v>
      </c>
      <c r="L20" s="254">
        <v>325</v>
      </c>
      <c r="M20" s="254">
        <v>325</v>
      </c>
      <c r="N20" s="254"/>
      <c r="O20" s="254"/>
      <c r="P20" s="254"/>
      <c r="Q20" s="230">
        <v>400</v>
      </c>
      <c r="R20" s="230">
        <v>450</v>
      </c>
      <c r="S20" s="230">
        <v>550</v>
      </c>
      <c r="T20" s="230">
        <v>400</v>
      </c>
      <c r="U20" s="230">
        <v>400</v>
      </c>
      <c r="V20" s="256">
        <v>450</v>
      </c>
      <c r="W20" s="256">
        <v>400</v>
      </c>
      <c r="X20" s="256">
        <v>385</v>
      </c>
      <c r="Y20" s="256">
        <v>375</v>
      </c>
      <c r="Z20" s="256">
        <v>350</v>
      </c>
      <c r="AA20" s="256">
        <v>350</v>
      </c>
      <c r="AB20" s="256">
        <v>300</v>
      </c>
      <c r="AC20" s="256">
        <v>375</v>
      </c>
      <c r="AD20" s="256">
        <v>275</v>
      </c>
      <c r="AE20" s="256">
        <v>300</v>
      </c>
      <c r="AF20" s="256">
        <v>250</v>
      </c>
      <c r="AG20" s="256">
        <v>250</v>
      </c>
      <c r="AH20" s="256">
        <v>350</v>
      </c>
      <c r="AI20" s="256">
        <v>288</v>
      </c>
      <c r="AJ20" s="256">
        <v>250</v>
      </c>
    </row>
    <row r="21" spans="1:36" x14ac:dyDescent="0.2">
      <c r="A21" s="9">
        <v>12017</v>
      </c>
      <c r="B21" s="234" t="s">
        <v>402</v>
      </c>
      <c r="C21" s="257"/>
      <c r="D21" s="257"/>
      <c r="E21" s="257">
        <v>5300</v>
      </c>
      <c r="F21" s="254">
        <v>6700</v>
      </c>
      <c r="G21" s="254">
        <v>6300</v>
      </c>
      <c r="H21" s="257">
        <v>4800</v>
      </c>
      <c r="I21" s="257"/>
      <c r="J21" s="257">
        <v>4200</v>
      </c>
      <c r="K21" s="254">
        <v>4750</v>
      </c>
      <c r="L21" s="254">
        <v>4100</v>
      </c>
      <c r="M21" s="254">
        <v>4000</v>
      </c>
      <c r="N21" s="254"/>
      <c r="O21" s="254"/>
      <c r="P21" s="254"/>
      <c r="Q21" s="230">
        <v>3000</v>
      </c>
      <c r="R21" s="230">
        <v>2900</v>
      </c>
      <c r="S21" s="230">
        <v>3100</v>
      </c>
      <c r="T21" s="230">
        <v>3300</v>
      </c>
      <c r="U21" s="230">
        <v>3300</v>
      </c>
      <c r="V21" s="256">
        <v>3100</v>
      </c>
      <c r="W21" s="256">
        <v>3400</v>
      </c>
      <c r="X21" s="256">
        <v>3000</v>
      </c>
      <c r="Y21" s="256">
        <v>3100</v>
      </c>
      <c r="Z21" s="256">
        <v>2800</v>
      </c>
      <c r="AA21" s="256">
        <v>3200</v>
      </c>
      <c r="AB21" s="256">
        <v>3100</v>
      </c>
      <c r="AC21" s="256">
        <v>2600</v>
      </c>
      <c r="AD21" s="256">
        <v>3200</v>
      </c>
      <c r="AE21" s="256">
        <v>3100</v>
      </c>
      <c r="AF21" s="256">
        <v>3100</v>
      </c>
      <c r="AG21" s="256">
        <v>3000</v>
      </c>
      <c r="AH21" s="256">
        <v>3000</v>
      </c>
      <c r="AI21" s="256">
        <v>2600</v>
      </c>
      <c r="AJ21" s="256">
        <v>2200</v>
      </c>
    </row>
    <row r="22" spans="1:36" x14ac:dyDescent="0.2">
      <c r="A22" s="9">
        <v>12018</v>
      </c>
      <c r="B22" s="235" t="s">
        <v>379</v>
      </c>
      <c r="C22" s="255"/>
      <c r="D22" s="255"/>
      <c r="E22" s="255">
        <v>550</v>
      </c>
      <c r="F22" s="254">
        <v>475</v>
      </c>
      <c r="G22" s="254">
        <v>450</v>
      </c>
      <c r="H22" s="255">
        <v>400</v>
      </c>
      <c r="I22" s="255"/>
      <c r="J22" s="255">
        <v>425</v>
      </c>
      <c r="K22" s="254">
        <v>340</v>
      </c>
      <c r="L22" s="254">
        <v>350</v>
      </c>
      <c r="M22" s="254">
        <v>350</v>
      </c>
      <c r="N22" s="254"/>
      <c r="O22" s="254"/>
      <c r="P22" s="254"/>
      <c r="Q22" s="230">
        <v>400</v>
      </c>
      <c r="R22" s="230">
        <v>400</v>
      </c>
      <c r="S22" s="230">
        <v>475</v>
      </c>
      <c r="T22" s="230">
        <v>425</v>
      </c>
      <c r="U22" s="230">
        <v>400</v>
      </c>
      <c r="V22" s="256">
        <v>500</v>
      </c>
      <c r="W22" s="256">
        <v>550</v>
      </c>
      <c r="X22" s="256">
        <v>375</v>
      </c>
      <c r="Y22" s="256">
        <v>425</v>
      </c>
      <c r="Z22" s="256">
        <v>550</v>
      </c>
      <c r="AA22" s="256">
        <v>550</v>
      </c>
      <c r="AB22" s="256">
        <v>400</v>
      </c>
      <c r="AC22" s="256">
        <v>400</v>
      </c>
      <c r="AD22" s="256">
        <v>450</v>
      </c>
      <c r="AE22" s="256">
        <v>425</v>
      </c>
      <c r="AF22" s="256">
        <v>425</v>
      </c>
      <c r="AG22" s="256">
        <v>350</v>
      </c>
      <c r="AH22" s="256">
        <v>500</v>
      </c>
      <c r="AI22" s="256">
        <v>466</v>
      </c>
      <c r="AJ22" s="256">
        <v>325</v>
      </c>
    </row>
    <row r="23" spans="1:36" x14ac:dyDescent="0.2">
      <c r="A23" s="9">
        <v>12019</v>
      </c>
      <c r="B23" s="235" t="s">
        <v>380</v>
      </c>
      <c r="C23" s="255"/>
      <c r="D23" s="255"/>
      <c r="E23" s="255">
        <v>3700</v>
      </c>
      <c r="F23" s="254">
        <v>3400</v>
      </c>
      <c r="G23" s="254">
        <v>3500</v>
      </c>
      <c r="H23" s="255">
        <v>3400</v>
      </c>
      <c r="I23" s="255"/>
      <c r="J23" s="255"/>
      <c r="K23" s="254">
        <v>3660</v>
      </c>
      <c r="L23" s="254">
        <v>3100</v>
      </c>
      <c r="M23" s="254">
        <v>3100</v>
      </c>
      <c r="N23" s="254"/>
      <c r="O23" s="254"/>
      <c r="P23" s="254"/>
      <c r="Q23" s="258">
        <v>3600</v>
      </c>
      <c r="R23" s="258">
        <v>3600</v>
      </c>
      <c r="S23" s="258">
        <v>3600</v>
      </c>
      <c r="T23" s="258">
        <v>3600</v>
      </c>
      <c r="U23" s="258">
        <v>4000</v>
      </c>
      <c r="V23" s="259">
        <v>3600</v>
      </c>
      <c r="W23" s="259">
        <v>3600</v>
      </c>
      <c r="X23" s="259">
        <v>4100</v>
      </c>
      <c r="Y23" s="259">
        <v>3800</v>
      </c>
      <c r="Z23" s="259">
        <v>3200</v>
      </c>
      <c r="AA23" s="259">
        <v>3600</v>
      </c>
      <c r="AB23" s="259"/>
      <c r="AC23" s="259"/>
      <c r="AD23" s="259"/>
      <c r="AE23" s="259"/>
      <c r="AF23" s="259"/>
      <c r="AG23" s="259"/>
      <c r="AH23" s="259"/>
      <c r="AI23" s="259"/>
      <c r="AJ23" s="259"/>
    </row>
    <row r="24" spans="1:36" x14ac:dyDescent="0.2">
      <c r="A24" s="9">
        <v>12020</v>
      </c>
      <c r="B24" s="235" t="s">
        <v>381</v>
      </c>
      <c r="C24" s="255"/>
      <c r="D24" s="255"/>
      <c r="E24" s="255"/>
      <c r="F24" s="254">
        <v>950</v>
      </c>
      <c r="G24" s="254">
        <v>850</v>
      </c>
      <c r="H24" s="255">
        <v>800</v>
      </c>
      <c r="I24" s="255"/>
      <c r="J24" s="255">
        <v>650</v>
      </c>
      <c r="K24" s="254">
        <v>800</v>
      </c>
      <c r="L24" s="254"/>
      <c r="M24" s="254"/>
      <c r="N24" s="254"/>
      <c r="O24" s="254"/>
      <c r="P24" s="254"/>
      <c r="Q24" s="230">
        <v>750</v>
      </c>
      <c r="R24" s="230">
        <v>650</v>
      </c>
      <c r="S24" s="230">
        <v>650</v>
      </c>
      <c r="T24" s="230">
        <v>700</v>
      </c>
      <c r="U24" s="230">
        <v>550</v>
      </c>
      <c r="V24" s="256">
        <v>550</v>
      </c>
      <c r="W24" s="256">
        <v>550</v>
      </c>
      <c r="X24" s="256">
        <v>510</v>
      </c>
      <c r="Y24" s="256">
        <v>500</v>
      </c>
      <c r="Z24" s="256">
        <v>450</v>
      </c>
      <c r="AA24" s="256">
        <v>475</v>
      </c>
      <c r="AB24" s="256">
        <v>375</v>
      </c>
      <c r="AC24" s="256">
        <v>475</v>
      </c>
      <c r="AD24" s="256">
        <v>375</v>
      </c>
      <c r="AE24" s="256">
        <v>375</v>
      </c>
      <c r="AF24" s="256">
        <v>350</v>
      </c>
      <c r="AG24" s="256">
        <v>300</v>
      </c>
      <c r="AH24" s="256">
        <v>300</v>
      </c>
      <c r="AI24" s="256">
        <v>300</v>
      </c>
      <c r="AJ24" s="256">
        <v>300</v>
      </c>
    </row>
    <row r="25" spans="1:36" x14ac:dyDescent="0.2">
      <c r="A25" s="9">
        <v>12021</v>
      </c>
      <c r="B25" s="235" t="s">
        <v>382</v>
      </c>
      <c r="C25" s="255"/>
      <c r="D25" s="255"/>
      <c r="E25" s="255">
        <v>6480</v>
      </c>
      <c r="F25" s="254">
        <v>6000</v>
      </c>
      <c r="G25" s="254">
        <v>6800</v>
      </c>
      <c r="H25" s="255">
        <v>6700</v>
      </c>
      <c r="I25" s="255">
        <v>4800</v>
      </c>
      <c r="J25" s="255">
        <v>5800</v>
      </c>
      <c r="K25" s="254">
        <v>6300</v>
      </c>
      <c r="L25" s="254">
        <v>5900</v>
      </c>
      <c r="M25" s="254">
        <v>6000</v>
      </c>
      <c r="N25" s="254"/>
      <c r="O25" s="254"/>
      <c r="P25" s="254"/>
      <c r="Q25" s="230">
        <v>5300</v>
      </c>
      <c r="R25" s="230">
        <v>5300</v>
      </c>
      <c r="S25" s="230">
        <v>5800</v>
      </c>
      <c r="T25" s="230">
        <v>5800</v>
      </c>
      <c r="U25" s="230">
        <v>6200</v>
      </c>
      <c r="V25" s="256">
        <v>5600</v>
      </c>
      <c r="W25" s="256">
        <v>6400</v>
      </c>
      <c r="X25" s="256">
        <v>6000</v>
      </c>
      <c r="Y25" s="256">
        <v>5500</v>
      </c>
      <c r="Z25" s="256">
        <v>5500</v>
      </c>
      <c r="AA25" s="256">
        <v>5300</v>
      </c>
      <c r="AB25" s="256">
        <v>5200</v>
      </c>
      <c r="AC25" s="256">
        <v>4800</v>
      </c>
      <c r="AD25" s="256">
        <v>4600</v>
      </c>
      <c r="AE25" s="256">
        <v>4700</v>
      </c>
      <c r="AF25" s="256">
        <v>4600</v>
      </c>
      <c r="AG25" s="256">
        <v>4600</v>
      </c>
      <c r="AH25" s="256">
        <v>4800</v>
      </c>
      <c r="AI25" s="256">
        <v>4200</v>
      </c>
      <c r="AJ25" s="256">
        <v>4200</v>
      </c>
    </row>
    <row r="26" spans="1:36" x14ac:dyDescent="0.2">
      <c r="A26" s="9">
        <v>12022</v>
      </c>
      <c r="B26" s="236" t="s">
        <v>383</v>
      </c>
      <c r="C26" s="257"/>
      <c r="D26" s="257"/>
      <c r="E26" s="257">
        <v>53200</v>
      </c>
      <c r="F26" s="254"/>
      <c r="G26" s="254">
        <v>49400</v>
      </c>
      <c r="H26" s="257">
        <v>45400</v>
      </c>
      <c r="I26" s="257"/>
      <c r="J26" s="257">
        <v>42000</v>
      </c>
      <c r="K26" s="254">
        <v>41000</v>
      </c>
      <c r="L26" s="254">
        <v>40500</v>
      </c>
      <c r="M26" s="254">
        <v>43400</v>
      </c>
      <c r="N26" s="254"/>
      <c r="O26" s="254"/>
      <c r="P26" s="254"/>
      <c r="Q26" s="230">
        <v>39200</v>
      </c>
      <c r="R26" s="230">
        <v>39100</v>
      </c>
      <c r="S26" s="230">
        <v>38400</v>
      </c>
      <c r="T26" s="230">
        <v>35900</v>
      </c>
      <c r="U26" s="230">
        <v>34600</v>
      </c>
      <c r="V26" s="256">
        <v>33400</v>
      </c>
      <c r="W26" s="256">
        <v>33300</v>
      </c>
      <c r="X26" s="256">
        <v>31400</v>
      </c>
      <c r="Y26" s="256">
        <v>30900</v>
      </c>
      <c r="Z26" s="256">
        <v>28400</v>
      </c>
      <c r="AA26" s="256">
        <v>28300</v>
      </c>
      <c r="AB26" s="256">
        <v>27500</v>
      </c>
      <c r="AC26" s="256">
        <v>25200</v>
      </c>
      <c r="AD26" s="256">
        <v>24400</v>
      </c>
      <c r="AE26" s="256">
        <v>24900</v>
      </c>
      <c r="AF26" s="256">
        <v>21500</v>
      </c>
      <c r="AG26" s="256">
        <v>21100</v>
      </c>
      <c r="AH26" s="256">
        <v>21500</v>
      </c>
      <c r="AI26" s="256"/>
      <c r="AJ26" s="256"/>
    </row>
    <row r="27" spans="1:36" x14ac:dyDescent="0.2">
      <c r="A27" s="9">
        <v>12023</v>
      </c>
      <c r="B27" s="234" t="s">
        <v>384</v>
      </c>
      <c r="C27" s="255"/>
      <c r="D27" s="255"/>
      <c r="E27" s="255">
        <v>7870</v>
      </c>
      <c r="F27" s="260">
        <v>5500</v>
      </c>
      <c r="G27" s="254">
        <v>5800</v>
      </c>
      <c r="H27" s="255">
        <v>6870</v>
      </c>
      <c r="I27" s="255"/>
      <c r="J27" s="255">
        <v>4900</v>
      </c>
      <c r="K27" s="260">
        <v>5300</v>
      </c>
      <c r="L27" s="254">
        <v>5200</v>
      </c>
      <c r="M27" s="254">
        <v>5400</v>
      </c>
      <c r="N27" s="254"/>
      <c r="O27" s="254"/>
      <c r="P27" s="254"/>
      <c r="Q27" s="230">
        <v>5400</v>
      </c>
      <c r="R27" s="230">
        <v>5100</v>
      </c>
      <c r="S27" s="230">
        <v>5500</v>
      </c>
      <c r="T27" s="230">
        <v>5500</v>
      </c>
      <c r="U27" s="261">
        <v>5500</v>
      </c>
      <c r="V27" s="261">
        <v>4800</v>
      </c>
      <c r="W27" s="261">
        <v>5100</v>
      </c>
      <c r="X27" s="261">
        <v>5300</v>
      </c>
      <c r="Y27" s="261">
        <v>4800</v>
      </c>
      <c r="Z27" s="261">
        <v>4100</v>
      </c>
      <c r="AA27" s="261">
        <v>4000</v>
      </c>
      <c r="AB27" s="261">
        <v>4100</v>
      </c>
      <c r="AC27" s="261">
        <v>4200</v>
      </c>
      <c r="AD27" s="261">
        <v>4000</v>
      </c>
      <c r="AE27" s="261">
        <v>4400</v>
      </c>
      <c r="AF27" s="261">
        <v>4300</v>
      </c>
      <c r="AG27" s="261">
        <v>4200</v>
      </c>
      <c r="AH27" s="261">
        <v>4300</v>
      </c>
      <c r="AI27" s="261">
        <v>3700</v>
      </c>
      <c r="AJ27" s="261">
        <v>3800</v>
      </c>
    </row>
    <row r="28" spans="1:36" x14ac:dyDescent="0.2">
      <c r="A28" s="9">
        <v>12024</v>
      </c>
      <c r="B28" s="235" t="s">
        <v>385</v>
      </c>
      <c r="C28" s="255"/>
      <c r="D28" s="255"/>
      <c r="E28" s="255">
        <v>4800</v>
      </c>
      <c r="F28" s="254">
        <v>2200</v>
      </c>
      <c r="G28" s="254">
        <v>2200</v>
      </c>
      <c r="H28" s="255">
        <v>2500</v>
      </c>
      <c r="I28" s="255"/>
      <c r="J28" s="255">
        <v>1900</v>
      </c>
      <c r="K28" s="254">
        <v>1950</v>
      </c>
      <c r="L28" s="254">
        <v>2100</v>
      </c>
      <c r="M28" s="254">
        <v>2100</v>
      </c>
      <c r="N28" s="254"/>
      <c r="O28" s="254"/>
      <c r="P28" s="254"/>
      <c r="Q28" s="230">
        <v>2100</v>
      </c>
      <c r="R28" s="230">
        <v>1950</v>
      </c>
      <c r="S28" s="230">
        <v>2200</v>
      </c>
      <c r="T28" s="230">
        <v>2200</v>
      </c>
      <c r="U28" s="230">
        <v>2100</v>
      </c>
      <c r="V28" s="256">
        <v>1950</v>
      </c>
      <c r="W28" s="256">
        <v>1750</v>
      </c>
      <c r="X28" s="256">
        <v>2100</v>
      </c>
      <c r="Y28" s="256">
        <v>2100</v>
      </c>
      <c r="Z28" s="256">
        <v>1950</v>
      </c>
      <c r="AA28" s="256">
        <v>1850</v>
      </c>
      <c r="AB28" s="256">
        <v>2100</v>
      </c>
      <c r="AC28" s="256">
        <v>1700</v>
      </c>
      <c r="AD28" s="256">
        <v>1650</v>
      </c>
      <c r="AE28" s="256">
        <v>1800</v>
      </c>
      <c r="AF28" s="256">
        <v>2100</v>
      </c>
      <c r="AG28" s="256">
        <v>1850</v>
      </c>
      <c r="AH28" s="256">
        <v>1750</v>
      </c>
      <c r="AI28" s="256">
        <v>1550</v>
      </c>
      <c r="AJ28" s="256">
        <v>1550</v>
      </c>
    </row>
    <row r="29" spans="1:36" x14ac:dyDescent="0.2">
      <c r="A29" s="9">
        <v>12025</v>
      </c>
      <c r="B29" s="235" t="s">
        <v>386</v>
      </c>
      <c r="C29" s="255"/>
      <c r="D29" s="255"/>
      <c r="E29" s="255">
        <v>1700</v>
      </c>
      <c r="F29" s="254">
        <v>1600</v>
      </c>
      <c r="G29" s="254">
        <v>1700</v>
      </c>
      <c r="H29" s="255">
        <v>1550</v>
      </c>
      <c r="I29" s="255">
        <v>1550</v>
      </c>
      <c r="J29" s="255">
        <v>1450</v>
      </c>
      <c r="K29" s="254">
        <v>1650</v>
      </c>
      <c r="L29" s="254">
        <v>1600</v>
      </c>
      <c r="M29" s="254">
        <v>1550</v>
      </c>
      <c r="N29" s="254"/>
      <c r="O29" s="254"/>
      <c r="P29" s="254"/>
      <c r="Q29" s="230">
        <v>1700</v>
      </c>
      <c r="R29" s="230">
        <v>1600</v>
      </c>
      <c r="S29" s="230">
        <v>1800</v>
      </c>
      <c r="T29" s="230">
        <v>1800</v>
      </c>
      <c r="U29" s="230">
        <v>1800</v>
      </c>
      <c r="V29" s="256">
        <v>1700</v>
      </c>
      <c r="W29" s="256">
        <v>1700</v>
      </c>
      <c r="X29" s="256">
        <v>1950</v>
      </c>
      <c r="Y29" s="256">
        <v>1850</v>
      </c>
      <c r="Z29" s="256">
        <v>1750</v>
      </c>
      <c r="AA29" s="256">
        <v>1700</v>
      </c>
      <c r="AB29" s="256">
        <v>1750</v>
      </c>
      <c r="AC29" s="256">
        <v>1600</v>
      </c>
      <c r="AD29" s="256">
        <v>1400</v>
      </c>
      <c r="AE29" s="256">
        <v>1150</v>
      </c>
      <c r="AF29" s="256">
        <v>1100</v>
      </c>
      <c r="AG29" s="256">
        <v>1150</v>
      </c>
      <c r="AH29" s="256"/>
      <c r="AI29" s="256"/>
      <c r="AJ29" s="256"/>
    </row>
    <row r="30" spans="1:36" x14ac:dyDescent="0.2">
      <c r="A30" s="9">
        <v>12028</v>
      </c>
      <c r="B30" s="49" t="s">
        <v>403</v>
      </c>
      <c r="C30"/>
      <c r="D30"/>
      <c r="E30" s="255">
        <v>2200</v>
      </c>
      <c r="F30" s="249">
        <v>1900</v>
      </c>
      <c r="G30" s="249">
        <v>1800</v>
      </c>
      <c r="H30">
        <v>2000</v>
      </c>
      <c r="I30"/>
      <c r="J30">
        <v>2100</v>
      </c>
      <c r="K30" s="249">
        <v>1700</v>
      </c>
      <c r="L30" s="249">
        <v>1700</v>
      </c>
      <c r="M30" s="249">
        <v>1900</v>
      </c>
      <c r="N30" s="249">
        <v>1700</v>
      </c>
      <c r="O30" s="249">
        <v>1900</v>
      </c>
      <c r="P30" s="249">
        <v>2100</v>
      </c>
      <c r="Q30" s="249">
        <v>2000</v>
      </c>
      <c r="R30" s="249">
        <v>2000</v>
      </c>
      <c r="S30" s="249">
        <v>1900</v>
      </c>
      <c r="T30" s="249">
        <v>1900</v>
      </c>
      <c r="U30" s="51">
        <v>1900</v>
      </c>
      <c r="V30" s="51"/>
      <c r="W30" s="51"/>
      <c r="X30" s="51"/>
      <c r="Y30" s="51"/>
      <c r="Z30" s="51"/>
      <c r="AA30" s="51"/>
      <c r="AB30" s="51"/>
      <c r="AC30" s="51"/>
      <c r="AD30" s="51"/>
      <c r="AE30" s="51"/>
      <c r="AF30" s="51"/>
      <c r="AG30" s="51"/>
      <c r="AH30" s="51"/>
      <c r="AI30" s="51"/>
      <c r="AJ30" s="51"/>
    </row>
    <row r="31" spans="1:36" x14ac:dyDescent="0.2">
      <c r="A31" s="9">
        <v>12029</v>
      </c>
      <c r="B31" s="49" t="s">
        <v>404</v>
      </c>
      <c r="C31" s="262"/>
      <c r="D31"/>
      <c r="E31" s="255">
        <v>4200</v>
      </c>
      <c r="F31" s="249"/>
      <c r="G31" s="249"/>
      <c r="H31" s="262"/>
      <c r="I31"/>
      <c r="J31">
        <v>8300</v>
      </c>
      <c r="K31" s="249">
        <v>9200</v>
      </c>
      <c r="L31" s="249">
        <v>7800</v>
      </c>
      <c r="M31" s="249">
        <v>7800</v>
      </c>
      <c r="N31" s="249">
        <v>8100</v>
      </c>
      <c r="O31" s="249">
        <v>8900</v>
      </c>
      <c r="P31" s="249">
        <v>8700</v>
      </c>
      <c r="Q31" s="249">
        <v>8500</v>
      </c>
      <c r="R31" s="249">
        <v>7200</v>
      </c>
      <c r="S31" s="249">
        <v>8700</v>
      </c>
      <c r="T31" s="51"/>
      <c r="U31" s="51">
        <v>7800</v>
      </c>
      <c r="V31" s="51">
        <v>6700</v>
      </c>
      <c r="W31" s="51">
        <v>6700</v>
      </c>
      <c r="X31" s="51">
        <v>6000</v>
      </c>
      <c r="Y31" s="51">
        <v>5900</v>
      </c>
      <c r="Z31" s="51">
        <v>5700</v>
      </c>
      <c r="AA31" s="51">
        <v>5600</v>
      </c>
      <c r="AB31" s="51">
        <v>5700</v>
      </c>
      <c r="AC31" s="51">
        <v>6200</v>
      </c>
      <c r="AD31" s="51">
        <v>5700</v>
      </c>
      <c r="AE31" s="51">
        <v>4700</v>
      </c>
      <c r="AF31" s="51"/>
      <c r="AG31" s="51">
        <v>3100</v>
      </c>
      <c r="AH31" s="51">
        <v>3500</v>
      </c>
      <c r="AI31" s="51">
        <v>3500</v>
      </c>
      <c r="AJ31" s="51">
        <v>3500</v>
      </c>
    </row>
    <row r="32" spans="1:36" x14ac:dyDescent="0.2">
      <c r="A32" s="9">
        <v>12031</v>
      </c>
      <c r="B32" s="49" t="s">
        <v>405</v>
      </c>
      <c r="C32"/>
      <c r="D32"/>
      <c r="E32" s="255">
        <v>5500</v>
      </c>
      <c r="F32" s="249">
        <v>5400</v>
      </c>
      <c r="G32" s="249"/>
      <c r="H32">
        <v>5200</v>
      </c>
      <c r="I32"/>
      <c r="J32">
        <v>5100</v>
      </c>
      <c r="K32" s="249">
        <v>5100</v>
      </c>
      <c r="L32" s="249">
        <v>4800</v>
      </c>
      <c r="M32" s="249">
        <v>4200</v>
      </c>
      <c r="N32" s="249">
        <v>4100</v>
      </c>
      <c r="O32" s="249">
        <v>4500</v>
      </c>
      <c r="P32" s="249">
        <v>4700</v>
      </c>
      <c r="Q32" s="249">
        <v>4600</v>
      </c>
      <c r="R32" s="249">
        <v>5400</v>
      </c>
      <c r="S32" s="249">
        <v>5200</v>
      </c>
      <c r="T32" s="51">
        <v>5200</v>
      </c>
      <c r="U32" s="51">
        <v>5300</v>
      </c>
      <c r="V32" s="51">
        <v>4900</v>
      </c>
      <c r="W32" s="51">
        <v>5100</v>
      </c>
      <c r="X32" s="51">
        <v>5500</v>
      </c>
      <c r="Y32" s="51">
        <v>4500</v>
      </c>
      <c r="Z32" s="51">
        <v>4400</v>
      </c>
      <c r="AA32" s="51">
        <v>5000</v>
      </c>
      <c r="AB32" s="51">
        <v>5000</v>
      </c>
      <c r="AC32" s="51">
        <v>4700</v>
      </c>
      <c r="AD32" s="51">
        <v>4900</v>
      </c>
      <c r="AE32" s="51">
        <v>3600</v>
      </c>
      <c r="AF32" s="51"/>
      <c r="AG32" s="51"/>
      <c r="AH32" s="51"/>
      <c r="AI32" s="51"/>
      <c r="AJ32" s="51"/>
    </row>
    <row r="33" spans="1:36" x14ac:dyDescent="0.2">
      <c r="A33" s="9">
        <v>12036</v>
      </c>
      <c r="B33" s="237" t="s">
        <v>358</v>
      </c>
      <c r="C33"/>
      <c r="D33"/>
      <c r="E33" s="255">
        <v>650</v>
      </c>
      <c r="F33" s="232"/>
      <c r="G33" s="254"/>
      <c r="H33">
        <v>540</v>
      </c>
      <c r="I33"/>
      <c r="J33"/>
      <c r="K33" s="232">
        <v>800</v>
      </c>
      <c r="L33" s="254">
        <v>940</v>
      </c>
      <c r="M33" s="254">
        <v>920</v>
      </c>
      <c r="N33" s="254">
        <v>830</v>
      </c>
      <c r="O33" s="254">
        <v>940</v>
      </c>
      <c r="P33" s="254">
        <v>950</v>
      </c>
      <c r="Q33" s="251">
        <v>860</v>
      </c>
      <c r="R33" s="251">
        <v>970</v>
      </c>
      <c r="S33" s="251">
        <v>1200</v>
      </c>
      <c r="T33" s="251">
        <v>990</v>
      </c>
      <c r="U33" s="263">
        <v>1000</v>
      </c>
      <c r="V33" s="263">
        <v>970</v>
      </c>
      <c r="W33" s="263"/>
      <c r="X33" s="263">
        <v>1000</v>
      </c>
      <c r="Y33" s="263">
        <v>830</v>
      </c>
      <c r="Z33" s="263">
        <v>830</v>
      </c>
      <c r="AA33" s="263">
        <v>790</v>
      </c>
      <c r="AB33" s="263">
        <v>800</v>
      </c>
      <c r="AC33" s="263">
        <v>800</v>
      </c>
      <c r="AD33" s="263">
        <v>800</v>
      </c>
      <c r="AE33" s="263">
        <v>750</v>
      </c>
      <c r="AF33" s="263">
        <v>750</v>
      </c>
      <c r="AG33" s="263">
        <v>600</v>
      </c>
      <c r="AH33" s="263"/>
      <c r="AI33" s="263">
        <v>500</v>
      </c>
      <c r="AJ33" s="263">
        <v>500</v>
      </c>
    </row>
    <row r="34" spans="1:36" x14ac:dyDescent="0.2">
      <c r="A34" s="9">
        <v>12037</v>
      </c>
      <c r="B34" s="237" t="s">
        <v>357</v>
      </c>
      <c r="C34"/>
      <c r="D34"/>
      <c r="E34" s="255">
        <v>46000</v>
      </c>
      <c r="F34" s="254">
        <v>47000</v>
      </c>
      <c r="G34" s="254">
        <v>42000</v>
      </c>
      <c r="H34">
        <v>41000</v>
      </c>
      <c r="I34">
        <v>41000</v>
      </c>
      <c r="J34">
        <v>39000</v>
      </c>
      <c r="K34" s="254">
        <v>43300</v>
      </c>
      <c r="L34" s="254">
        <v>38000</v>
      </c>
      <c r="M34" s="254">
        <v>39000</v>
      </c>
      <c r="N34" s="254">
        <v>39000</v>
      </c>
      <c r="O34" s="254">
        <v>40000</v>
      </c>
      <c r="P34" s="254">
        <v>42000</v>
      </c>
      <c r="Q34" s="251">
        <v>42000</v>
      </c>
      <c r="R34" s="251">
        <v>43000</v>
      </c>
      <c r="S34" s="251">
        <v>38000</v>
      </c>
      <c r="T34" s="251">
        <v>43000</v>
      </c>
      <c r="U34" s="251">
        <v>40000</v>
      </c>
      <c r="V34" s="264">
        <v>37000</v>
      </c>
      <c r="W34" s="264">
        <v>39000</v>
      </c>
      <c r="X34" s="264">
        <v>34000</v>
      </c>
      <c r="Y34" s="264">
        <v>32000</v>
      </c>
      <c r="Z34" s="265">
        <v>37100</v>
      </c>
      <c r="AA34" s="264">
        <v>34100</v>
      </c>
      <c r="AB34" s="264">
        <v>31200</v>
      </c>
      <c r="AC34" s="264">
        <v>30600</v>
      </c>
      <c r="AD34" s="264">
        <v>29600</v>
      </c>
      <c r="AE34" s="264">
        <v>28400</v>
      </c>
      <c r="AF34" s="264">
        <v>27200</v>
      </c>
      <c r="AG34" s="264">
        <v>23700</v>
      </c>
      <c r="AH34" s="264">
        <v>27600</v>
      </c>
      <c r="AI34" s="264">
        <v>24500</v>
      </c>
      <c r="AJ34" s="264">
        <v>26200</v>
      </c>
    </row>
    <row r="35" spans="1:36" x14ac:dyDescent="0.2">
      <c r="A35" s="9">
        <v>12038</v>
      </c>
      <c r="B35" s="237" t="s">
        <v>362</v>
      </c>
      <c r="C35"/>
      <c r="D35"/>
      <c r="E35" s="255">
        <v>3500</v>
      </c>
      <c r="F35" s="249"/>
      <c r="G35" s="231">
        <v>3000</v>
      </c>
      <c r="H35"/>
      <c r="I35">
        <v>2700</v>
      </c>
      <c r="J35"/>
      <c r="K35" s="249">
        <v>3300</v>
      </c>
      <c r="L35" s="231"/>
      <c r="M35">
        <v>2600</v>
      </c>
      <c r="N35" s="231"/>
      <c r="O35">
        <v>2700</v>
      </c>
      <c r="P35" s="231"/>
      <c r="Q35">
        <v>2800</v>
      </c>
      <c r="R35" s="231"/>
      <c r="S35">
        <v>2900</v>
      </c>
      <c r="T35" s="231"/>
      <c r="U35" s="266">
        <v>2600</v>
      </c>
      <c r="V35" s="264">
        <v>2400</v>
      </c>
      <c r="W35" s="264"/>
      <c r="X35" s="264">
        <v>2100</v>
      </c>
      <c r="Y35" s="264"/>
      <c r="Z35" s="264">
        <v>2800</v>
      </c>
      <c r="AA35" s="264"/>
      <c r="AB35" s="264"/>
      <c r="AC35" s="264"/>
      <c r="AD35" s="264">
        <v>2800</v>
      </c>
      <c r="AE35" s="264"/>
      <c r="AF35" s="264">
        <v>3400</v>
      </c>
      <c r="AG35" s="264"/>
      <c r="AH35" s="264"/>
      <c r="AI35" s="264"/>
      <c r="AJ35" s="264"/>
    </row>
    <row r="36" spans="1:36" x14ac:dyDescent="0.2">
      <c r="A36" s="9">
        <v>12039</v>
      </c>
      <c r="B36" s="237" t="s">
        <v>363</v>
      </c>
      <c r="C36"/>
      <c r="D36"/>
      <c r="E36"/>
      <c r="F36"/>
      <c r="G36" s="231">
        <v>850</v>
      </c>
      <c r="H36"/>
      <c r="I36">
        <v>840</v>
      </c>
      <c r="J36"/>
      <c r="K36">
        <v>860</v>
      </c>
      <c r="L36" s="231"/>
      <c r="M36">
        <v>890</v>
      </c>
      <c r="N36" s="231"/>
      <c r="O36">
        <v>800</v>
      </c>
      <c r="P36" s="231"/>
      <c r="Q36">
        <v>730</v>
      </c>
      <c r="R36" s="231"/>
      <c r="S36">
        <v>740</v>
      </c>
      <c r="T36" s="231"/>
      <c r="U36">
        <v>670</v>
      </c>
      <c r="V36" s="264">
        <v>620</v>
      </c>
      <c r="W36" s="264"/>
      <c r="X36" s="264">
        <v>660</v>
      </c>
      <c r="Y36" s="264"/>
      <c r="Z36" s="264">
        <v>620</v>
      </c>
      <c r="AA36" s="264"/>
      <c r="AB36" s="264">
        <v>850</v>
      </c>
      <c r="AC36" s="264"/>
      <c r="AD36" s="264">
        <v>600</v>
      </c>
      <c r="AE36" s="264"/>
      <c r="AF36" s="264"/>
      <c r="AG36" s="264"/>
      <c r="AH36" s="264">
        <v>600</v>
      </c>
      <c r="AI36" s="264"/>
      <c r="AJ36" s="264">
        <v>500</v>
      </c>
    </row>
    <row r="37" spans="1:36" x14ac:dyDescent="0.2">
      <c r="A37" s="9">
        <v>12041</v>
      </c>
      <c r="B37" s="237" t="s">
        <v>361</v>
      </c>
      <c r="C37"/>
      <c r="D37"/>
      <c r="E37"/>
      <c r="F37" s="251">
        <v>32000</v>
      </c>
      <c r="G37"/>
      <c r="H37">
        <v>30000</v>
      </c>
      <c r="I37"/>
      <c r="J37">
        <v>29000</v>
      </c>
      <c r="K37" s="251">
        <v>26600</v>
      </c>
      <c r="L37">
        <v>29000</v>
      </c>
      <c r="M37" s="231"/>
      <c r="N37">
        <v>26000</v>
      </c>
      <c r="O37" s="231"/>
      <c r="P37">
        <v>30000</v>
      </c>
      <c r="Q37" s="231"/>
      <c r="R37">
        <v>29000</v>
      </c>
      <c r="S37" s="231"/>
      <c r="T37">
        <v>24000</v>
      </c>
      <c r="U37">
        <v>24000</v>
      </c>
      <c r="V37" s="264"/>
      <c r="W37" s="264"/>
      <c r="X37" s="264"/>
      <c r="Y37" s="264"/>
      <c r="Z37" s="264"/>
      <c r="AA37" s="264"/>
      <c r="AB37" s="264"/>
      <c r="AC37" s="264"/>
      <c r="AD37" s="264"/>
      <c r="AE37" s="264"/>
      <c r="AF37" s="264"/>
      <c r="AG37" s="264"/>
      <c r="AH37" s="264"/>
      <c r="AI37" s="264"/>
      <c r="AJ37" s="264"/>
    </row>
    <row r="38" spans="1:36" x14ac:dyDescent="0.2">
      <c r="A38" s="9">
        <v>12042</v>
      </c>
      <c r="B38" s="237" t="s">
        <v>360</v>
      </c>
      <c r="C38"/>
      <c r="D38"/>
      <c r="E38"/>
      <c r="F38" s="51">
        <v>9000</v>
      </c>
      <c r="G38"/>
      <c r="H38">
        <v>4800</v>
      </c>
      <c r="I38"/>
      <c r="J38">
        <v>4700</v>
      </c>
      <c r="K38" s="51">
        <v>4300</v>
      </c>
      <c r="L38">
        <v>4600</v>
      </c>
      <c r="M38" s="231"/>
      <c r="N38">
        <v>4800</v>
      </c>
      <c r="O38" s="231"/>
      <c r="P38">
        <v>5500</v>
      </c>
      <c r="Q38" s="231"/>
      <c r="R38">
        <v>5300</v>
      </c>
      <c r="S38" s="231"/>
      <c r="T38">
        <v>5200</v>
      </c>
      <c r="U38" s="267">
        <v>5600</v>
      </c>
      <c r="V38" s="263">
        <v>5200</v>
      </c>
      <c r="W38" s="263">
        <v>5100</v>
      </c>
      <c r="X38" s="263">
        <v>5100</v>
      </c>
      <c r="Y38" s="263">
        <v>5700</v>
      </c>
      <c r="Z38" s="263">
        <v>6400</v>
      </c>
      <c r="AA38" s="263">
        <v>6400</v>
      </c>
      <c r="AB38" s="263">
        <v>7000</v>
      </c>
      <c r="AC38" s="263">
        <v>6100</v>
      </c>
      <c r="AD38" s="263">
        <v>6700</v>
      </c>
      <c r="AE38" s="263">
        <v>6100</v>
      </c>
      <c r="AF38" s="263">
        <v>5700</v>
      </c>
      <c r="AG38" s="263">
        <v>5400</v>
      </c>
      <c r="AH38" s="263"/>
      <c r="AI38" s="263">
        <v>5200</v>
      </c>
      <c r="AJ38" s="263"/>
    </row>
    <row r="39" spans="1:36" x14ac:dyDescent="0.2">
      <c r="A39" s="9">
        <v>12043</v>
      </c>
      <c r="B39" s="237" t="s">
        <v>355</v>
      </c>
      <c r="C39"/>
      <c r="D39"/>
      <c r="E39">
        <v>14500</v>
      </c>
      <c r="F39" s="251"/>
      <c r="G39"/>
      <c r="H39"/>
      <c r="I39"/>
      <c r="J39"/>
      <c r="K39" s="251">
        <v>9400</v>
      </c>
      <c r="L39">
        <v>8400</v>
      </c>
      <c r="M39" s="231"/>
      <c r="N39">
        <v>8000</v>
      </c>
      <c r="O39" s="231"/>
      <c r="P39">
        <v>8200</v>
      </c>
      <c r="Q39" s="231"/>
      <c r="R39">
        <v>7800</v>
      </c>
      <c r="S39" s="231"/>
      <c r="T39">
        <v>7600</v>
      </c>
      <c r="U39" s="251">
        <v>7500</v>
      </c>
      <c r="V39" s="264">
        <v>7700</v>
      </c>
      <c r="W39" s="264"/>
      <c r="X39" s="264">
        <v>7800</v>
      </c>
      <c r="Y39" s="264">
        <v>9300</v>
      </c>
      <c r="Z39" s="264">
        <v>8100</v>
      </c>
      <c r="AA39" s="264">
        <v>7900</v>
      </c>
      <c r="AB39" s="264">
        <v>8100</v>
      </c>
      <c r="AC39" s="264">
        <v>7900</v>
      </c>
      <c r="AD39" s="264">
        <v>6700</v>
      </c>
      <c r="AE39" s="264">
        <v>5700</v>
      </c>
      <c r="AF39" s="264">
        <v>6200</v>
      </c>
      <c r="AG39" s="264">
        <v>6100</v>
      </c>
      <c r="AH39" s="264"/>
      <c r="AI39" s="264">
        <v>6000</v>
      </c>
      <c r="AJ39" s="264"/>
    </row>
    <row r="40" spans="1:36" x14ac:dyDescent="0.2">
      <c r="A40" s="9">
        <v>12044</v>
      </c>
      <c r="B40" s="237" t="s">
        <v>356</v>
      </c>
      <c r="C40"/>
      <c r="D40"/>
      <c r="E40"/>
      <c r="F40" s="51">
        <v>6800</v>
      </c>
      <c r="G40" s="251"/>
      <c r="H40">
        <v>7200</v>
      </c>
      <c r="I40"/>
      <c r="J40">
        <v>5300</v>
      </c>
      <c r="K40" s="51">
        <v>6400</v>
      </c>
      <c r="L40" s="251">
        <v>5200</v>
      </c>
      <c r="M40" s="251"/>
      <c r="N40" s="251">
        <v>5400</v>
      </c>
      <c r="O40" s="251"/>
      <c r="P40" s="251"/>
      <c r="Q40" s="251">
        <v>5900</v>
      </c>
      <c r="R40" s="251"/>
      <c r="S40" s="251"/>
      <c r="T40" s="251">
        <v>5800</v>
      </c>
      <c r="U40" s="264">
        <v>5600</v>
      </c>
      <c r="V40" s="264">
        <v>5000</v>
      </c>
      <c r="W40" s="264"/>
      <c r="X40" s="264">
        <v>4600</v>
      </c>
      <c r="Y40" s="264"/>
      <c r="Z40" s="264">
        <v>3700</v>
      </c>
      <c r="AA40" s="264"/>
      <c r="AB40" s="264">
        <v>2600</v>
      </c>
      <c r="AC40" s="264"/>
      <c r="AD40" s="264">
        <v>2600</v>
      </c>
      <c r="AE40" s="264"/>
      <c r="AF40" s="264"/>
      <c r="AG40" s="264"/>
      <c r="AH40" s="264"/>
      <c r="AI40" s="264"/>
      <c r="AJ40" s="264">
        <v>1800</v>
      </c>
    </row>
    <row r="41" spans="1:36" x14ac:dyDescent="0.2">
      <c r="A41" s="9">
        <v>12045</v>
      </c>
      <c r="B41" s="237" t="s">
        <v>359</v>
      </c>
      <c r="C41"/>
      <c r="D41"/>
      <c r="E41"/>
      <c r="F41" s="251">
        <v>3700</v>
      </c>
      <c r="G41"/>
      <c r="H41">
        <v>3300</v>
      </c>
      <c r="I41"/>
      <c r="J41">
        <v>2900</v>
      </c>
      <c r="K41" s="251">
        <v>2600</v>
      </c>
      <c r="L41">
        <v>3100</v>
      </c>
      <c r="M41" s="231"/>
      <c r="N41">
        <v>3300</v>
      </c>
      <c r="O41" s="231"/>
      <c r="P41">
        <v>3300</v>
      </c>
      <c r="Q41" s="231"/>
      <c r="R41">
        <v>3300</v>
      </c>
      <c r="S41" s="231"/>
      <c r="T41">
        <v>3600</v>
      </c>
      <c r="U41" s="251"/>
      <c r="V41" s="264"/>
      <c r="W41" s="264"/>
      <c r="X41" s="264"/>
      <c r="Y41" s="264"/>
      <c r="Z41" s="264"/>
      <c r="AA41" s="264"/>
      <c r="AB41" s="264"/>
      <c r="AC41" s="264"/>
      <c r="AD41" s="264"/>
      <c r="AE41" s="264"/>
      <c r="AF41" s="264"/>
      <c r="AG41" s="264"/>
      <c r="AH41" s="264"/>
      <c r="AI41" s="264"/>
      <c r="AJ41" s="264"/>
    </row>
    <row r="42" spans="1:36" x14ac:dyDescent="0.2">
      <c r="A42" s="9">
        <v>12047</v>
      </c>
      <c r="B42" s="233" t="s">
        <v>387</v>
      </c>
      <c r="C42" s="268"/>
      <c r="D42" s="268"/>
      <c r="E42" s="268"/>
      <c r="F42" s="51">
        <v>20800</v>
      </c>
      <c r="G42" s="51">
        <v>21600</v>
      </c>
      <c r="H42" s="268">
        <v>19000</v>
      </c>
      <c r="I42" s="268">
        <v>18500</v>
      </c>
      <c r="J42" s="268"/>
      <c r="K42" s="51">
        <v>18570</v>
      </c>
      <c r="L42" s="51">
        <v>17400</v>
      </c>
      <c r="M42" s="51"/>
      <c r="N42" s="51"/>
      <c r="O42" s="51"/>
      <c r="P42" s="51"/>
      <c r="Q42" s="269">
        <v>16700</v>
      </c>
      <c r="R42" s="269">
        <v>17800</v>
      </c>
      <c r="S42" s="269">
        <v>17200</v>
      </c>
      <c r="T42" s="269">
        <v>17500</v>
      </c>
      <c r="U42" s="269">
        <v>16400</v>
      </c>
      <c r="V42" s="269">
        <v>17000</v>
      </c>
      <c r="W42" s="269">
        <v>16800</v>
      </c>
      <c r="X42" s="269">
        <v>18400</v>
      </c>
      <c r="Y42" s="269">
        <v>16400</v>
      </c>
      <c r="Z42" s="269">
        <v>17100</v>
      </c>
      <c r="AA42" s="269">
        <v>15200</v>
      </c>
      <c r="AB42" s="269">
        <v>13700</v>
      </c>
      <c r="AC42" s="269">
        <v>12100</v>
      </c>
      <c r="AD42" s="269">
        <v>11900</v>
      </c>
      <c r="AE42" s="269">
        <v>12000</v>
      </c>
      <c r="AF42" s="269">
        <v>10600</v>
      </c>
      <c r="AG42" s="269">
        <v>12100</v>
      </c>
      <c r="AH42" s="269">
        <v>10700</v>
      </c>
      <c r="AI42" s="269">
        <v>10100</v>
      </c>
      <c r="AJ42" s="269">
        <v>10200</v>
      </c>
    </row>
    <row r="43" spans="1:36" x14ac:dyDescent="0.2">
      <c r="A43" s="9">
        <v>12048</v>
      </c>
      <c r="B43" s="238" t="s">
        <v>373</v>
      </c>
      <c r="C43"/>
      <c r="D43"/>
      <c r="E43">
        <v>3900</v>
      </c>
      <c r="F43" s="251">
        <v>4100</v>
      </c>
      <c r="G43">
        <v>4300</v>
      </c>
      <c r="H43">
        <v>3900</v>
      </c>
      <c r="I43"/>
      <c r="J43"/>
      <c r="K43">
        <v>3400</v>
      </c>
      <c r="L43">
        <v>3600</v>
      </c>
      <c r="M43">
        <v>4100</v>
      </c>
      <c r="N43">
        <v>3500</v>
      </c>
      <c r="O43">
        <v>3600</v>
      </c>
      <c r="P43">
        <v>3800</v>
      </c>
      <c r="Q43">
        <v>4000</v>
      </c>
      <c r="R43">
        <v>4200</v>
      </c>
      <c r="S43">
        <v>4700</v>
      </c>
      <c r="T43" s="231"/>
      <c r="U43">
        <v>4100</v>
      </c>
      <c r="V43" s="228">
        <v>4400</v>
      </c>
      <c r="W43" s="228">
        <v>4600</v>
      </c>
      <c r="X43" s="228">
        <v>4300</v>
      </c>
      <c r="Y43" s="228">
        <v>4200</v>
      </c>
      <c r="Z43" s="228">
        <v>4000</v>
      </c>
      <c r="AA43" s="228">
        <v>3800</v>
      </c>
      <c r="AB43" s="228">
        <v>3900</v>
      </c>
      <c r="AC43" s="228">
        <v>3800</v>
      </c>
      <c r="AD43" s="228">
        <v>4000</v>
      </c>
      <c r="AE43" s="228">
        <v>3900</v>
      </c>
      <c r="AF43" s="228">
        <v>3700</v>
      </c>
      <c r="AG43" s="228">
        <v>3800</v>
      </c>
      <c r="AH43" s="228">
        <v>3500</v>
      </c>
      <c r="AI43" s="228">
        <v>3200</v>
      </c>
      <c r="AJ43" s="228">
        <v>3100</v>
      </c>
    </row>
    <row r="44" spans="1:36" ht="13.5" thickBot="1" x14ac:dyDescent="0.25">
      <c r="A44" s="9">
        <v>12049</v>
      </c>
      <c r="B44" s="239" t="s">
        <v>376</v>
      </c>
      <c r="C44"/>
      <c r="D44"/>
      <c r="E44">
        <v>7900</v>
      </c>
      <c r="F44" s="251">
        <v>6100</v>
      </c>
      <c r="G44">
        <v>7500</v>
      </c>
      <c r="H44">
        <v>7000</v>
      </c>
      <c r="I44"/>
      <c r="J44">
        <v>6500</v>
      </c>
      <c r="K44">
        <v>6900</v>
      </c>
      <c r="L44">
        <v>6100</v>
      </c>
      <c r="M44">
        <v>6700</v>
      </c>
      <c r="N44">
        <v>5000</v>
      </c>
      <c r="O44">
        <v>5800</v>
      </c>
      <c r="P44">
        <v>7200</v>
      </c>
      <c r="Q44">
        <v>6600</v>
      </c>
      <c r="R44">
        <v>6500</v>
      </c>
      <c r="S44">
        <v>6800</v>
      </c>
      <c r="T44">
        <v>6700</v>
      </c>
      <c r="U44">
        <v>6600</v>
      </c>
      <c r="V44" s="229">
        <v>6900</v>
      </c>
      <c r="W44" s="229">
        <v>6200</v>
      </c>
      <c r="X44" s="229">
        <v>5800</v>
      </c>
      <c r="Y44" s="229"/>
      <c r="Z44" s="229">
        <v>6500</v>
      </c>
      <c r="AA44" s="229">
        <v>5500</v>
      </c>
      <c r="AB44" s="229">
        <v>6100</v>
      </c>
      <c r="AC44" s="229">
        <v>5500</v>
      </c>
      <c r="AD44" s="229">
        <v>5500</v>
      </c>
      <c r="AE44" s="229">
        <v>4900</v>
      </c>
      <c r="AF44" s="229">
        <v>5000</v>
      </c>
      <c r="AG44" s="229">
        <v>4700</v>
      </c>
      <c r="AH44" s="229">
        <v>4300</v>
      </c>
      <c r="AI44" s="229">
        <v>5400</v>
      </c>
      <c r="AJ44" s="229">
        <v>4200</v>
      </c>
    </row>
    <row r="45" spans="1:36" x14ac:dyDescent="0.2">
      <c r="A45" s="9">
        <v>12050</v>
      </c>
      <c r="B45" s="224" t="s">
        <v>375</v>
      </c>
      <c r="C45"/>
      <c r="D45"/>
      <c r="E45">
        <v>11000</v>
      </c>
      <c r="F45" s="251">
        <v>9900</v>
      </c>
      <c r="G45">
        <v>11000</v>
      </c>
      <c r="H45">
        <v>10000</v>
      </c>
      <c r="I45"/>
      <c r="J45">
        <v>9200</v>
      </c>
      <c r="K45">
        <v>9500</v>
      </c>
      <c r="L45">
        <v>9300</v>
      </c>
      <c r="M45">
        <v>10000</v>
      </c>
      <c r="N45">
        <v>9400</v>
      </c>
      <c r="O45">
        <v>8900</v>
      </c>
      <c r="P45">
        <v>9900</v>
      </c>
      <c r="Q45">
        <v>10000</v>
      </c>
      <c r="R45">
        <v>9400</v>
      </c>
      <c r="S45" s="231"/>
      <c r="T45">
        <v>10000</v>
      </c>
      <c r="U45">
        <v>10000</v>
      </c>
      <c r="V45" s="225">
        <v>9100</v>
      </c>
      <c r="W45" s="225">
        <v>9400</v>
      </c>
      <c r="X45" s="225">
        <v>8900</v>
      </c>
      <c r="Y45" s="225">
        <v>8800</v>
      </c>
      <c r="Z45" s="225">
        <v>7900</v>
      </c>
      <c r="AA45" s="225">
        <v>7400</v>
      </c>
      <c r="AB45" s="225">
        <v>7600</v>
      </c>
      <c r="AC45" s="225">
        <v>7400</v>
      </c>
      <c r="AD45" s="225">
        <v>6700</v>
      </c>
      <c r="AE45" s="225">
        <v>6200</v>
      </c>
      <c r="AF45" s="225"/>
      <c r="AG45" s="225"/>
      <c r="AH45" s="225"/>
      <c r="AI45" s="225">
        <v>5000</v>
      </c>
      <c r="AJ45" s="225">
        <v>4300</v>
      </c>
    </row>
    <row r="46" spans="1:36" ht="14.25" customHeight="1" x14ac:dyDescent="0.2">
      <c r="A46" s="9">
        <v>12051</v>
      </c>
      <c r="B46" s="226" t="s">
        <v>374</v>
      </c>
      <c r="C46"/>
      <c r="D46"/>
      <c r="E46">
        <v>2400</v>
      </c>
      <c r="F46" s="249">
        <v>2500</v>
      </c>
      <c r="G46">
        <v>2300</v>
      </c>
      <c r="H46">
        <v>2400</v>
      </c>
      <c r="I46"/>
      <c r="J46">
        <v>2200</v>
      </c>
      <c r="K46" s="249">
        <v>2100</v>
      </c>
      <c r="L46">
        <v>2100</v>
      </c>
      <c r="M46">
        <v>2500</v>
      </c>
      <c r="N46">
        <v>2100</v>
      </c>
      <c r="O46">
        <v>2800</v>
      </c>
      <c r="P46">
        <v>2600</v>
      </c>
      <c r="Q46">
        <v>2500</v>
      </c>
      <c r="R46">
        <v>2900</v>
      </c>
      <c r="S46">
        <v>2800</v>
      </c>
      <c r="T46">
        <v>2700</v>
      </c>
      <c r="U46" s="267">
        <v>2700</v>
      </c>
      <c r="V46" s="225">
        <v>2600</v>
      </c>
      <c r="W46" s="225">
        <v>2600</v>
      </c>
      <c r="X46" s="225">
        <v>2300</v>
      </c>
      <c r="Y46" s="225">
        <v>3000</v>
      </c>
      <c r="Z46" s="225">
        <v>2500</v>
      </c>
      <c r="AA46" s="225">
        <v>2500</v>
      </c>
      <c r="AB46" s="225">
        <v>2200</v>
      </c>
      <c r="AC46" s="225">
        <v>2000</v>
      </c>
      <c r="AD46" s="225">
        <v>1900</v>
      </c>
      <c r="AE46" s="225">
        <v>1800</v>
      </c>
      <c r="AF46" s="225">
        <v>1700</v>
      </c>
      <c r="AG46" s="225">
        <v>1400</v>
      </c>
      <c r="AH46" s="225">
        <v>1800</v>
      </c>
      <c r="AI46" s="225">
        <v>1800</v>
      </c>
      <c r="AJ46" s="225">
        <v>1600</v>
      </c>
    </row>
    <row r="47" spans="1:36" x14ac:dyDescent="0.2">
      <c r="A47" s="9">
        <v>12052</v>
      </c>
      <c r="B47" s="227" t="s">
        <v>372</v>
      </c>
      <c r="C47"/>
      <c r="D47"/>
      <c r="E47"/>
      <c r="F47" s="251">
        <v>390</v>
      </c>
      <c r="G47"/>
      <c r="H47">
        <v>470</v>
      </c>
      <c r="I47"/>
      <c r="J47"/>
      <c r="K47" s="251"/>
      <c r="L47">
        <v>430</v>
      </c>
      <c r="M47" s="231"/>
      <c r="N47">
        <v>590</v>
      </c>
      <c r="O47" s="231"/>
      <c r="P47">
        <v>580</v>
      </c>
      <c r="Q47" s="231"/>
      <c r="R47">
        <v>620</v>
      </c>
      <c r="S47" s="231"/>
      <c r="T47">
        <v>630</v>
      </c>
      <c r="U47" s="270">
        <v>520</v>
      </c>
      <c r="V47" s="228">
        <v>680</v>
      </c>
      <c r="W47" s="228"/>
      <c r="X47" s="228">
        <v>670</v>
      </c>
      <c r="Y47" s="228"/>
      <c r="Z47" s="228">
        <v>580</v>
      </c>
      <c r="AA47" s="228"/>
      <c r="AB47" s="228">
        <v>460</v>
      </c>
      <c r="AC47" s="228"/>
      <c r="AD47" s="228">
        <v>400</v>
      </c>
      <c r="AE47" s="228"/>
      <c r="AF47" s="228">
        <v>375</v>
      </c>
      <c r="AG47" s="228"/>
      <c r="AH47" s="228">
        <v>300</v>
      </c>
      <c r="AI47" s="228"/>
      <c r="AJ47" s="228">
        <v>200</v>
      </c>
    </row>
    <row r="48" spans="1:36" x14ac:dyDescent="0.2">
      <c r="A48" s="9">
        <v>12053</v>
      </c>
      <c r="B48" s="240" t="s">
        <v>366</v>
      </c>
      <c r="C48"/>
      <c r="D48"/>
      <c r="E48"/>
      <c r="F48" s="251">
        <v>1200</v>
      </c>
      <c r="G48"/>
      <c r="H48">
        <v>1300</v>
      </c>
      <c r="I48"/>
      <c r="J48">
        <v>1700</v>
      </c>
      <c r="K48" s="251"/>
      <c r="L48">
        <v>1200</v>
      </c>
      <c r="M48" s="231"/>
      <c r="N48">
        <v>1100</v>
      </c>
      <c r="O48" s="231"/>
      <c r="P48">
        <v>1200</v>
      </c>
      <c r="Q48" s="231"/>
      <c r="R48">
        <v>1300</v>
      </c>
      <c r="S48" s="231"/>
      <c r="T48">
        <v>1400</v>
      </c>
      <c r="U48" s="251">
        <v>1200</v>
      </c>
      <c r="V48" s="264">
        <v>1100</v>
      </c>
      <c r="W48" s="264"/>
      <c r="X48" s="264">
        <v>1200</v>
      </c>
      <c r="Y48" s="264"/>
      <c r="Z48" s="264">
        <v>1200</v>
      </c>
      <c r="AA48" s="264"/>
      <c r="AB48" s="264">
        <v>1300</v>
      </c>
      <c r="AC48" s="264"/>
      <c r="AD48" s="264">
        <v>1000</v>
      </c>
      <c r="AE48" s="264"/>
      <c r="AF48" s="264">
        <v>900</v>
      </c>
      <c r="AG48" s="264"/>
      <c r="AH48" s="264">
        <v>900</v>
      </c>
      <c r="AI48" s="264"/>
      <c r="AJ48" s="264">
        <v>700</v>
      </c>
    </row>
    <row r="49" spans="1:36" x14ac:dyDescent="0.2">
      <c r="A49" s="9">
        <v>12055</v>
      </c>
      <c r="B49" s="241" t="s">
        <v>367</v>
      </c>
      <c r="C49"/>
      <c r="D49"/>
      <c r="E49">
        <v>4700</v>
      </c>
      <c r="F49" s="251">
        <v>4700</v>
      </c>
      <c r="G49"/>
      <c r="H49">
        <v>4700</v>
      </c>
      <c r="I49"/>
      <c r="J49">
        <v>4400</v>
      </c>
      <c r="K49">
        <v>4200</v>
      </c>
      <c r="L49">
        <v>4300</v>
      </c>
      <c r="M49">
        <v>4400</v>
      </c>
      <c r="N49">
        <v>4800</v>
      </c>
      <c r="O49">
        <v>4500</v>
      </c>
      <c r="P49">
        <v>4900</v>
      </c>
      <c r="Q49">
        <v>4900</v>
      </c>
      <c r="R49">
        <v>5100</v>
      </c>
      <c r="S49">
        <v>4500</v>
      </c>
      <c r="T49">
        <v>4700</v>
      </c>
      <c r="U49">
        <v>5000</v>
      </c>
      <c r="V49" s="264">
        <v>4500</v>
      </c>
      <c r="W49" s="264">
        <v>4700</v>
      </c>
      <c r="X49" s="264">
        <v>4400</v>
      </c>
      <c r="Y49" s="264">
        <v>4500</v>
      </c>
      <c r="Z49" s="264">
        <v>4600</v>
      </c>
      <c r="AA49" s="264">
        <v>4200</v>
      </c>
      <c r="AB49" s="264">
        <v>4300</v>
      </c>
      <c r="AC49" s="264">
        <v>5200</v>
      </c>
      <c r="AD49" s="264">
        <v>4000</v>
      </c>
      <c r="AE49" s="264">
        <v>4100</v>
      </c>
      <c r="AF49" s="264"/>
      <c r="AG49" s="264"/>
      <c r="AH49" s="264"/>
      <c r="AI49" s="264">
        <v>3400</v>
      </c>
      <c r="AJ49" s="264">
        <v>3500</v>
      </c>
    </row>
    <row r="50" spans="1:36" ht="13.5" thickBot="1" x14ac:dyDescent="0.25">
      <c r="A50" s="9">
        <v>12056</v>
      </c>
      <c r="B50" s="242" t="s">
        <v>368</v>
      </c>
      <c r="C50"/>
      <c r="D50"/>
      <c r="E50"/>
      <c r="F50" s="251">
        <v>4500</v>
      </c>
      <c r="G50">
        <v>4200</v>
      </c>
      <c r="H50">
        <v>4500</v>
      </c>
      <c r="I50">
        <v>4300</v>
      </c>
      <c r="J50">
        <v>4400</v>
      </c>
      <c r="K50">
        <v>4300</v>
      </c>
      <c r="L50">
        <v>4100</v>
      </c>
      <c r="M50">
        <v>3800</v>
      </c>
      <c r="N50">
        <v>4600</v>
      </c>
      <c r="O50">
        <v>4600</v>
      </c>
      <c r="P50">
        <v>5300</v>
      </c>
      <c r="Q50">
        <v>5200</v>
      </c>
      <c r="R50">
        <v>5600</v>
      </c>
      <c r="S50">
        <v>5000</v>
      </c>
      <c r="T50">
        <v>5100</v>
      </c>
      <c r="U50">
        <v>5100</v>
      </c>
      <c r="V50" s="271">
        <v>4900</v>
      </c>
      <c r="W50" s="271">
        <v>5000</v>
      </c>
      <c r="X50" s="271">
        <v>5400</v>
      </c>
      <c r="Y50" s="271">
        <v>5100</v>
      </c>
      <c r="Z50" s="271">
        <v>4900</v>
      </c>
      <c r="AA50" s="271">
        <v>4600</v>
      </c>
      <c r="AB50" s="271">
        <v>5000</v>
      </c>
      <c r="AC50" s="271">
        <v>4700</v>
      </c>
      <c r="AD50" s="271">
        <v>5300</v>
      </c>
      <c r="AE50" s="271">
        <v>4300</v>
      </c>
      <c r="AF50" s="271">
        <v>4300</v>
      </c>
      <c r="AG50" s="271">
        <v>4400</v>
      </c>
      <c r="AH50" s="271">
        <v>4400</v>
      </c>
      <c r="AI50" s="271">
        <v>4100</v>
      </c>
      <c r="AJ50" s="271">
        <v>3800</v>
      </c>
    </row>
    <row r="51" spans="1:36" x14ac:dyDescent="0.2">
      <c r="A51" s="9">
        <v>12057</v>
      </c>
      <c r="B51" s="243" t="s">
        <v>369</v>
      </c>
      <c r="C51" s="249"/>
      <c r="D51" s="249"/>
      <c r="E51" s="249">
        <v>79000</v>
      </c>
      <c r="F51" s="249">
        <v>80000</v>
      </c>
      <c r="G51" s="249">
        <v>75000</v>
      </c>
      <c r="H51" s="249">
        <v>72000</v>
      </c>
      <c r="I51" s="249">
        <v>72000</v>
      </c>
      <c r="J51" s="249">
        <v>63000</v>
      </c>
      <c r="K51" s="249">
        <v>64000</v>
      </c>
      <c r="L51" s="249">
        <v>60000</v>
      </c>
      <c r="M51" s="249">
        <v>67000</v>
      </c>
      <c r="N51" s="249">
        <v>62000</v>
      </c>
      <c r="O51" s="249">
        <v>57000</v>
      </c>
      <c r="P51" s="249">
        <v>59000</v>
      </c>
      <c r="Q51" s="272">
        <v>56000</v>
      </c>
      <c r="R51" s="272">
        <v>54000</v>
      </c>
      <c r="S51" s="272">
        <v>55000</v>
      </c>
      <c r="T51" s="272">
        <v>54000</v>
      </c>
      <c r="U51" s="272">
        <v>58000</v>
      </c>
      <c r="V51" s="273">
        <v>58000</v>
      </c>
      <c r="W51" s="273">
        <v>56000</v>
      </c>
      <c r="X51" s="273">
        <v>63000</v>
      </c>
      <c r="Y51" s="273">
        <v>68000</v>
      </c>
      <c r="Z51" s="273">
        <v>56900</v>
      </c>
      <c r="AA51" s="273">
        <v>49500</v>
      </c>
      <c r="AB51" s="273">
        <v>45600</v>
      </c>
      <c r="AC51" s="273">
        <v>43300</v>
      </c>
      <c r="AD51" s="273">
        <v>36700</v>
      </c>
      <c r="AE51" s="273">
        <v>40000</v>
      </c>
      <c r="AF51" s="273">
        <v>36900</v>
      </c>
      <c r="AG51" s="273">
        <v>25300</v>
      </c>
      <c r="AH51" s="273">
        <v>28800</v>
      </c>
      <c r="AI51" s="273">
        <v>28000</v>
      </c>
      <c r="AJ51" s="273">
        <v>27100</v>
      </c>
    </row>
    <row r="52" spans="1:36" x14ac:dyDescent="0.2">
      <c r="A52" s="9">
        <v>12058</v>
      </c>
      <c r="B52" s="243" t="s">
        <v>370</v>
      </c>
      <c r="C52" s="249"/>
      <c r="D52" s="249"/>
      <c r="E52" s="249">
        <v>2400</v>
      </c>
      <c r="F52" s="232">
        <v>2400</v>
      </c>
      <c r="G52" s="232">
        <v>2500</v>
      </c>
      <c r="H52" s="249">
        <v>2300</v>
      </c>
      <c r="I52" s="249">
        <v>2200</v>
      </c>
      <c r="J52" s="249"/>
      <c r="K52" s="232"/>
      <c r="L52" s="232"/>
      <c r="M52" s="232">
        <v>3700</v>
      </c>
      <c r="N52" s="232"/>
      <c r="O52" s="232">
        <v>4100</v>
      </c>
      <c r="P52" s="232"/>
      <c r="Q52" s="273">
        <v>4200</v>
      </c>
      <c r="R52" s="273">
        <v>5400</v>
      </c>
      <c r="S52" s="273">
        <v>5000</v>
      </c>
      <c r="T52" s="273"/>
      <c r="U52" s="273">
        <v>4100</v>
      </c>
      <c r="V52" s="273">
        <v>4400</v>
      </c>
      <c r="W52" s="273">
        <v>4500</v>
      </c>
      <c r="X52" s="273">
        <v>3100</v>
      </c>
      <c r="Y52" s="273">
        <v>4000</v>
      </c>
      <c r="Z52" s="273">
        <v>4000</v>
      </c>
      <c r="AA52" s="273">
        <v>4900</v>
      </c>
      <c r="AB52" s="273">
        <v>3700</v>
      </c>
      <c r="AC52" s="273">
        <v>4100</v>
      </c>
      <c r="AD52" s="273">
        <v>2900</v>
      </c>
      <c r="AE52" s="273">
        <v>3700</v>
      </c>
      <c r="AF52" s="273">
        <v>4000</v>
      </c>
      <c r="AG52" s="273">
        <v>3100</v>
      </c>
      <c r="AH52" s="273">
        <v>3800</v>
      </c>
      <c r="AI52" s="273">
        <v>3200</v>
      </c>
      <c r="AJ52" s="273">
        <v>3600</v>
      </c>
    </row>
    <row r="53" spans="1:36" x14ac:dyDescent="0.2">
      <c r="A53" s="9">
        <v>12065</v>
      </c>
      <c r="B53" s="238" t="s">
        <v>371</v>
      </c>
      <c r="C53" s="249"/>
      <c r="D53" s="249"/>
      <c r="E53" s="249">
        <v>1700</v>
      </c>
      <c r="F53" s="249">
        <v>1500</v>
      </c>
      <c r="G53" s="249">
        <v>1400</v>
      </c>
      <c r="H53" s="249">
        <v>1300</v>
      </c>
      <c r="I53" s="249"/>
      <c r="J53" s="249"/>
      <c r="K53" s="249">
        <v>1100</v>
      </c>
      <c r="L53" s="249">
        <v>1100</v>
      </c>
      <c r="M53" s="249">
        <v>1100</v>
      </c>
      <c r="N53" s="249">
        <v>1200</v>
      </c>
      <c r="O53" s="249">
        <v>950</v>
      </c>
      <c r="P53" s="249">
        <v>1100</v>
      </c>
      <c r="Q53" s="272">
        <v>1300</v>
      </c>
      <c r="R53" s="272">
        <v>1100</v>
      </c>
      <c r="S53" s="272">
        <v>1200</v>
      </c>
      <c r="T53" s="272">
        <v>1200</v>
      </c>
      <c r="U53" s="272">
        <v>1100</v>
      </c>
      <c r="V53" s="274">
        <v>1300</v>
      </c>
      <c r="W53" s="274"/>
      <c r="X53" s="274">
        <v>1200</v>
      </c>
      <c r="Y53" s="274">
        <v>1200</v>
      </c>
      <c r="Z53" s="274">
        <v>1200</v>
      </c>
      <c r="AA53" s="274">
        <v>1200</v>
      </c>
      <c r="AB53" s="274">
        <v>1000</v>
      </c>
      <c r="AC53" s="274">
        <v>960</v>
      </c>
      <c r="AD53" s="274">
        <v>950</v>
      </c>
      <c r="AE53" s="274">
        <v>900</v>
      </c>
      <c r="AF53" s="274">
        <v>800</v>
      </c>
      <c r="AG53" s="274">
        <v>700</v>
      </c>
      <c r="AH53" s="274">
        <v>900</v>
      </c>
      <c r="AI53" s="274">
        <v>800</v>
      </c>
      <c r="AJ53" s="274">
        <v>800</v>
      </c>
    </row>
    <row r="54" spans="1:36" x14ac:dyDescent="0.2">
      <c r="A54" s="9">
        <v>12066</v>
      </c>
      <c r="B54" s="237" t="s">
        <v>365</v>
      </c>
      <c r="C54" s="249"/>
      <c r="D54" s="249"/>
      <c r="E54" s="249">
        <v>1500</v>
      </c>
      <c r="F54" s="249"/>
      <c r="G54" s="275"/>
      <c r="H54" s="249">
        <v>1800</v>
      </c>
      <c r="I54" s="249"/>
      <c r="J54" s="249"/>
      <c r="K54" s="249">
        <v>1600</v>
      </c>
      <c r="L54" s="275"/>
      <c r="M54" s="249">
        <v>1500</v>
      </c>
      <c r="N54" s="275"/>
      <c r="O54" s="249">
        <v>1700</v>
      </c>
      <c r="P54" s="275"/>
      <c r="Q54" s="272">
        <v>1900</v>
      </c>
      <c r="R54" s="276"/>
      <c r="S54" s="272">
        <v>1800</v>
      </c>
      <c r="T54" s="276"/>
      <c r="U54" s="272">
        <v>1700</v>
      </c>
      <c r="V54" s="273"/>
      <c r="W54" s="273"/>
      <c r="X54" s="273"/>
      <c r="Y54" s="273"/>
      <c r="Z54" s="273"/>
      <c r="AA54" s="273"/>
      <c r="AB54" s="273"/>
      <c r="AC54" s="273"/>
      <c r="AD54" s="273"/>
      <c r="AE54" s="273"/>
      <c r="AF54" s="273"/>
      <c r="AG54" s="273"/>
      <c r="AH54" s="273"/>
      <c r="AI54" s="273"/>
      <c r="AJ54" s="273"/>
    </row>
    <row r="55" spans="1:36" x14ac:dyDescent="0.2">
      <c r="A55" s="9">
        <v>12067</v>
      </c>
      <c r="B55" s="244" t="s">
        <v>364</v>
      </c>
      <c r="C55"/>
      <c r="D55"/>
      <c r="E55"/>
      <c r="F55" s="249"/>
      <c r="G55" s="275">
        <v>1100</v>
      </c>
      <c r="H55">
        <v>1000</v>
      </c>
      <c r="I55"/>
      <c r="J55"/>
      <c r="K55" s="249">
        <v>1100</v>
      </c>
      <c r="L55" s="275"/>
      <c r="M55" s="249">
        <v>950</v>
      </c>
      <c r="N55" s="275"/>
      <c r="O55" s="249">
        <v>1000</v>
      </c>
      <c r="P55" s="275"/>
      <c r="Q55" s="272">
        <v>1000</v>
      </c>
      <c r="R55" s="276"/>
      <c r="S55" s="272">
        <v>1000</v>
      </c>
      <c r="T55" s="276"/>
      <c r="U55" s="272">
        <v>860</v>
      </c>
      <c r="V55" s="273">
        <v>820</v>
      </c>
      <c r="W55" s="273"/>
      <c r="X55" s="273">
        <v>900</v>
      </c>
      <c r="Y55" s="273"/>
      <c r="Z55" s="273"/>
      <c r="AA55" s="273"/>
      <c r="AB55" s="273">
        <v>600</v>
      </c>
      <c r="AC55" s="273"/>
      <c r="AD55" s="273">
        <v>600</v>
      </c>
      <c r="AE55" s="273"/>
      <c r="AF55" s="273">
        <v>500</v>
      </c>
      <c r="AG55" s="273"/>
      <c r="AH55" s="273">
        <v>400</v>
      </c>
      <c r="AI55" s="273"/>
      <c r="AJ55" s="273">
        <v>300</v>
      </c>
    </row>
    <row r="56" spans="1:36" x14ac:dyDescent="0.2">
      <c r="A56" s="9">
        <v>12069</v>
      </c>
      <c r="B56" s="237"/>
      <c r="C56" s="232"/>
      <c r="D56" s="232"/>
      <c r="E56" s="237">
        <v>37600</v>
      </c>
      <c r="F56" s="232">
        <v>35000</v>
      </c>
      <c r="G56" s="232">
        <v>30000</v>
      </c>
      <c r="H56" s="232">
        <v>37000</v>
      </c>
      <c r="I56" s="232">
        <v>35000</v>
      </c>
      <c r="J56" s="237"/>
      <c r="K56" s="232">
        <v>31000</v>
      </c>
      <c r="L56" s="232">
        <v>30000</v>
      </c>
      <c r="M56" s="232">
        <v>29000</v>
      </c>
      <c r="N56" s="232">
        <v>28000</v>
      </c>
      <c r="O56" s="232">
        <v>28000</v>
      </c>
      <c r="P56" s="232">
        <v>32000</v>
      </c>
      <c r="Q56" s="277">
        <v>29000</v>
      </c>
      <c r="R56" s="277">
        <v>30000</v>
      </c>
      <c r="S56" s="277">
        <v>30000</v>
      </c>
      <c r="T56" s="277">
        <v>29000</v>
      </c>
      <c r="U56" s="277">
        <v>33000</v>
      </c>
      <c r="V56" s="273"/>
      <c r="W56" s="273"/>
      <c r="X56" s="273"/>
      <c r="Y56" s="273"/>
      <c r="Z56" s="273"/>
      <c r="AA56" s="273"/>
      <c r="AB56" s="273"/>
      <c r="AC56" s="273"/>
      <c r="AD56" s="273"/>
      <c r="AE56" s="273"/>
      <c r="AF56" s="273"/>
      <c r="AG56" s="273"/>
      <c r="AH56" s="273"/>
      <c r="AI56" s="273"/>
      <c r="AJ56" s="273"/>
    </row>
    <row r="57" spans="1:36" x14ac:dyDescent="0.2">
      <c r="A57" s="9">
        <v>12070</v>
      </c>
      <c r="B57" s="243"/>
      <c r="C57" s="278"/>
      <c r="D57" s="278"/>
      <c r="E57" s="50">
        <v>2500</v>
      </c>
      <c r="F57" s="232">
        <v>2900</v>
      </c>
      <c r="G57" s="232">
        <v>2500</v>
      </c>
      <c r="H57" s="278">
        <v>2900</v>
      </c>
      <c r="I57" s="278">
        <v>2700</v>
      </c>
      <c r="J57" s="50"/>
      <c r="K57" s="232"/>
      <c r="L57" s="232"/>
      <c r="M57" s="254"/>
      <c r="N57" s="232"/>
      <c r="O57" s="232"/>
      <c r="P57" s="232"/>
      <c r="Q57" s="254"/>
      <c r="R57" s="254"/>
      <c r="S57" s="254"/>
      <c r="T57" s="254"/>
      <c r="U57" s="254"/>
      <c r="V57" s="251"/>
      <c r="W57" s="251"/>
      <c r="X57" s="251"/>
      <c r="Y57" s="251"/>
      <c r="Z57" s="251"/>
      <c r="AA57" s="251"/>
      <c r="AB57" s="251"/>
      <c r="AC57" s="251"/>
      <c r="AD57" s="251"/>
      <c r="AE57" s="251"/>
      <c r="AF57" s="251"/>
      <c r="AG57" s="251"/>
      <c r="AH57" s="251"/>
      <c r="AI57" s="251"/>
      <c r="AJ57" s="251"/>
    </row>
    <row r="58" spans="1:36" x14ac:dyDescent="0.2">
      <c r="A58" s="9">
        <v>12079</v>
      </c>
      <c r="B58" s="243" t="s">
        <v>406</v>
      </c>
      <c r="C58" s="278"/>
      <c r="D58" s="278"/>
      <c r="E58" s="50"/>
      <c r="F58" s="232">
        <v>2800</v>
      </c>
      <c r="G58" s="232">
        <v>2700</v>
      </c>
      <c r="H58" s="278">
        <v>2900</v>
      </c>
      <c r="I58" s="278">
        <v>2700</v>
      </c>
      <c r="J58" s="50"/>
      <c r="K58" s="232">
        <v>2900</v>
      </c>
      <c r="L58" s="232">
        <v>3000</v>
      </c>
      <c r="M58" s="254">
        <v>3000</v>
      </c>
      <c r="N58" s="232">
        <v>3000</v>
      </c>
      <c r="O58" s="232">
        <v>3400</v>
      </c>
      <c r="P58" s="232">
        <v>3400</v>
      </c>
      <c r="Q58" s="254">
        <v>2900</v>
      </c>
      <c r="R58" s="254">
        <v>2600</v>
      </c>
      <c r="S58" s="254">
        <v>3300</v>
      </c>
      <c r="T58" s="254">
        <v>2700</v>
      </c>
      <c r="U58" s="254">
        <v>3100</v>
      </c>
      <c r="V58" s="251"/>
      <c r="W58" s="251"/>
      <c r="X58" s="251"/>
      <c r="Y58" s="251"/>
      <c r="Z58" s="251"/>
      <c r="AA58" s="251"/>
      <c r="AB58" s="251"/>
      <c r="AC58" s="251"/>
      <c r="AD58" s="251"/>
      <c r="AE58" s="251"/>
      <c r="AF58" s="251"/>
      <c r="AG58" s="251"/>
      <c r="AH58" s="251"/>
      <c r="AI58" s="251"/>
      <c r="AJ58" s="251"/>
    </row>
    <row r="59" spans="1:36" x14ac:dyDescent="0.2">
      <c r="A59" s="9">
        <v>12080</v>
      </c>
      <c r="B59" s="243" t="s">
        <v>407</v>
      </c>
      <c r="C59" s="278"/>
      <c r="D59" s="278"/>
      <c r="E59" s="50">
        <v>6700</v>
      </c>
      <c r="F59" s="232">
        <v>6000</v>
      </c>
      <c r="G59" s="232">
        <v>5900</v>
      </c>
      <c r="H59" s="278">
        <v>5700</v>
      </c>
      <c r="I59" s="278">
        <v>5700</v>
      </c>
      <c r="J59" s="50"/>
      <c r="K59" s="232">
        <v>5900</v>
      </c>
      <c r="L59" s="232">
        <v>6400</v>
      </c>
      <c r="M59" s="254">
        <v>6200</v>
      </c>
      <c r="N59" s="232">
        <v>6000</v>
      </c>
      <c r="O59" s="232">
        <v>6200</v>
      </c>
      <c r="P59" s="232">
        <v>6500</v>
      </c>
      <c r="Q59" s="254">
        <v>6200</v>
      </c>
      <c r="R59" s="254">
        <v>6100</v>
      </c>
      <c r="S59" s="254">
        <v>6200</v>
      </c>
      <c r="T59" s="254">
        <v>5500</v>
      </c>
      <c r="U59" s="254">
        <v>5500</v>
      </c>
      <c r="V59" s="251"/>
      <c r="W59" s="251"/>
      <c r="X59" s="251"/>
      <c r="Y59" s="251"/>
      <c r="Z59" s="251"/>
      <c r="AA59" s="251"/>
      <c r="AB59" s="251"/>
      <c r="AC59" s="251"/>
      <c r="AD59" s="251"/>
      <c r="AE59" s="251"/>
      <c r="AF59" s="251"/>
      <c r="AG59" s="251"/>
      <c r="AH59" s="251"/>
      <c r="AI59" s="251"/>
      <c r="AJ59" s="251"/>
    </row>
    <row r="60" spans="1:36" x14ac:dyDescent="0.2">
      <c r="A60" s="9">
        <v>12081</v>
      </c>
      <c r="B60" s="243" t="s">
        <v>408</v>
      </c>
      <c r="C60" s="278"/>
      <c r="D60" s="278"/>
      <c r="E60" s="50">
        <v>2900</v>
      </c>
      <c r="F60" s="232"/>
      <c r="G60" s="232">
        <v>2900</v>
      </c>
      <c r="H60" s="278"/>
      <c r="I60" s="278">
        <v>2500</v>
      </c>
      <c r="J60" s="50"/>
      <c r="K60" s="232">
        <v>2600</v>
      </c>
      <c r="L60" s="232"/>
      <c r="M60" s="254">
        <v>2900</v>
      </c>
      <c r="N60" s="232"/>
      <c r="O60" s="232">
        <v>2800</v>
      </c>
      <c r="P60" s="232"/>
      <c r="Q60" s="254">
        <v>2800</v>
      </c>
      <c r="R60" s="254"/>
      <c r="S60" s="254">
        <v>2600</v>
      </c>
      <c r="T60" s="254"/>
      <c r="U60" s="254">
        <v>2600</v>
      </c>
      <c r="V60" s="251"/>
      <c r="W60" s="251"/>
      <c r="X60" s="251"/>
      <c r="Y60" s="251"/>
      <c r="Z60" s="251"/>
      <c r="AA60" s="251"/>
      <c r="AB60" s="251"/>
      <c r="AC60" s="251"/>
      <c r="AD60" s="251"/>
      <c r="AE60" s="251"/>
      <c r="AF60" s="251"/>
      <c r="AG60" s="251"/>
      <c r="AH60" s="251"/>
      <c r="AI60" s="251"/>
      <c r="AJ60" s="251"/>
    </row>
    <row r="61" spans="1:36" x14ac:dyDescent="0.2">
      <c r="A61" s="9">
        <v>12082</v>
      </c>
      <c r="B61" s="243" t="s">
        <v>409</v>
      </c>
      <c r="C61" s="278"/>
      <c r="D61" s="278"/>
      <c r="E61" s="50"/>
      <c r="F61" s="232">
        <v>2200</v>
      </c>
      <c r="G61" s="232"/>
      <c r="H61" s="278">
        <v>2200</v>
      </c>
      <c r="I61" s="278"/>
      <c r="J61" s="50"/>
      <c r="K61" s="232"/>
      <c r="L61" s="232">
        <v>2100</v>
      </c>
      <c r="M61" s="254"/>
      <c r="N61" s="232">
        <v>2200</v>
      </c>
      <c r="O61" s="232"/>
      <c r="P61" s="232">
        <v>2300</v>
      </c>
      <c r="Q61" s="254"/>
      <c r="R61" s="254">
        <v>2100</v>
      </c>
      <c r="S61" s="254"/>
      <c r="T61" s="254">
        <v>1900</v>
      </c>
      <c r="U61" s="254"/>
      <c r="V61" s="251"/>
      <c r="W61" s="251"/>
      <c r="X61" s="251"/>
      <c r="Y61" s="251"/>
      <c r="Z61" s="251"/>
      <c r="AA61" s="251"/>
      <c r="AB61" s="251"/>
      <c r="AC61" s="251"/>
      <c r="AD61" s="251"/>
      <c r="AE61" s="251"/>
      <c r="AF61" s="251"/>
      <c r="AG61" s="251"/>
      <c r="AH61" s="251"/>
      <c r="AI61" s="251"/>
      <c r="AJ61" s="251"/>
    </row>
    <row r="62" spans="1:36" x14ac:dyDescent="0.2">
      <c r="A62" s="9">
        <v>12083</v>
      </c>
      <c r="B62" s="243" t="s">
        <v>410</v>
      </c>
      <c r="C62" s="278"/>
      <c r="D62" s="278"/>
      <c r="E62" s="50">
        <v>44500</v>
      </c>
      <c r="F62" s="232">
        <v>46000</v>
      </c>
      <c r="G62" s="232">
        <v>40000</v>
      </c>
      <c r="H62" s="278">
        <v>36000</v>
      </c>
      <c r="I62" s="278">
        <v>36000</v>
      </c>
      <c r="J62" s="50">
        <v>39000</v>
      </c>
      <c r="K62" s="232">
        <v>35000</v>
      </c>
      <c r="L62" s="232">
        <v>35000</v>
      </c>
      <c r="M62" s="254">
        <v>36000</v>
      </c>
      <c r="N62" s="232">
        <v>36000</v>
      </c>
      <c r="O62" s="232">
        <v>37000</v>
      </c>
      <c r="P62" s="232">
        <v>37000</v>
      </c>
      <c r="Q62" s="254">
        <v>41000</v>
      </c>
      <c r="R62" s="254">
        <v>38000</v>
      </c>
      <c r="S62" s="254">
        <v>38000</v>
      </c>
      <c r="T62" s="254">
        <v>37000</v>
      </c>
      <c r="U62" s="254">
        <v>38000</v>
      </c>
      <c r="V62" s="251"/>
      <c r="W62" s="251"/>
      <c r="X62" s="251"/>
      <c r="Y62" s="251"/>
      <c r="Z62" s="251"/>
      <c r="AA62" s="251"/>
      <c r="AB62" s="251"/>
      <c r="AC62" s="251"/>
      <c r="AD62" s="251"/>
      <c r="AE62" s="251"/>
      <c r="AF62" s="251"/>
      <c r="AG62" s="251"/>
      <c r="AH62" s="251"/>
      <c r="AI62" s="251"/>
      <c r="AJ62" s="251"/>
    </row>
    <row r="63" spans="1:36" x14ac:dyDescent="0.2">
      <c r="A63" s="9">
        <v>12084</v>
      </c>
      <c r="B63" s="243" t="s">
        <v>411</v>
      </c>
      <c r="C63" s="278"/>
      <c r="D63" s="278"/>
      <c r="E63" s="50">
        <v>1700</v>
      </c>
      <c r="F63" s="232"/>
      <c r="G63" s="232"/>
      <c r="H63" s="278">
        <v>1400</v>
      </c>
      <c r="I63" s="278"/>
      <c r="J63" s="50">
        <v>1400</v>
      </c>
      <c r="K63" s="232"/>
      <c r="L63" s="232">
        <v>1600</v>
      </c>
      <c r="M63" s="254"/>
      <c r="N63" s="232">
        <v>1300</v>
      </c>
      <c r="O63" s="232"/>
      <c r="P63" s="232">
        <v>1600</v>
      </c>
      <c r="Q63" s="254"/>
      <c r="R63" s="254">
        <v>1900</v>
      </c>
      <c r="S63" s="254"/>
      <c r="T63" s="254">
        <v>1600</v>
      </c>
      <c r="U63" s="254"/>
      <c r="V63" s="251"/>
      <c r="W63" s="251"/>
      <c r="X63" s="251"/>
      <c r="Y63" s="251"/>
      <c r="Z63" s="251"/>
      <c r="AA63" s="251"/>
      <c r="AB63" s="251"/>
      <c r="AC63" s="251"/>
      <c r="AD63" s="251"/>
      <c r="AE63" s="251"/>
      <c r="AF63" s="251"/>
      <c r="AG63" s="251"/>
      <c r="AH63" s="251"/>
      <c r="AI63" s="251"/>
      <c r="AJ63" s="251"/>
    </row>
    <row r="64" spans="1:36" x14ac:dyDescent="0.2">
      <c r="A64" s="9">
        <v>12085</v>
      </c>
      <c r="B64" s="243" t="s">
        <v>412</v>
      </c>
      <c r="C64" s="278"/>
      <c r="D64" s="278"/>
      <c r="E64" s="50">
        <v>3500</v>
      </c>
      <c r="F64" s="232"/>
      <c r="G64" s="232">
        <v>3400</v>
      </c>
      <c r="H64" s="278"/>
      <c r="I64" s="278">
        <v>3000</v>
      </c>
      <c r="J64" s="50"/>
      <c r="K64" s="232">
        <v>2900</v>
      </c>
      <c r="L64" s="232"/>
      <c r="M64" s="254">
        <v>3100</v>
      </c>
      <c r="N64" s="232"/>
      <c r="O64" s="232">
        <v>3200</v>
      </c>
      <c r="P64" s="232"/>
      <c r="Q64" s="254">
        <v>3300</v>
      </c>
      <c r="R64" s="254"/>
      <c r="S64" s="254">
        <v>3000</v>
      </c>
      <c r="T64" s="254"/>
      <c r="U64" s="254">
        <v>2800</v>
      </c>
      <c r="V64" s="251"/>
      <c r="W64" s="251"/>
      <c r="X64" s="251"/>
      <c r="Y64" s="251"/>
      <c r="Z64" s="251"/>
      <c r="AA64" s="251"/>
      <c r="AB64" s="251"/>
      <c r="AC64" s="251"/>
      <c r="AD64" s="251"/>
      <c r="AE64" s="251"/>
      <c r="AF64" s="251"/>
      <c r="AG64" s="251"/>
      <c r="AH64" s="251"/>
      <c r="AI64" s="251"/>
      <c r="AJ64" s="251"/>
    </row>
    <row r="65" spans="1:36" x14ac:dyDescent="0.2">
      <c r="A65" s="9">
        <v>12086</v>
      </c>
      <c r="B65" s="245" t="s">
        <v>413</v>
      </c>
      <c r="C65" s="279"/>
      <c r="D65" s="279"/>
      <c r="E65" s="279"/>
      <c r="F65" s="232">
        <v>4800</v>
      </c>
      <c r="G65" s="232"/>
      <c r="H65" s="279">
        <v>5100</v>
      </c>
      <c r="I65" s="279"/>
      <c r="J65" s="279">
        <v>4400</v>
      </c>
      <c r="K65" s="232"/>
      <c r="L65" s="232">
        <v>4500</v>
      </c>
      <c r="M65">
        <v>4200</v>
      </c>
      <c r="N65" s="232">
        <v>4500</v>
      </c>
      <c r="O65" s="51"/>
      <c r="P65" s="232">
        <v>4900</v>
      </c>
      <c r="Q65" s="232">
        <v>4900</v>
      </c>
      <c r="R65" s="232">
        <v>5000</v>
      </c>
      <c r="S65" s="232">
        <v>4800</v>
      </c>
      <c r="T65" s="232">
        <v>5000</v>
      </c>
      <c r="U65" s="232">
        <v>5300</v>
      </c>
      <c r="V65" s="51"/>
      <c r="W65" s="280"/>
      <c r="X65" s="51"/>
      <c r="Y65" s="281"/>
      <c r="Z65" s="51"/>
      <c r="AA65" s="51"/>
      <c r="AB65" s="51"/>
      <c r="AC65" s="51"/>
      <c r="AD65" s="51"/>
      <c r="AE65" s="51"/>
      <c r="AF65" s="51"/>
      <c r="AG65" s="51"/>
      <c r="AH65" s="51"/>
      <c r="AI65" s="51"/>
      <c r="AJ65" s="51"/>
    </row>
    <row r="66" spans="1:36" x14ac:dyDescent="0.2">
      <c r="A66" s="9">
        <v>12087</v>
      </c>
      <c r="B66" s="245" t="s">
        <v>414</v>
      </c>
      <c r="C66" s="279"/>
      <c r="D66" s="279"/>
      <c r="E66" s="279">
        <v>2500</v>
      </c>
      <c r="F66" s="232">
        <v>2700</v>
      </c>
      <c r="G66" s="232">
        <v>2500</v>
      </c>
      <c r="H66" s="279">
        <v>2500</v>
      </c>
      <c r="I66" s="279">
        <v>2400</v>
      </c>
      <c r="J66" s="279">
        <v>2500</v>
      </c>
      <c r="K66" s="232">
        <v>2400</v>
      </c>
      <c r="L66" s="232">
        <v>2200</v>
      </c>
      <c r="M66">
        <v>2400</v>
      </c>
      <c r="N66" s="232">
        <v>2300</v>
      </c>
      <c r="O66" s="232">
        <v>2400</v>
      </c>
      <c r="P66" s="232">
        <v>2600</v>
      </c>
      <c r="Q66" s="232">
        <v>2300</v>
      </c>
      <c r="R66" s="51"/>
      <c r="S66" s="232">
        <v>2600</v>
      </c>
      <c r="T66" s="232">
        <v>2300</v>
      </c>
      <c r="U66" s="232">
        <v>2700</v>
      </c>
      <c r="V66" s="51"/>
      <c r="W66" s="282"/>
      <c r="X66" s="283"/>
      <c r="Y66" s="283"/>
      <c r="Z66" s="283"/>
      <c r="AA66" s="51"/>
      <c r="AB66" s="51"/>
      <c r="AC66" s="51"/>
      <c r="AD66" s="51"/>
      <c r="AE66" s="51"/>
      <c r="AF66" s="51"/>
      <c r="AG66" s="51"/>
      <c r="AH66" s="51"/>
      <c r="AI66" s="51"/>
      <c r="AJ66" s="51"/>
    </row>
    <row r="67" spans="1:36" x14ac:dyDescent="0.2">
      <c r="A67" s="9">
        <v>12088</v>
      </c>
      <c r="B67" s="245" t="s">
        <v>415</v>
      </c>
      <c r="C67" s="279"/>
      <c r="D67" s="279"/>
      <c r="E67" s="279"/>
      <c r="F67" s="232"/>
      <c r="G67" s="232">
        <v>1500</v>
      </c>
      <c r="H67" s="279">
        <v>1200</v>
      </c>
      <c r="I67" s="279">
        <v>1400</v>
      </c>
      <c r="J67" s="279">
        <v>950</v>
      </c>
      <c r="K67" s="232">
        <v>1100</v>
      </c>
      <c r="L67" s="232">
        <v>900</v>
      </c>
      <c r="M67">
        <v>960</v>
      </c>
      <c r="N67" s="51">
        <v>1100</v>
      </c>
      <c r="O67" s="232">
        <v>1000</v>
      </c>
      <c r="P67" s="51"/>
      <c r="Q67" s="232">
        <v>1100</v>
      </c>
      <c r="R67" s="51">
        <v>1000</v>
      </c>
      <c r="S67" s="232">
        <v>1400</v>
      </c>
      <c r="T67" s="51"/>
      <c r="U67" s="232">
        <v>1400</v>
      </c>
      <c r="V67" s="51"/>
      <c r="W67" s="282"/>
      <c r="X67" s="283"/>
      <c r="Y67" s="283"/>
      <c r="Z67" s="283"/>
      <c r="AA67" s="51"/>
      <c r="AB67" s="51"/>
      <c r="AC67" s="51"/>
      <c r="AD67" s="51"/>
      <c r="AE67" s="51"/>
      <c r="AF67" s="51"/>
      <c r="AG67" s="51"/>
      <c r="AH67" s="51"/>
      <c r="AI67" s="51"/>
      <c r="AJ67" s="51"/>
    </row>
    <row r="68" spans="1:36" x14ac:dyDescent="0.2">
      <c r="A68" s="9">
        <v>12089</v>
      </c>
      <c r="B68" s="245" t="s">
        <v>416</v>
      </c>
      <c r="C68" s="279"/>
      <c r="D68" s="279"/>
      <c r="E68" s="279"/>
      <c r="F68" s="232"/>
      <c r="G68" s="232"/>
      <c r="H68" s="279">
        <v>200</v>
      </c>
      <c r="I68" s="279"/>
      <c r="J68" s="279"/>
      <c r="K68" s="232">
        <v>140</v>
      </c>
      <c r="L68" s="232">
        <v>460</v>
      </c>
      <c r="M68">
        <v>460</v>
      </c>
      <c r="N68" s="51"/>
      <c r="O68" s="232">
        <v>490</v>
      </c>
      <c r="P68" s="51"/>
      <c r="Q68" s="232">
        <v>510</v>
      </c>
      <c r="R68" s="51"/>
      <c r="S68" s="232">
        <v>480</v>
      </c>
      <c r="T68" s="51"/>
      <c r="U68" s="51"/>
      <c r="V68" s="51"/>
      <c r="W68" s="282"/>
      <c r="X68" s="284"/>
      <c r="Y68" s="284"/>
      <c r="Z68" s="284"/>
      <c r="AA68" s="51"/>
      <c r="AB68" s="51"/>
      <c r="AC68" s="51"/>
      <c r="AD68" s="51"/>
      <c r="AE68" s="51"/>
      <c r="AF68" s="51"/>
      <c r="AG68" s="51"/>
      <c r="AH68" s="51"/>
      <c r="AI68" s="51"/>
      <c r="AJ68" s="51"/>
    </row>
    <row r="69" spans="1:36" x14ac:dyDescent="0.2">
      <c r="A69" s="9">
        <v>12090</v>
      </c>
      <c r="B69" s="245" t="s">
        <v>417</v>
      </c>
      <c r="C69" s="279"/>
      <c r="D69" s="279"/>
      <c r="E69" s="279"/>
      <c r="F69" s="232">
        <v>1500</v>
      </c>
      <c r="G69" s="232">
        <v>1500</v>
      </c>
      <c r="H69" s="279">
        <v>1500</v>
      </c>
      <c r="I69" s="279"/>
      <c r="J69" s="279">
        <v>1500</v>
      </c>
      <c r="K69" s="232">
        <v>1400</v>
      </c>
      <c r="L69" s="232">
        <v>1200</v>
      </c>
      <c r="M69">
        <v>1300</v>
      </c>
      <c r="N69" s="232">
        <v>1100</v>
      </c>
      <c r="O69" s="232">
        <v>2000</v>
      </c>
      <c r="P69" s="232">
        <v>1400</v>
      </c>
      <c r="Q69" s="232">
        <v>1400</v>
      </c>
      <c r="R69" s="232">
        <v>1300</v>
      </c>
      <c r="S69" s="232">
        <v>1400</v>
      </c>
      <c r="T69" s="232">
        <v>1400</v>
      </c>
      <c r="U69" s="232">
        <v>1400</v>
      </c>
      <c r="V69" s="51"/>
      <c r="W69" s="284"/>
      <c r="X69" s="283"/>
      <c r="Y69" s="283"/>
      <c r="Z69" s="283"/>
      <c r="AA69" s="51"/>
      <c r="AB69" s="51"/>
      <c r="AC69" s="51"/>
      <c r="AD69" s="51"/>
      <c r="AE69" s="51"/>
      <c r="AF69" s="51"/>
      <c r="AG69" s="51"/>
      <c r="AH69" s="51"/>
      <c r="AI69" s="51"/>
      <c r="AJ69" s="51"/>
    </row>
    <row r="70" spans="1:36" x14ac:dyDescent="0.2">
      <c r="A70" s="9">
        <v>12091</v>
      </c>
      <c r="B70" s="245" t="s">
        <v>418</v>
      </c>
      <c r="C70" s="279"/>
      <c r="D70" s="279"/>
      <c r="E70" s="279"/>
      <c r="F70" s="232"/>
      <c r="G70" s="232">
        <v>610</v>
      </c>
      <c r="H70" s="279">
        <v>400</v>
      </c>
      <c r="I70" s="279"/>
      <c r="J70" s="279"/>
      <c r="K70" s="232">
        <v>480</v>
      </c>
      <c r="L70" s="232">
        <v>460</v>
      </c>
      <c r="M70">
        <v>550</v>
      </c>
      <c r="N70" s="232">
        <v>400</v>
      </c>
      <c r="O70" s="51"/>
      <c r="P70" s="232">
        <v>480</v>
      </c>
      <c r="Q70" s="51"/>
      <c r="R70" s="232">
        <v>460</v>
      </c>
      <c r="S70" s="51"/>
      <c r="T70" s="232">
        <v>470</v>
      </c>
      <c r="U70" s="51"/>
      <c r="V70" s="51"/>
      <c r="W70" s="282"/>
      <c r="X70" s="283"/>
      <c r="Y70" s="283"/>
      <c r="Z70" s="283"/>
      <c r="AA70" s="51"/>
      <c r="AB70" s="51"/>
      <c r="AC70" s="51"/>
      <c r="AD70" s="51"/>
      <c r="AE70" s="51"/>
      <c r="AF70" s="51"/>
      <c r="AG70" s="51"/>
      <c r="AH70" s="51"/>
      <c r="AI70" s="51"/>
      <c r="AJ70" s="51"/>
    </row>
    <row r="71" spans="1:36" x14ac:dyDescent="0.2">
      <c r="A71" s="9">
        <v>12092</v>
      </c>
      <c r="B71" s="245" t="s">
        <v>419</v>
      </c>
      <c r="C71" s="279"/>
      <c r="D71" s="279"/>
      <c r="E71" s="279"/>
      <c r="F71" s="232">
        <v>560</v>
      </c>
      <c r="G71" s="232"/>
      <c r="H71" s="279">
        <v>500</v>
      </c>
      <c r="I71" s="279"/>
      <c r="J71" s="279">
        <v>490</v>
      </c>
      <c r="K71" s="232"/>
      <c r="L71" s="232">
        <v>510</v>
      </c>
      <c r="M71">
        <v>550</v>
      </c>
      <c r="N71" s="232">
        <v>500</v>
      </c>
      <c r="O71" s="51"/>
      <c r="P71" s="232">
        <v>600</v>
      </c>
      <c r="Q71" s="51"/>
      <c r="R71" s="232">
        <v>490</v>
      </c>
      <c r="S71" s="51"/>
      <c r="T71" s="232">
        <v>560</v>
      </c>
      <c r="U71" s="51"/>
      <c r="V71" s="51"/>
      <c r="W71" s="282"/>
      <c r="X71" s="283"/>
      <c r="Y71" s="283"/>
      <c r="Z71" s="283"/>
      <c r="AA71" s="51"/>
      <c r="AB71" s="51"/>
      <c r="AC71" s="51"/>
      <c r="AD71" s="51"/>
      <c r="AE71" s="51"/>
      <c r="AF71" s="51"/>
      <c r="AG71" s="51"/>
      <c r="AH71" s="51"/>
      <c r="AI71" s="51"/>
      <c r="AJ71" s="51"/>
    </row>
    <row r="72" spans="1:36" x14ac:dyDescent="0.2">
      <c r="A72" s="9">
        <v>12093</v>
      </c>
      <c r="B72" s="245" t="s">
        <v>420</v>
      </c>
      <c r="C72" s="279"/>
      <c r="D72" s="279"/>
      <c r="E72" s="279">
        <v>2800</v>
      </c>
      <c r="F72" s="232">
        <v>2600</v>
      </c>
      <c r="G72" s="232">
        <v>2500</v>
      </c>
      <c r="H72" s="279">
        <v>2600</v>
      </c>
      <c r="I72" s="279"/>
      <c r="J72" s="279">
        <v>2600</v>
      </c>
      <c r="K72" s="232">
        <v>2900</v>
      </c>
      <c r="L72" s="232">
        <v>2400</v>
      </c>
      <c r="M72">
        <v>2400</v>
      </c>
      <c r="N72" s="232">
        <v>2600</v>
      </c>
      <c r="O72" s="232">
        <v>2500</v>
      </c>
      <c r="P72" s="232">
        <v>2700</v>
      </c>
      <c r="Q72" s="232">
        <v>2600</v>
      </c>
      <c r="R72" s="232">
        <v>2700</v>
      </c>
      <c r="S72" s="232">
        <v>2700</v>
      </c>
      <c r="T72" s="232">
        <v>2800</v>
      </c>
      <c r="U72" s="232">
        <v>3000</v>
      </c>
      <c r="V72" s="51"/>
      <c r="W72" s="282"/>
      <c r="X72" s="283"/>
      <c r="Y72" s="283"/>
      <c r="Z72" s="283"/>
      <c r="AA72" s="51"/>
      <c r="AB72" s="51"/>
      <c r="AC72" s="51"/>
      <c r="AD72" s="51"/>
      <c r="AE72" s="51"/>
      <c r="AF72" s="51"/>
      <c r="AG72" s="51"/>
      <c r="AH72" s="51"/>
      <c r="AI72" s="51"/>
      <c r="AJ72" s="51"/>
    </row>
    <row r="73" spans="1:36" x14ac:dyDescent="0.2">
      <c r="A73" s="9">
        <v>12094</v>
      </c>
      <c r="B73" s="245" t="s">
        <v>421</v>
      </c>
      <c r="C73" s="279"/>
      <c r="D73" s="279"/>
      <c r="E73" s="279">
        <v>20500</v>
      </c>
      <c r="F73" s="232">
        <v>20000</v>
      </c>
      <c r="G73" s="232"/>
      <c r="H73" s="279">
        <v>18000</v>
      </c>
      <c r="I73" s="279"/>
      <c r="J73" s="279">
        <v>17000</v>
      </c>
      <c r="K73" s="232">
        <v>18000</v>
      </c>
      <c r="L73" s="232">
        <v>16000</v>
      </c>
      <c r="M73">
        <v>15000</v>
      </c>
      <c r="N73" s="51"/>
      <c r="O73" s="232">
        <v>16000</v>
      </c>
      <c r="P73" s="232">
        <v>16000</v>
      </c>
      <c r="Q73" s="232">
        <v>16000</v>
      </c>
      <c r="R73" s="232">
        <v>18000</v>
      </c>
      <c r="S73" s="232">
        <v>17000</v>
      </c>
      <c r="T73" s="232">
        <v>17000</v>
      </c>
      <c r="U73" s="232">
        <v>16000</v>
      </c>
      <c r="V73" s="51"/>
      <c r="W73" s="282"/>
      <c r="X73" s="283"/>
      <c r="Y73" s="283"/>
      <c r="Z73" s="283"/>
      <c r="AA73" s="51"/>
      <c r="AB73" s="51"/>
      <c r="AC73" s="51"/>
      <c r="AD73" s="51"/>
      <c r="AE73" s="51"/>
      <c r="AF73" s="51"/>
      <c r="AG73" s="51"/>
      <c r="AH73" s="51"/>
      <c r="AI73" s="51"/>
      <c r="AJ73" s="51"/>
    </row>
    <row r="74" spans="1:36" x14ac:dyDescent="0.2">
      <c r="A74" s="9">
        <v>12095</v>
      </c>
      <c r="B74" s="245" t="s">
        <v>422</v>
      </c>
      <c r="C74" s="279"/>
      <c r="D74" s="279"/>
      <c r="E74" s="279"/>
      <c r="F74" s="232">
        <v>760</v>
      </c>
      <c r="G74" s="232"/>
      <c r="H74" s="279">
        <v>700</v>
      </c>
      <c r="I74" s="279"/>
      <c r="J74" s="279">
        <v>820</v>
      </c>
      <c r="K74" s="232"/>
      <c r="L74" s="232">
        <v>610</v>
      </c>
      <c r="M74">
        <v>650</v>
      </c>
      <c r="N74" s="232">
        <v>610</v>
      </c>
      <c r="O74" s="51"/>
      <c r="P74" s="232">
        <v>620</v>
      </c>
      <c r="Q74" s="51"/>
      <c r="R74" s="232">
        <v>640</v>
      </c>
      <c r="S74" s="51"/>
      <c r="T74" s="232">
        <v>720</v>
      </c>
      <c r="U74" s="51"/>
      <c r="V74" s="51"/>
      <c r="W74" s="282"/>
      <c r="X74" s="283"/>
      <c r="Y74" s="283"/>
      <c r="Z74" s="283"/>
      <c r="AA74" s="51"/>
      <c r="AB74" s="51"/>
      <c r="AC74" s="51"/>
      <c r="AD74" s="51"/>
      <c r="AE74" s="51"/>
      <c r="AF74" s="51"/>
      <c r="AG74" s="51"/>
      <c r="AH74" s="51"/>
      <c r="AI74" s="51"/>
      <c r="AJ74" s="51"/>
    </row>
    <row r="75" spans="1:36" x14ac:dyDescent="0.2">
      <c r="A75" s="9">
        <v>12096</v>
      </c>
      <c r="B75" s="245" t="s">
        <v>423</v>
      </c>
      <c r="C75" s="279"/>
      <c r="D75" s="279"/>
      <c r="E75" s="279"/>
      <c r="F75" s="232"/>
      <c r="G75" s="232">
        <v>1500</v>
      </c>
      <c r="H75" s="279">
        <v>1400</v>
      </c>
      <c r="I75" s="279">
        <v>1500</v>
      </c>
      <c r="J75" s="279"/>
      <c r="K75" s="232">
        <v>1400</v>
      </c>
      <c r="L75" s="232">
        <v>1500</v>
      </c>
      <c r="M75">
        <v>1700</v>
      </c>
      <c r="N75" s="232">
        <v>1600</v>
      </c>
      <c r="O75" s="51"/>
      <c r="P75" s="232">
        <v>1300</v>
      </c>
      <c r="Q75" s="51"/>
      <c r="R75" s="232">
        <v>1500</v>
      </c>
      <c r="S75" s="51"/>
      <c r="T75" s="232">
        <v>1800</v>
      </c>
      <c r="U75" s="51"/>
      <c r="V75" s="51"/>
      <c r="W75" s="282"/>
      <c r="X75" s="283"/>
      <c r="Y75" s="283"/>
      <c r="Z75" s="283"/>
      <c r="AA75" s="51"/>
      <c r="AB75" s="51"/>
      <c r="AC75" s="51"/>
      <c r="AD75" s="51"/>
      <c r="AE75" s="51"/>
      <c r="AF75" s="51"/>
      <c r="AG75" s="51"/>
      <c r="AH75" s="51"/>
      <c r="AI75" s="51"/>
      <c r="AJ75" s="51"/>
    </row>
    <row r="76" spans="1:36" x14ac:dyDescent="0.2">
      <c r="A76" s="9">
        <v>12097</v>
      </c>
      <c r="B76" s="245" t="s">
        <v>424</v>
      </c>
      <c r="C76" s="279"/>
      <c r="D76" s="279"/>
      <c r="E76" s="279"/>
      <c r="F76" s="232">
        <v>1400</v>
      </c>
      <c r="G76" s="232"/>
      <c r="H76" s="279">
        <v>1620</v>
      </c>
      <c r="I76" s="279"/>
      <c r="J76" s="279">
        <v>1500</v>
      </c>
      <c r="K76" s="232">
        <v>2600</v>
      </c>
      <c r="L76" s="232">
        <v>2000</v>
      </c>
      <c r="M76">
        <v>2300</v>
      </c>
      <c r="N76" s="51"/>
      <c r="O76" s="232">
        <v>1900</v>
      </c>
      <c r="P76" s="51"/>
      <c r="Q76" s="232">
        <v>1400</v>
      </c>
      <c r="R76" s="51"/>
      <c r="S76" s="232">
        <v>1600</v>
      </c>
      <c r="T76" s="51"/>
      <c r="U76" s="232">
        <v>2000</v>
      </c>
      <c r="V76" s="51"/>
      <c r="W76" s="282"/>
      <c r="X76" s="283"/>
      <c r="Y76" s="283"/>
      <c r="Z76" s="283"/>
      <c r="AA76" s="51"/>
      <c r="AB76" s="51"/>
      <c r="AC76" s="51"/>
      <c r="AD76" s="51"/>
      <c r="AE76" s="51"/>
      <c r="AF76" s="51"/>
      <c r="AG76" s="51"/>
      <c r="AH76" s="51"/>
      <c r="AI76" s="51"/>
      <c r="AJ76" s="51"/>
    </row>
    <row r="77" spans="1:36" x14ac:dyDescent="0.2">
      <c r="A77" s="9">
        <v>12098</v>
      </c>
      <c r="B77" s="245" t="s">
        <v>425</v>
      </c>
      <c r="C77" s="279"/>
      <c r="D77" s="279"/>
      <c r="E77" s="279">
        <v>700</v>
      </c>
      <c r="F77" s="232">
        <v>730</v>
      </c>
      <c r="G77" s="232"/>
      <c r="H77" s="279">
        <v>810</v>
      </c>
      <c r="I77" s="279"/>
      <c r="J77" s="279">
        <v>760</v>
      </c>
      <c r="K77" s="232"/>
      <c r="L77" s="232">
        <v>730</v>
      </c>
      <c r="M77">
        <v>750</v>
      </c>
      <c r="N77" s="232">
        <v>610</v>
      </c>
      <c r="O77" s="51"/>
      <c r="P77" s="232">
        <v>560</v>
      </c>
      <c r="Q77" s="51"/>
      <c r="R77" s="232">
        <v>550</v>
      </c>
      <c r="S77" s="51"/>
      <c r="T77" s="232">
        <v>530</v>
      </c>
      <c r="U77" s="51"/>
      <c r="V77" s="51"/>
      <c r="W77" s="282"/>
      <c r="X77" s="283"/>
      <c r="Y77" s="285"/>
      <c r="Z77" s="283"/>
      <c r="AA77" s="51"/>
      <c r="AB77" s="51"/>
      <c r="AC77" s="51"/>
      <c r="AD77" s="51"/>
      <c r="AE77" s="51"/>
      <c r="AF77" s="51"/>
      <c r="AG77" s="51"/>
      <c r="AH77" s="51"/>
      <c r="AI77" s="51"/>
      <c r="AJ77" s="51"/>
    </row>
    <row r="78" spans="1:36" x14ac:dyDescent="0.2">
      <c r="A78" s="9">
        <v>12099</v>
      </c>
      <c r="B78" s="245" t="s">
        <v>426</v>
      </c>
      <c r="C78" s="279"/>
      <c r="D78" s="279"/>
      <c r="E78" s="279">
        <v>2500</v>
      </c>
      <c r="F78" s="232">
        <v>2600</v>
      </c>
      <c r="G78" s="232">
        <v>2600</v>
      </c>
      <c r="H78" s="279">
        <v>2600</v>
      </c>
      <c r="I78" s="279"/>
      <c r="J78" s="279">
        <v>2600</v>
      </c>
      <c r="K78" s="232">
        <v>2400</v>
      </c>
      <c r="L78" s="232">
        <v>2300</v>
      </c>
      <c r="M78">
        <v>2700</v>
      </c>
      <c r="N78" s="232">
        <v>2700</v>
      </c>
      <c r="O78" s="232">
        <v>2600</v>
      </c>
      <c r="P78" s="232">
        <v>2600</v>
      </c>
      <c r="Q78" s="232">
        <v>2600</v>
      </c>
      <c r="R78" s="232">
        <v>2500</v>
      </c>
      <c r="S78" s="232">
        <v>2500</v>
      </c>
      <c r="T78" s="232">
        <v>2200</v>
      </c>
      <c r="U78" s="51"/>
      <c r="V78" s="51"/>
      <c r="W78" s="280"/>
      <c r="X78" s="51"/>
      <c r="Y78" s="281"/>
      <c r="Z78" s="51"/>
      <c r="AA78" s="51"/>
      <c r="AB78" s="51"/>
      <c r="AC78" s="51"/>
      <c r="AD78" s="51"/>
      <c r="AE78" s="51"/>
      <c r="AF78" s="51"/>
      <c r="AG78" s="51"/>
      <c r="AH78" s="51"/>
      <c r="AI78" s="51"/>
      <c r="AJ78" s="51"/>
    </row>
    <row r="79" spans="1:36" x14ac:dyDescent="0.2">
      <c r="A79" s="9">
        <v>12100</v>
      </c>
      <c r="B79" s="246" t="s">
        <v>427</v>
      </c>
      <c r="C79" s="246"/>
      <c r="D79" s="246"/>
      <c r="E79" s="246"/>
      <c r="F79" s="286"/>
      <c r="G79" s="287"/>
      <c r="H79" s="246">
        <v>1000</v>
      </c>
      <c r="I79" s="246"/>
      <c r="J79" s="246">
        <v>890</v>
      </c>
      <c r="K79" s="286"/>
      <c r="L79" s="287">
        <v>840</v>
      </c>
      <c r="M79" s="287"/>
      <c r="N79" s="287">
        <v>920</v>
      </c>
      <c r="O79" s="286"/>
      <c r="P79" s="287">
        <v>1200</v>
      </c>
      <c r="Q79" s="286"/>
      <c r="R79" s="287">
        <v>940</v>
      </c>
      <c r="S79" s="286"/>
      <c r="T79" s="287">
        <v>950</v>
      </c>
      <c r="U79" s="286"/>
      <c r="V79" s="51"/>
      <c r="W79" s="51"/>
      <c r="X79" s="51"/>
      <c r="Y79" s="51"/>
      <c r="Z79" s="51"/>
      <c r="AA79" s="51"/>
      <c r="AB79" s="51"/>
      <c r="AC79" s="51"/>
      <c r="AD79" s="51"/>
      <c r="AE79" s="51"/>
      <c r="AF79" s="51"/>
      <c r="AG79" s="51"/>
      <c r="AH79" s="51"/>
      <c r="AI79" s="51"/>
      <c r="AJ79" s="51"/>
    </row>
    <row r="80" spans="1:36" x14ac:dyDescent="0.2">
      <c r="A80" s="9">
        <v>12101</v>
      </c>
      <c r="B80" s="246" t="s">
        <v>428</v>
      </c>
      <c r="C80" s="246"/>
      <c r="D80" s="246"/>
      <c r="E80" s="246"/>
      <c r="F80" s="287">
        <v>2100</v>
      </c>
      <c r="G80" s="287">
        <v>2000</v>
      </c>
      <c r="H80" s="246">
        <v>2100</v>
      </c>
      <c r="I80" s="246">
        <v>1900</v>
      </c>
      <c r="J80" s="246">
        <v>1800</v>
      </c>
      <c r="K80" s="287">
        <v>1800</v>
      </c>
      <c r="L80" s="287">
        <v>1700</v>
      </c>
      <c r="M80" s="287">
        <v>1800</v>
      </c>
      <c r="N80" s="287">
        <v>2000</v>
      </c>
      <c r="O80" s="287">
        <v>2000</v>
      </c>
      <c r="P80" s="287">
        <v>2000</v>
      </c>
      <c r="Q80" s="287">
        <v>1900</v>
      </c>
      <c r="R80" s="287">
        <v>2100</v>
      </c>
      <c r="S80" s="287">
        <v>2100</v>
      </c>
      <c r="T80" s="287">
        <v>2000</v>
      </c>
      <c r="U80" s="287">
        <v>2100</v>
      </c>
      <c r="V80" s="51"/>
      <c r="W80" s="51"/>
      <c r="X80" s="51"/>
      <c r="Y80" s="51"/>
      <c r="Z80" s="51"/>
      <c r="AA80" s="51"/>
      <c r="AB80" s="51"/>
      <c r="AC80" s="51"/>
      <c r="AD80" s="51"/>
      <c r="AE80" s="51"/>
      <c r="AF80" s="51"/>
      <c r="AG80" s="51"/>
      <c r="AH80" s="51"/>
      <c r="AI80" s="51"/>
      <c r="AJ80" s="51"/>
    </row>
    <row r="81" spans="1:36" x14ac:dyDescent="0.2">
      <c r="A81" s="9">
        <v>12102</v>
      </c>
      <c r="B81" s="246" t="s">
        <v>429</v>
      </c>
      <c r="C81" s="246"/>
      <c r="D81" s="246"/>
      <c r="E81" s="246"/>
      <c r="F81" s="286"/>
      <c r="G81" s="287"/>
      <c r="H81" s="246">
        <v>470</v>
      </c>
      <c r="I81" s="246"/>
      <c r="J81" s="246">
        <v>460</v>
      </c>
      <c r="K81" s="286"/>
      <c r="L81" s="287">
        <v>530</v>
      </c>
      <c r="M81" s="287">
        <v>505</v>
      </c>
      <c r="N81" s="287">
        <v>480</v>
      </c>
      <c r="O81" s="286"/>
      <c r="P81" s="287">
        <v>530</v>
      </c>
      <c r="Q81" s="286"/>
      <c r="R81" s="287">
        <v>570</v>
      </c>
      <c r="S81" s="286"/>
      <c r="T81" s="287">
        <v>620</v>
      </c>
      <c r="U81" s="286"/>
      <c r="V81" s="51"/>
      <c r="W81" s="51"/>
      <c r="X81" s="51"/>
      <c r="Y81" s="51"/>
      <c r="Z81" s="51"/>
      <c r="AA81" s="51"/>
      <c r="AB81" s="51"/>
      <c r="AC81" s="51"/>
      <c r="AD81" s="51"/>
      <c r="AE81" s="51"/>
      <c r="AF81" s="51"/>
      <c r="AG81" s="51"/>
      <c r="AH81" s="51"/>
      <c r="AI81" s="51"/>
      <c r="AJ81" s="51"/>
    </row>
    <row r="82" spans="1:36" x14ac:dyDescent="0.2">
      <c r="A82" s="9">
        <v>12103</v>
      </c>
      <c r="B82" s="246" t="s">
        <v>429</v>
      </c>
      <c r="C82" s="246"/>
      <c r="D82" s="246"/>
      <c r="E82" s="246"/>
      <c r="F82" s="287"/>
      <c r="G82" s="286">
        <v>580</v>
      </c>
      <c r="H82" s="246"/>
      <c r="I82" s="246">
        <v>510</v>
      </c>
      <c r="J82" s="246"/>
      <c r="K82" s="287">
        <v>550</v>
      </c>
      <c r="L82" s="286"/>
      <c r="M82" s="287">
        <v>520</v>
      </c>
      <c r="N82" s="288"/>
      <c r="O82" s="287">
        <v>530</v>
      </c>
      <c r="P82" s="286"/>
      <c r="Q82" s="287">
        <v>600</v>
      </c>
      <c r="R82" s="286"/>
      <c r="S82" s="287">
        <v>580</v>
      </c>
      <c r="T82" s="286"/>
      <c r="U82" s="287">
        <v>590</v>
      </c>
      <c r="V82" s="51"/>
      <c r="W82" s="51"/>
      <c r="X82" s="51"/>
      <c r="Y82" s="51"/>
      <c r="Z82" s="51"/>
      <c r="AA82" s="51"/>
      <c r="AB82" s="51"/>
      <c r="AC82" s="51"/>
      <c r="AD82" s="51"/>
      <c r="AE82" s="51"/>
      <c r="AF82" s="51"/>
      <c r="AG82" s="51"/>
      <c r="AH82" s="51"/>
      <c r="AI82" s="51"/>
      <c r="AJ82" s="51"/>
    </row>
    <row r="83" spans="1:36" x14ac:dyDescent="0.2">
      <c r="A83" s="9">
        <v>12104</v>
      </c>
      <c r="B83" s="246" t="s">
        <v>430</v>
      </c>
      <c r="C83" s="246"/>
      <c r="D83" s="246"/>
      <c r="E83" s="246"/>
      <c r="F83" s="287">
        <v>810</v>
      </c>
      <c r="G83" s="287">
        <v>760</v>
      </c>
      <c r="H83" s="246">
        <v>760</v>
      </c>
      <c r="I83" s="246">
        <v>680</v>
      </c>
      <c r="J83" s="246">
        <v>650</v>
      </c>
      <c r="K83" s="287">
        <v>790</v>
      </c>
      <c r="L83" s="287">
        <v>730</v>
      </c>
      <c r="M83" s="287">
        <v>1000</v>
      </c>
      <c r="N83" s="287">
        <v>810</v>
      </c>
      <c r="O83" s="287">
        <v>860</v>
      </c>
      <c r="P83" s="287">
        <v>850</v>
      </c>
      <c r="Q83" s="287">
        <v>760</v>
      </c>
      <c r="R83" s="287">
        <v>820</v>
      </c>
      <c r="S83" s="287">
        <v>750</v>
      </c>
      <c r="T83" s="287">
        <v>810</v>
      </c>
      <c r="U83" s="287">
        <v>820</v>
      </c>
      <c r="V83" s="51"/>
      <c r="W83" s="51"/>
      <c r="X83" s="51"/>
      <c r="Y83" s="51"/>
      <c r="Z83" s="51"/>
      <c r="AA83" s="51"/>
      <c r="AB83" s="51"/>
      <c r="AC83" s="51"/>
      <c r="AD83" s="51"/>
      <c r="AE83" s="51"/>
      <c r="AF83" s="51"/>
      <c r="AG83" s="51"/>
      <c r="AH83" s="51"/>
      <c r="AI83" s="51"/>
      <c r="AJ83" s="51"/>
    </row>
    <row r="84" spans="1:36" x14ac:dyDescent="0.2">
      <c r="A84" s="9">
        <v>12105</v>
      </c>
      <c r="B84" s="246" t="s">
        <v>431</v>
      </c>
      <c r="C84" s="246"/>
      <c r="D84" s="246"/>
      <c r="E84" s="246"/>
      <c r="F84" s="287">
        <v>30000</v>
      </c>
      <c r="G84" s="287">
        <v>28000</v>
      </c>
      <c r="H84" s="246">
        <v>27000</v>
      </c>
      <c r="I84" s="246">
        <v>28000</v>
      </c>
      <c r="J84" s="246">
        <v>28000</v>
      </c>
      <c r="K84" s="287">
        <v>26000</v>
      </c>
      <c r="L84" s="287">
        <v>25000</v>
      </c>
      <c r="M84" s="287">
        <v>25000</v>
      </c>
      <c r="N84" s="287">
        <v>23000</v>
      </c>
      <c r="O84" s="287">
        <v>24000</v>
      </c>
      <c r="P84" s="287">
        <v>26000</v>
      </c>
      <c r="Q84" s="287">
        <v>26000</v>
      </c>
      <c r="R84" s="287">
        <v>26000</v>
      </c>
      <c r="S84" s="287">
        <v>23000</v>
      </c>
      <c r="T84" s="287">
        <v>24000</v>
      </c>
      <c r="U84" s="287">
        <v>26000</v>
      </c>
      <c r="V84" s="51"/>
      <c r="W84" s="51"/>
      <c r="X84" s="51"/>
      <c r="Y84" s="51"/>
      <c r="Z84" s="51"/>
      <c r="AA84" s="51"/>
      <c r="AB84" s="51"/>
      <c r="AC84" s="51"/>
      <c r="AD84" s="51"/>
      <c r="AE84" s="51"/>
      <c r="AF84" s="51"/>
      <c r="AG84" s="51"/>
      <c r="AH84" s="51"/>
      <c r="AI84" s="51"/>
      <c r="AJ84" s="51"/>
    </row>
    <row r="85" spans="1:36" x14ac:dyDescent="0.2">
      <c r="A85" s="9">
        <v>12106</v>
      </c>
      <c r="B85" s="246" t="s">
        <v>432</v>
      </c>
      <c r="C85" s="246"/>
      <c r="D85" s="246"/>
      <c r="E85" s="246"/>
      <c r="F85" s="287"/>
      <c r="G85" s="286">
        <v>760</v>
      </c>
      <c r="H85" s="246"/>
      <c r="I85" s="246">
        <v>740</v>
      </c>
      <c r="J85" s="246"/>
      <c r="K85" s="287">
        <v>540</v>
      </c>
      <c r="L85" s="286"/>
      <c r="M85" s="287">
        <v>650</v>
      </c>
      <c r="N85" s="289"/>
      <c r="O85" s="287">
        <v>710</v>
      </c>
      <c r="P85" s="286"/>
      <c r="Q85" s="287">
        <v>590</v>
      </c>
      <c r="R85" s="286"/>
      <c r="S85" s="287">
        <v>580</v>
      </c>
      <c r="T85" s="286"/>
      <c r="U85" s="287">
        <v>680</v>
      </c>
      <c r="V85" s="51"/>
      <c r="W85" s="51"/>
      <c r="X85" s="51"/>
      <c r="Y85" s="51"/>
      <c r="Z85" s="51"/>
      <c r="AA85" s="51"/>
      <c r="AB85" s="51"/>
      <c r="AC85" s="51"/>
      <c r="AD85" s="51"/>
      <c r="AE85" s="51"/>
      <c r="AF85" s="51"/>
      <c r="AG85" s="51"/>
      <c r="AH85" s="51"/>
      <c r="AI85" s="51"/>
      <c r="AJ85" s="51"/>
    </row>
    <row r="86" spans="1:36" x14ac:dyDescent="0.2">
      <c r="A86" s="9">
        <v>12107</v>
      </c>
      <c r="B86" s="246" t="s">
        <v>433</v>
      </c>
      <c r="C86" s="246"/>
      <c r="D86" s="246"/>
      <c r="E86" s="246"/>
      <c r="F86" s="287"/>
      <c r="G86" s="286">
        <v>480</v>
      </c>
      <c r="H86" s="246"/>
      <c r="I86" s="246">
        <v>610</v>
      </c>
      <c r="J86" s="246"/>
      <c r="K86" s="287">
        <v>570</v>
      </c>
      <c r="L86" s="286"/>
      <c r="M86" s="287">
        <v>560</v>
      </c>
      <c r="N86" s="289"/>
      <c r="O86" s="287">
        <v>570</v>
      </c>
      <c r="P86" s="286"/>
      <c r="Q86" s="287">
        <v>630</v>
      </c>
      <c r="R86" s="286"/>
      <c r="S86" s="287">
        <v>610</v>
      </c>
      <c r="T86" s="286"/>
      <c r="U86" s="287">
        <v>680</v>
      </c>
      <c r="V86" s="51"/>
      <c r="W86" s="51"/>
      <c r="X86" s="51"/>
      <c r="Y86" s="51"/>
      <c r="Z86" s="51"/>
      <c r="AA86" s="51"/>
      <c r="AB86" s="51"/>
      <c r="AC86" s="51"/>
      <c r="AD86" s="51"/>
      <c r="AE86" s="51"/>
      <c r="AF86" s="51"/>
      <c r="AG86" s="51"/>
      <c r="AH86" s="51"/>
      <c r="AI86" s="51"/>
      <c r="AJ86" s="51"/>
    </row>
    <row r="87" spans="1:36" x14ac:dyDescent="0.2">
      <c r="A87" s="9">
        <v>12108</v>
      </c>
      <c r="B87" s="246" t="s">
        <v>434</v>
      </c>
      <c r="C87" s="246"/>
      <c r="D87" s="246"/>
      <c r="E87" s="246"/>
      <c r="F87" s="287">
        <v>2200</v>
      </c>
      <c r="G87" s="287">
        <v>2300</v>
      </c>
      <c r="H87" s="246">
        <v>3000</v>
      </c>
      <c r="I87" s="246">
        <v>2700</v>
      </c>
      <c r="J87" s="246">
        <v>2400</v>
      </c>
      <c r="K87" s="287">
        <v>2800</v>
      </c>
      <c r="L87" s="287">
        <v>2400</v>
      </c>
      <c r="M87" s="287">
        <v>2400</v>
      </c>
      <c r="N87" s="287">
        <v>2900</v>
      </c>
      <c r="O87" s="287">
        <v>2500</v>
      </c>
      <c r="P87" s="287">
        <v>3300</v>
      </c>
      <c r="Q87" s="287">
        <v>3300</v>
      </c>
      <c r="R87" s="287">
        <v>3000</v>
      </c>
      <c r="S87" s="287">
        <v>3300</v>
      </c>
      <c r="T87" s="287">
        <v>3500</v>
      </c>
      <c r="U87" s="287">
        <v>4300</v>
      </c>
      <c r="V87" s="51"/>
      <c r="W87" s="51"/>
      <c r="X87" s="51"/>
      <c r="Y87" s="51"/>
      <c r="Z87" s="51"/>
      <c r="AA87" s="51"/>
      <c r="AB87" s="51"/>
      <c r="AC87" s="51"/>
      <c r="AD87" s="51"/>
      <c r="AE87" s="51"/>
      <c r="AF87" s="51"/>
      <c r="AG87" s="51"/>
      <c r="AH87" s="51"/>
      <c r="AI87" s="51"/>
      <c r="AJ87" s="51"/>
    </row>
    <row r="88" spans="1:36" x14ac:dyDescent="0.2">
      <c r="A88" s="9">
        <v>12109</v>
      </c>
      <c r="B88" s="246" t="s">
        <v>435</v>
      </c>
      <c r="C88" s="246"/>
      <c r="D88" s="246"/>
      <c r="E88" s="246"/>
      <c r="F88" s="287"/>
      <c r="G88" s="286">
        <v>430</v>
      </c>
      <c r="H88" s="246"/>
      <c r="I88" s="246">
        <v>460</v>
      </c>
      <c r="J88" s="246"/>
      <c r="K88" s="287">
        <v>470</v>
      </c>
      <c r="L88" s="286"/>
      <c r="M88" s="287">
        <v>480</v>
      </c>
      <c r="N88" s="289"/>
      <c r="O88" s="287">
        <v>390</v>
      </c>
      <c r="P88" s="286"/>
      <c r="Q88" s="287">
        <v>430</v>
      </c>
      <c r="R88" s="286"/>
      <c r="S88" s="287">
        <v>430</v>
      </c>
      <c r="T88" s="286"/>
      <c r="U88" s="287">
        <v>410</v>
      </c>
      <c r="V88" s="51"/>
      <c r="W88" s="51"/>
      <c r="X88" s="51"/>
      <c r="Y88" s="51"/>
      <c r="Z88" s="51"/>
      <c r="AA88" s="51"/>
      <c r="AB88" s="51"/>
      <c r="AC88" s="51"/>
      <c r="AD88" s="51"/>
      <c r="AE88" s="51"/>
      <c r="AF88" s="51"/>
      <c r="AG88" s="51"/>
      <c r="AH88" s="51"/>
      <c r="AI88" s="51"/>
      <c r="AJ88" s="51"/>
    </row>
    <row r="89" spans="1:36" x14ac:dyDescent="0.2">
      <c r="A89" s="9">
        <v>12110</v>
      </c>
      <c r="B89" s="246" t="s">
        <v>436</v>
      </c>
      <c r="C89" s="246"/>
      <c r="D89" s="246"/>
      <c r="E89" s="246"/>
      <c r="F89" s="286"/>
      <c r="G89" s="287"/>
      <c r="H89" s="246">
        <v>590</v>
      </c>
      <c r="I89" s="246"/>
      <c r="J89" s="246">
        <v>580</v>
      </c>
      <c r="K89" s="286"/>
      <c r="L89" s="287"/>
      <c r="M89" s="287">
        <v>600</v>
      </c>
      <c r="N89" s="287">
        <v>600</v>
      </c>
      <c r="O89" s="286"/>
      <c r="P89" s="287">
        <v>680</v>
      </c>
      <c r="Q89" s="286"/>
      <c r="R89" s="287">
        <v>650</v>
      </c>
      <c r="S89" s="286"/>
      <c r="T89" s="287">
        <v>750</v>
      </c>
      <c r="U89" s="286"/>
      <c r="V89" s="51"/>
      <c r="W89" s="51"/>
      <c r="X89" s="51"/>
      <c r="Y89" s="51"/>
      <c r="Z89" s="51"/>
      <c r="AA89" s="51"/>
      <c r="AB89" s="51"/>
      <c r="AC89" s="51"/>
      <c r="AD89" s="51"/>
      <c r="AE89" s="51"/>
      <c r="AF89" s="51"/>
      <c r="AG89" s="51"/>
      <c r="AH89" s="51"/>
      <c r="AI89" s="51"/>
      <c r="AJ89" s="51"/>
    </row>
    <row r="90" spans="1:36" x14ac:dyDescent="0.2">
      <c r="A90" s="9">
        <v>12111</v>
      </c>
      <c r="B90" s="246" t="s">
        <v>437</v>
      </c>
      <c r="C90" s="246"/>
      <c r="D90" s="246"/>
      <c r="E90" s="246"/>
      <c r="F90" s="287"/>
      <c r="G90" s="286"/>
      <c r="H90" s="246">
        <v>600</v>
      </c>
      <c r="I90" s="246"/>
      <c r="J90" s="246"/>
      <c r="K90" s="287">
        <v>550</v>
      </c>
      <c r="L90" s="286"/>
      <c r="M90" s="287">
        <v>600</v>
      </c>
      <c r="N90" s="289"/>
      <c r="O90" s="287">
        <v>560</v>
      </c>
      <c r="P90" s="286"/>
      <c r="Q90" s="287">
        <v>590</v>
      </c>
      <c r="R90" s="286"/>
      <c r="S90" s="287">
        <v>640</v>
      </c>
      <c r="T90" s="286"/>
      <c r="U90" s="287">
        <v>550</v>
      </c>
      <c r="V90" s="51"/>
      <c r="W90" s="51"/>
      <c r="X90" s="51"/>
      <c r="Y90" s="51"/>
      <c r="Z90" s="51"/>
      <c r="AA90" s="51"/>
      <c r="AB90" s="51"/>
      <c r="AC90" s="51"/>
      <c r="AD90" s="51"/>
      <c r="AE90" s="51"/>
      <c r="AF90" s="51"/>
      <c r="AG90" s="51"/>
      <c r="AH90" s="51"/>
      <c r="AI90" s="51"/>
      <c r="AJ90" s="51"/>
    </row>
    <row r="91" spans="1:36" x14ac:dyDescent="0.2">
      <c r="A91" s="9">
        <v>12112</v>
      </c>
      <c r="B91" s="246" t="s">
        <v>438</v>
      </c>
      <c r="C91" s="246"/>
      <c r="D91" s="246"/>
      <c r="E91" s="246"/>
      <c r="F91" s="286">
        <v>250</v>
      </c>
      <c r="G91" s="287">
        <v>230</v>
      </c>
      <c r="H91" s="246">
        <v>280</v>
      </c>
      <c r="I91" s="246"/>
      <c r="J91" s="246">
        <v>210</v>
      </c>
      <c r="K91" s="286"/>
      <c r="L91" s="287">
        <v>210</v>
      </c>
      <c r="M91" s="287">
        <v>200</v>
      </c>
      <c r="N91" s="287">
        <v>320</v>
      </c>
      <c r="O91" s="286"/>
      <c r="P91" s="287">
        <v>290</v>
      </c>
      <c r="Q91" s="286"/>
      <c r="R91" s="287">
        <v>270</v>
      </c>
      <c r="S91" s="286"/>
      <c r="T91" s="287">
        <v>260</v>
      </c>
      <c r="U91" s="286"/>
      <c r="V91" s="51"/>
      <c r="W91" s="51"/>
      <c r="X91" s="51"/>
      <c r="Y91" s="51"/>
      <c r="Z91" s="51"/>
      <c r="AA91" s="51"/>
      <c r="AB91" s="51"/>
      <c r="AC91" s="51"/>
      <c r="AD91" s="51"/>
      <c r="AE91" s="51"/>
      <c r="AF91" s="51"/>
      <c r="AG91" s="51"/>
      <c r="AH91" s="51"/>
      <c r="AI91" s="51"/>
      <c r="AJ91" s="51"/>
    </row>
    <row r="92" spans="1:36" x14ac:dyDescent="0.2">
      <c r="A92" s="9">
        <v>12113</v>
      </c>
      <c r="B92" s="246" t="s">
        <v>439</v>
      </c>
      <c r="C92" s="246"/>
      <c r="D92" s="246"/>
      <c r="E92" s="246"/>
      <c r="F92" s="287"/>
      <c r="G92" s="286"/>
      <c r="H92" s="246">
        <v>600</v>
      </c>
      <c r="I92" s="246">
        <v>1000</v>
      </c>
      <c r="J92" s="246"/>
      <c r="K92" s="287">
        <v>1100</v>
      </c>
      <c r="L92" s="286"/>
      <c r="M92" s="287">
        <v>1100</v>
      </c>
      <c r="N92" s="286"/>
      <c r="O92" s="287">
        <v>1200</v>
      </c>
      <c r="P92" s="286"/>
      <c r="Q92" s="287">
        <v>1100</v>
      </c>
      <c r="R92" s="286"/>
      <c r="S92" s="287">
        <v>1300</v>
      </c>
      <c r="T92" s="286"/>
      <c r="U92" s="287">
        <v>1300</v>
      </c>
      <c r="V92" s="51"/>
      <c r="W92" s="51"/>
      <c r="X92" s="51"/>
      <c r="Y92" s="51"/>
      <c r="Z92" s="51"/>
      <c r="AA92" s="51"/>
      <c r="AB92" s="51"/>
      <c r="AC92" s="51"/>
      <c r="AD92" s="51"/>
      <c r="AE92" s="51"/>
      <c r="AF92" s="51"/>
      <c r="AG92" s="51"/>
      <c r="AH92" s="51"/>
      <c r="AI92" s="51"/>
      <c r="AJ92" s="51"/>
    </row>
    <row r="93" spans="1:36" x14ac:dyDescent="0.2">
      <c r="A93" s="9"/>
      <c r="B93" s="50"/>
      <c r="C93" s="51"/>
      <c r="D93" s="51"/>
      <c r="E93" s="51"/>
      <c r="F93" s="51"/>
      <c r="G93" s="51"/>
      <c r="H93" s="51"/>
      <c r="I93" s="51"/>
      <c r="J93" s="51"/>
      <c r="K93" s="51"/>
      <c r="L93" s="51"/>
      <c r="M93" s="51"/>
      <c r="N93" s="51"/>
      <c r="O93" s="51"/>
      <c r="P93" s="51"/>
      <c r="Q93" s="51"/>
      <c r="R93" s="51"/>
      <c r="S93" s="51"/>
      <c r="T93" s="51"/>
      <c r="U93" s="51"/>
      <c r="V93" s="51"/>
      <c r="W93" s="51"/>
      <c r="X93" s="51"/>
      <c r="Y93" s="51"/>
      <c r="Z93" s="51"/>
      <c r="AA93" s="51"/>
      <c r="AB93" s="51"/>
      <c r="AC93" s="51"/>
      <c r="AD93" s="51"/>
      <c r="AE93" s="51"/>
      <c r="AF93" s="51"/>
      <c r="AG93" s="51"/>
      <c r="AH93" s="51"/>
      <c r="AI93" s="51"/>
      <c r="AJ93" s="51"/>
    </row>
    <row r="94" spans="1:36" x14ac:dyDescent="0.2">
      <c r="A94" s="9"/>
      <c r="B94" s="50"/>
      <c r="C94" s="51"/>
      <c r="D94" s="51"/>
      <c r="E94" s="51"/>
      <c r="F94" s="51"/>
      <c r="G94" s="51"/>
      <c r="H94" s="51"/>
      <c r="I94" s="51"/>
      <c r="J94" s="51"/>
      <c r="K94" s="51"/>
      <c r="L94" s="51"/>
      <c r="M94" s="51"/>
      <c r="N94" s="51"/>
      <c r="O94" s="51"/>
      <c r="P94" s="51"/>
      <c r="Q94" s="51"/>
      <c r="R94" s="51"/>
      <c r="S94" s="51"/>
      <c r="T94" s="51"/>
      <c r="U94" s="51"/>
      <c r="V94" s="51"/>
      <c r="W94" s="51"/>
      <c r="X94" s="51"/>
      <c r="Y94" s="51"/>
      <c r="Z94" s="51"/>
      <c r="AA94" s="51"/>
      <c r="AB94" s="51"/>
      <c r="AC94" s="51"/>
      <c r="AD94" s="51"/>
      <c r="AE94" s="51"/>
      <c r="AF94" s="51"/>
      <c r="AG94" s="51"/>
      <c r="AH94" s="51"/>
      <c r="AI94" s="51"/>
      <c r="AJ94" s="51"/>
    </row>
    <row r="95" spans="1:36" x14ac:dyDescent="0.2">
      <c r="A95" s="9"/>
      <c r="B95" s="50"/>
      <c r="C95" s="51"/>
      <c r="D95" s="51"/>
      <c r="E95" s="51"/>
      <c r="F95" s="51"/>
      <c r="G95" s="51"/>
      <c r="H95" s="51"/>
      <c r="I95" s="51"/>
      <c r="J95" s="51"/>
      <c r="K95" s="51"/>
      <c r="L95" s="51"/>
      <c r="M95" s="51"/>
      <c r="N95" s="51"/>
      <c r="O95" s="51"/>
      <c r="P95" s="51"/>
      <c r="Q95" s="51"/>
      <c r="R95" s="51"/>
      <c r="S95" s="51"/>
      <c r="T95" s="51"/>
      <c r="U95" s="51"/>
      <c r="V95" s="51"/>
      <c r="W95" s="51"/>
      <c r="X95" s="51"/>
      <c r="Y95" s="51"/>
      <c r="Z95" s="51"/>
      <c r="AA95" s="51"/>
      <c r="AB95" s="51"/>
      <c r="AC95" s="51"/>
      <c r="AD95" s="51"/>
      <c r="AE95" s="51"/>
      <c r="AF95" s="51"/>
      <c r="AG95" s="51"/>
      <c r="AH95" s="51"/>
      <c r="AI95" s="51"/>
      <c r="AJ95" s="51"/>
    </row>
    <row r="96" spans="1:36" x14ac:dyDescent="0.2">
      <c r="A96" s="9"/>
      <c r="B96" s="50"/>
      <c r="C96" s="51"/>
      <c r="D96" s="51"/>
      <c r="E96" s="51"/>
      <c r="F96" s="51"/>
      <c r="G96" s="51"/>
      <c r="H96" s="51"/>
      <c r="I96" s="51"/>
      <c r="J96" s="51"/>
      <c r="K96" s="51"/>
      <c r="L96" s="51"/>
      <c r="M96" s="51"/>
      <c r="N96" s="51"/>
      <c r="O96" s="51"/>
      <c r="P96" s="51"/>
      <c r="Q96" s="51"/>
      <c r="R96" s="51"/>
      <c r="S96" s="51"/>
      <c r="T96" s="51"/>
      <c r="U96" s="51"/>
      <c r="V96" s="51"/>
      <c r="W96" s="51"/>
      <c r="X96" s="51"/>
      <c r="Y96" s="51"/>
      <c r="Z96" s="51"/>
      <c r="AA96" s="51"/>
      <c r="AB96" s="51"/>
      <c r="AC96" s="51"/>
      <c r="AD96" s="51"/>
      <c r="AE96" s="51"/>
      <c r="AF96" s="51"/>
      <c r="AG96" s="51"/>
      <c r="AH96" s="51"/>
      <c r="AI96" s="51"/>
      <c r="AJ96" s="51"/>
    </row>
    <row r="97" spans="1:36" x14ac:dyDescent="0.2">
      <c r="A97" s="9"/>
      <c r="B97" s="50"/>
      <c r="C97" s="51"/>
      <c r="D97" s="51"/>
      <c r="E97" s="51"/>
      <c r="F97" s="51"/>
      <c r="G97" s="51"/>
      <c r="H97" s="51"/>
      <c r="I97" s="51"/>
      <c r="J97" s="51"/>
      <c r="K97" s="51"/>
      <c r="L97" s="51"/>
      <c r="M97" s="51"/>
      <c r="N97" s="51"/>
      <c r="O97" s="51"/>
      <c r="P97" s="51"/>
      <c r="Q97" s="51"/>
      <c r="R97" s="51"/>
      <c r="S97" s="51"/>
      <c r="T97" s="51"/>
      <c r="U97" s="51"/>
      <c r="V97" s="51"/>
      <c r="W97" s="51"/>
      <c r="X97" s="51"/>
      <c r="Y97" s="51"/>
      <c r="Z97" s="51"/>
      <c r="AA97" s="51"/>
      <c r="AB97" s="51"/>
      <c r="AC97" s="51"/>
      <c r="AD97" s="51"/>
      <c r="AE97" s="51"/>
      <c r="AF97" s="51"/>
      <c r="AG97" s="51"/>
      <c r="AH97" s="51"/>
      <c r="AI97" s="51"/>
      <c r="AJ97" s="51"/>
    </row>
    <row r="98" spans="1:36" x14ac:dyDescent="0.2">
      <c r="A98" s="9"/>
      <c r="B98" s="50"/>
      <c r="C98" s="51"/>
      <c r="D98" s="51"/>
      <c r="E98" s="51"/>
      <c r="F98" s="51"/>
      <c r="G98" s="51"/>
      <c r="H98" s="51"/>
      <c r="I98" s="51"/>
      <c r="J98" s="51"/>
      <c r="K98" s="51"/>
      <c r="L98" s="51"/>
      <c r="M98" s="51"/>
      <c r="N98" s="51"/>
      <c r="O98" s="51"/>
      <c r="P98" s="51"/>
      <c r="Q98" s="51"/>
      <c r="R98" s="51"/>
      <c r="S98" s="51"/>
      <c r="T98" s="51"/>
      <c r="U98" s="51"/>
      <c r="V98" s="51"/>
      <c r="W98" s="51"/>
      <c r="X98" s="51"/>
      <c r="Y98" s="51"/>
      <c r="Z98" s="51"/>
      <c r="AA98" s="51"/>
      <c r="AB98" s="51"/>
      <c r="AC98" s="51"/>
      <c r="AD98" s="51"/>
      <c r="AE98" s="51"/>
      <c r="AF98" s="51"/>
      <c r="AG98" s="51"/>
      <c r="AH98" s="51"/>
      <c r="AI98" s="51"/>
      <c r="AJ98" s="51"/>
    </row>
    <row r="99" spans="1:36" x14ac:dyDescent="0.2">
      <c r="A99" s="9"/>
      <c r="B99" s="50"/>
      <c r="C99" s="51"/>
      <c r="D99" s="51"/>
      <c r="E99" s="51"/>
      <c r="F99" s="51"/>
      <c r="G99" s="51"/>
      <c r="H99" s="51"/>
      <c r="I99" s="51"/>
      <c r="J99" s="51"/>
      <c r="K99" s="51"/>
      <c r="L99" s="51"/>
      <c r="M99" s="51"/>
      <c r="N99" s="51"/>
      <c r="O99" s="51"/>
      <c r="P99" s="51"/>
      <c r="Q99" s="51"/>
      <c r="R99" s="51"/>
      <c r="S99" s="51"/>
      <c r="T99" s="51"/>
      <c r="U99" s="51"/>
      <c r="V99" s="51"/>
      <c r="W99" s="51"/>
      <c r="X99" s="51"/>
      <c r="Y99" s="51"/>
      <c r="Z99" s="51"/>
      <c r="AA99" s="51"/>
      <c r="AB99" s="51"/>
      <c r="AC99" s="51"/>
      <c r="AD99" s="51"/>
      <c r="AE99" s="51"/>
      <c r="AF99" s="51"/>
      <c r="AG99" s="51"/>
      <c r="AH99" s="51"/>
      <c r="AI99" s="51"/>
      <c r="AJ99" s="51"/>
    </row>
    <row r="100" spans="1:36" x14ac:dyDescent="0.2">
      <c r="A100" s="9"/>
      <c r="B100" s="50"/>
      <c r="C100" s="51"/>
      <c r="D100" s="51"/>
      <c r="E100" s="51"/>
      <c r="F100" s="51"/>
      <c r="G100" s="51"/>
      <c r="H100" s="51"/>
      <c r="I100" s="51"/>
      <c r="J100" s="51"/>
      <c r="K100" s="51"/>
      <c r="L100" s="51"/>
      <c r="M100" s="51"/>
      <c r="N100" s="51"/>
      <c r="O100" s="51"/>
      <c r="P100" s="51"/>
      <c r="Q100" s="51"/>
      <c r="R100" s="51"/>
      <c r="S100" s="51"/>
      <c r="T100" s="51"/>
      <c r="U100" s="51"/>
      <c r="V100" s="51"/>
      <c r="W100" s="51"/>
      <c r="X100" s="51"/>
      <c r="Y100" s="51"/>
      <c r="Z100" s="51"/>
      <c r="AA100" s="51"/>
      <c r="AB100" s="51"/>
      <c r="AC100" s="51"/>
      <c r="AD100" s="51"/>
      <c r="AE100" s="51"/>
      <c r="AF100" s="51"/>
      <c r="AG100" s="51"/>
      <c r="AH100" s="51"/>
      <c r="AI100" s="51"/>
      <c r="AJ100" s="51"/>
    </row>
    <row r="101" spans="1:36" x14ac:dyDescent="0.2">
      <c r="A101" s="9"/>
      <c r="B101" s="50"/>
      <c r="C101" s="51"/>
      <c r="D101" s="51"/>
      <c r="E101" s="51"/>
      <c r="F101" s="51"/>
      <c r="G101" s="51"/>
      <c r="H101" s="51"/>
      <c r="I101" s="51"/>
      <c r="J101" s="51"/>
      <c r="K101" s="51"/>
      <c r="L101" s="51"/>
      <c r="M101" s="51"/>
      <c r="N101" s="51"/>
      <c r="O101" s="51"/>
      <c r="P101" s="51"/>
      <c r="Q101" s="51"/>
      <c r="R101" s="51"/>
      <c r="S101" s="51"/>
      <c r="T101" s="51"/>
      <c r="U101" s="51"/>
      <c r="V101" s="51"/>
      <c r="W101" s="51"/>
      <c r="X101" s="51"/>
      <c r="Y101" s="51"/>
      <c r="Z101" s="51"/>
      <c r="AA101" s="51"/>
      <c r="AB101" s="51"/>
      <c r="AC101" s="51"/>
      <c r="AD101" s="51"/>
      <c r="AE101" s="51"/>
      <c r="AF101" s="51"/>
      <c r="AG101" s="51"/>
      <c r="AH101" s="51"/>
      <c r="AI101" s="51"/>
      <c r="AJ101" s="51"/>
    </row>
    <row r="102" spans="1:36" x14ac:dyDescent="0.2">
      <c r="A102" s="9"/>
      <c r="B102" s="50"/>
      <c r="C102" s="51"/>
      <c r="D102" s="51"/>
      <c r="E102" s="51"/>
      <c r="F102" s="51"/>
      <c r="G102" s="51"/>
      <c r="H102" s="51"/>
      <c r="I102" s="51"/>
      <c r="J102" s="51"/>
      <c r="K102" s="51"/>
      <c r="L102" s="51"/>
      <c r="M102" s="51"/>
      <c r="N102" s="51"/>
      <c r="O102" s="51"/>
      <c r="P102" s="51"/>
      <c r="Q102" s="51"/>
      <c r="R102" s="51"/>
      <c r="S102" s="51"/>
      <c r="T102" s="51"/>
      <c r="U102" s="51"/>
      <c r="V102" s="51"/>
      <c r="W102" s="51"/>
      <c r="X102" s="51"/>
      <c r="Y102" s="51"/>
      <c r="Z102" s="51"/>
      <c r="AA102" s="51"/>
      <c r="AB102" s="51"/>
      <c r="AC102" s="51"/>
      <c r="AD102" s="51"/>
      <c r="AE102" s="51"/>
      <c r="AF102" s="51"/>
      <c r="AG102" s="51"/>
      <c r="AH102" s="51"/>
      <c r="AI102" s="51"/>
      <c r="AJ102" s="51"/>
    </row>
    <row r="103" spans="1:36" x14ac:dyDescent="0.2">
      <c r="A103" s="9"/>
      <c r="B103" s="50"/>
      <c r="C103" s="51"/>
      <c r="D103" s="51"/>
      <c r="E103" s="51"/>
      <c r="F103" s="51"/>
      <c r="G103" s="51"/>
      <c r="H103" s="51"/>
      <c r="I103" s="51"/>
      <c r="J103" s="51"/>
      <c r="K103" s="51"/>
      <c r="L103" s="51"/>
      <c r="M103" s="51"/>
      <c r="N103" s="51"/>
      <c r="O103" s="51"/>
      <c r="P103" s="51"/>
      <c r="Q103" s="51"/>
      <c r="R103" s="51"/>
      <c r="S103" s="51"/>
      <c r="T103" s="51"/>
      <c r="U103" s="51"/>
      <c r="V103" s="51"/>
      <c r="W103" s="51"/>
      <c r="X103" s="51"/>
      <c r="Y103" s="51"/>
      <c r="Z103" s="51"/>
      <c r="AA103" s="51"/>
      <c r="AB103" s="51"/>
      <c r="AC103" s="51"/>
      <c r="AD103" s="51"/>
      <c r="AE103" s="51"/>
      <c r="AF103" s="51"/>
      <c r="AG103" s="51"/>
      <c r="AH103" s="51"/>
      <c r="AI103" s="51"/>
      <c r="AJ103" s="51"/>
    </row>
    <row r="104" spans="1:36" x14ac:dyDescent="0.2">
      <c r="A104" s="9"/>
      <c r="B104" s="50"/>
      <c r="C104" s="51"/>
      <c r="D104" s="51"/>
      <c r="E104" s="51"/>
      <c r="F104" s="51"/>
      <c r="G104" s="51"/>
      <c r="H104" s="51"/>
      <c r="I104" s="51"/>
      <c r="J104" s="51"/>
      <c r="K104" s="51"/>
      <c r="L104" s="51"/>
      <c r="M104" s="51"/>
      <c r="N104" s="51"/>
      <c r="O104" s="51"/>
      <c r="P104" s="51"/>
      <c r="Q104" s="51"/>
      <c r="R104" s="51"/>
      <c r="S104" s="51"/>
      <c r="T104" s="51"/>
      <c r="U104" s="51"/>
      <c r="V104" s="51"/>
      <c r="W104" s="51"/>
      <c r="X104" s="51"/>
      <c r="Y104" s="51"/>
      <c r="Z104" s="51"/>
      <c r="AA104" s="51"/>
      <c r="AB104" s="51"/>
      <c r="AC104" s="51"/>
      <c r="AD104" s="51"/>
      <c r="AE104" s="51"/>
      <c r="AF104" s="51"/>
      <c r="AG104" s="51"/>
      <c r="AH104" s="51"/>
      <c r="AI104" s="51"/>
      <c r="AJ104" s="51"/>
    </row>
    <row r="105" spans="1:36" x14ac:dyDescent="0.2">
      <c r="A105" s="9"/>
      <c r="B105" s="50"/>
      <c r="C105" s="51"/>
      <c r="D105" s="51"/>
      <c r="E105" s="51"/>
      <c r="F105" s="51"/>
      <c r="G105" s="51"/>
      <c r="H105" s="51"/>
      <c r="I105" s="51"/>
      <c r="J105" s="51"/>
      <c r="K105" s="51"/>
      <c r="L105" s="51"/>
      <c r="M105" s="51"/>
      <c r="N105" s="51"/>
      <c r="O105" s="51"/>
      <c r="P105" s="51"/>
      <c r="Q105" s="51"/>
      <c r="R105" s="51"/>
      <c r="S105" s="51"/>
      <c r="T105" s="51"/>
      <c r="U105" s="51"/>
      <c r="V105" s="51"/>
      <c r="W105" s="51"/>
      <c r="X105" s="51"/>
      <c r="Y105" s="51"/>
      <c r="Z105" s="51"/>
      <c r="AA105" s="51"/>
      <c r="AB105" s="51"/>
      <c r="AC105" s="51"/>
      <c r="AD105" s="51"/>
      <c r="AE105" s="51"/>
      <c r="AF105" s="51"/>
      <c r="AG105" s="51"/>
      <c r="AH105" s="51"/>
      <c r="AI105" s="51"/>
      <c r="AJ105" s="51"/>
    </row>
    <row r="106" spans="1:36" x14ac:dyDescent="0.2">
      <c r="A106" s="9"/>
      <c r="B106" s="50"/>
      <c r="C106" s="51"/>
      <c r="D106" s="51"/>
      <c r="E106" s="51"/>
      <c r="F106" s="51"/>
      <c r="G106" s="51"/>
      <c r="H106" s="51"/>
      <c r="I106" s="51"/>
      <c r="J106" s="51"/>
      <c r="K106" s="51"/>
      <c r="L106" s="51"/>
      <c r="M106" s="51"/>
      <c r="N106" s="51"/>
      <c r="O106" s="51"/>
      <c r="P106" s="51"/>
      <c r="Q106" s="51"/>
      <c r="R106" s="51"/>
      <c r="S106" s="51"/>
      <c r="T106" s="51"/>
      <c r="U106" s="51"/>
      <c r="V106" s="51"/>
      <c r="W106" s="51"/>
      <c r="X106" s="51"/>
      <c r="Y106" s="51"/>
      <c r="Z106" s="51"/>
      <c r="AA106" s="51"/>
      <c r="AB106" s="51"/>
      <c r="AC106" s="51"/>
      <c r="AD106" s="51"/>
      <c r="AE106" s="51"/>
      <c r="AF106" s="51"/>
      <c r="AG106" s="51"/>
      <c r="AH106" s="51"/>
      <c r="AI106" s="51"/>
      <c r="AJ106" s="51"/>
    </row>
    <row r="107" spans="1:36" x14ac:dyDescent="0.2">
      <c r="A107" s="9"/>
      <c r="B107" s="50"/>
      <c r="C107" s="51"/>
      <c r="D107" s="51"/>
      <c r="E107" s="51"/>
      <c r="F107" s="51"/>
      <c r="G107" s="51"/>
      <c r="H107" s="51"/>
      <c r="I107" s="51"/>
      <c r="J107" s="51"/>
      <c r="K107" s="51"/>
      <c r="L107" s="51"/>
      <c r="M107" s="51"/>
      <c r="N107" s="51"/>
      <c r="O107" s="51"/>
      <c r="P107" s="51"/>
      <c r="Q107" s="51"/>
      <c r="R107" s="51"/>
      <c r="S107" s="51"/>
      <c r="T107" s="51"/>
      <c r="U107" s="51"/>
      <c r="V107" s="51"/>
      <c r="W107" s="51"/>
      <c r="X107" s="51"/>
      <c r="Y107" s="51"/>
      <c r="Z107" s="51"/>
      <c r="AA107" s="51"/>
      <c r="AB107" s="51"/>
      <c r="AC107" s="51"/>
      <c r="AD107" s="51"/>
      <c r="AE107" s="51"/>
      <c r="AF107" s="51"/>
      <c r="AG107" s="51"/>
      <c r="AH107" s="51"/>
      <c r="AI107" s="51"/>
      <c r="AJ107" s="51"/>
    </row>
    <row r="108" spans="1:36" x14ac:dyDescent="0.2">
      <c r="A108" s="9"/>
      <c r="B108" s="50"/>
      <c r="C108" s="51"/>
      <c r="D108" s="51"/>
      <c r="E108" s="51"/>
      <c r="F108" s="51"/>
      <c r="G108" s="51"/>
      <c r="H108" s="51"/>
      <c r="I108" s="51"/>
      <c r="J108" s="51"/>
      <c r="K108" s="51"/>
      <c r="L108" s="51"/>
      <c r="M108" s="51"/>
      <c r="N108" s="51"/>
      <c r="O108" s="51"/>
      <c r="P108" s="51"/>
      <c r="Q108" s="51"/>
      <c r="R108" s="51"/>
      <c r="S108" s="51"/>
      <c r="T108" s="51"/>
      <c r="U108" s="51"/>
      <c r="V108" s="51"/>
      <c r="W108" s="51"/>
      <c r="X108" s="51"/>
      <c r="Y108" s="51"/>
      <c r="Z108" s="51"/>
      <c r="AA108" s="51"/>
      <c r="AB108" s="51"/>
      <c r="AC108" s="51"/>
      <c r="AD108" s="51"/>
      <c r="AE108" s="51"/>
      <c r="AF108" s="51"/>
      <c r="AG108" s="51"/>
      <c r="AH108" s="51"/>
      <c r="AI108" s="51"/>
      <c r="AJ108" s="51"/>
    </row>
    <row r="109" spans="1:36" x14ac:dyDescent="0.2">
      <c r="A109" s="9"/>
      <c r="B109" s="50"/>
      <c r="C109" s="51"/>
      <c r="D109" s="51"/>
      <c r="E109" s="51"/>
      <c r="F109" s="51"/>
      <c r="G109" s="51"/>
      <c r="H109" s="51"/>
      <c r="I109" s="51"/>
      <c r="J109" s="51"/>
      <c r="K109" s="51"/>
      <c r="L109" s="51"/>
      <c r="M109" s="51"/>
      <c r="N109" s="51"/>
      <c r="O109" s="51"/>
      <c r="P109" s="51"/>
      <c r="Q109" s="51"/>
      <c r="R109" s="51"/>
      <c r="S109" s="51"/>
      <c r="T109" s="51"/>
      <c r="U109" s="51"/>
      <c r="V109" s="51"/>
      <c r="W109" s="51"/>
      <c r="X109" s="51"/>
      <c r="Y109" s="51"/>
      <c r="Z109" s="51"/>
      <c r="AA109" s="51"/>
      <c r="AB109" s="51"/>
      <c r="AC109" s="51"/>
      <c r="AD109" s="51"/>
      <c r="AE109" s="51"/>
      <c r="AF109" s="51"/>
      <c r="AG109" s="51"/>
      <c r="AH109" s="51"/>
      <c r="AI109" s="51"/>
      <c r="AJ109" s="51"/>
    </row>
    <row r="110" spans="1:36" x14ac:dyDescent="0.2">
      <c r="A110" s="9"/>
      <c r="B110" s="50"/>
      <c r="C110" s="51"/>
      <c r="D110" s="51"/>
      <c r="E110" s="51"/>
      <c r="F110" s="51"/>
      <c r="G110" s="51"/>
      <c r="H110" s="51"/>
      <c r="I110" s="51"/>
      <c r="J110" s="51"/>
      <c r="K110" s="51"/>
      <c r="L110" s="51"/>
      <c r="M110" s="51"/>
      <c r="N110" s="51"/>
      <c r="O110" s="51"/>
      <c r="P110" s="51"/>
      <c r="Q110" s="51"/>
      <c r="R110" s="51"/>
      <c r="S110" s="51"/>
      <c r="T110" s="51"/>
      <c r="U110" s="51"/>
      <c r="V110" s="51"/>
      <c r="W110" s="51"/>
      <c r="X110" s="51"/>
      <c r="Y110" s="51"/>
      <c r="Z110" s="51"/>
      <c r="AA110" s="51"/>
      <c r="AB110" s="51"/>
      <c r="AC110" s="51"/>
      <c r="AD110" s="51"/>
      <c r="AE110" s="51"/>
      <c r="AF110" s="51"/>
      <c r="AG110" s="51"/>
      <c r="AH110" s="51"/>
      <c r="AI110" s="51"/>
      <c r="AJ110" s="51"/>
    </row>
    <row r="111" spans="1:36" x14ac:dyDescent="0.2">
      <c r="A111" s="9"/>
      <c r="B111" s="50"/>
      <c r="C111" s="51"/>
      <c r="D111" s="51"/>
      <c r="E111" s="51"/>
      <c r="F111" s="51"/>
      <c r="G111" s="51"/>
      <c r="H111" s="51"/>
      <c r="I111" s="51"/>
      <c r="J111" s="51"/>
      <c r="K111" s="51"/>
      <c r="L111" s="51"/>
      <c r="M111" s="51"/>
      <c r="N111" s="51"/>
      <c r="O111" s="51"/>
      <c r="P111" s="51"/>
      <c r="Q111" s="51"/>
      <c r="R111" s="51"/>
      <c r="S111" s="51"/>
      <c r="T111" s="51"/>
      <c r="U111" s="51"/>
      <c r="V111" s="51"/>
      <c r="W111" s="51"/>
      <c r="X111" s="51"/>
      <c r="Y111" s="51"/>
      <c r="Z111" s="51"/>
      <c r="AA111" s="51"/>
      <c r="AB111" s="51"/>
      <c r="AC111" s="51"/>
      <c r="AD111" s="51"/>
      <c r="AE111" s="51"/>
      <c r="AF111" s="51"/>
      <c r="AG111" s="51"/>
      <c r="AH111" s="51"/>
      <c r="AI111" s="51"/>
      <c r="AJ111" s="51"/>
    </row>
    <row r="112" spans="1:36" x14ac:dyDescent="0.2">
      <c r="A112" s="9"/>
      <c r="B112" s="50"/>
      <c r="C112" s="51"/>
      <c r="D112" s="51"/>
      <c r="E112" s="51"/>
      <c r="F112" s="51"/>
      <c r="G112" s="51"/>
      <c r="H112" s="51"/>
      <c r="I112" s="51"/>
      <c r="J112" s="51"/>
      <c r="K112" s="51"/>
      <c r="L112" s="51"/>
      <c r="M112" s="51"/>
      <c r="N112" s="51"/>
      <c r="O112" s="51"/>
      <c r="P112" s="51"/>
      <c r="Q112" s="51"/>
      <c r="R112" s="51"/>
      <c r="S112" s="51"/>
      <c r="T112" s="51"/>
      <c r="U112" s="51"/>
      <c r="V112" s="51"/>
      <c r="W112" s="51"/>
      <c r="X112" s="51"/>
      <c r="Y112" s="51"/>
      <c r="Z112" s="51"/>
      <c r="AA112" s="51"/>
      <c r="AB112" s="51"/>
      <c r="AC112" s="51"/>
      <c r="AD112" s="51"/>
      <c r="AE112" s="51"/>
      <c r="AF112" s="51"/>
      <c r="AG112" s="51"/>
      <c r="AH112" s="51"/>
      <c r="AI112" s="51"/>
      <c r="AJ112" s="51"/>
    </row>
    <row r="113" spans="1:36" x14ac:dyDescent="0.2">
      <c r="A113" s="9"/>
      <c r="B113" s="50"/>
      <c r="C113" s="51"/>
      <c r="D113" s="51"/>
      <c r="E113" s="51"/>
      <c r="F113" s="51"/>
      <c r="G113" s="51"/>
      <c r="H113" s="51"/>
      <c r="I113" s="51"/>
      <c r="J113" s="51"/>
      <c r="K113" s="51"/>
      <c r="L113" s="51"/>
      <c r="M113" s="51"/>
      <c r="N113" s="51"/>
      <c r="O113" s="51"/>
      <c r="P113" s="51"/>
      <c r="Q113" s="51"/>
      <c r="R113" s="51"/>
      <c r="S113" s="51"/>
      <c r="T113" s="51"/>
      <c r="U113" s="51"/>
      <c r="V113" s="51"/>
      <c r="W113" s="51"/>
      <c r="X113" s="51"/>
      <c r="Y113" s="51"/>
      <c r="Z113" s="51"/>
      <c r="AA113" s="51"/>
      <c r="AB113" s="51"/>
      <c r="AC113" s="51"/>
      <c r="AD113" s="51"/>
      <c r="AE113" s="51"/>
      <c r="AF113" s="51"/>
      <c r="AG113" s="51"/>
      <c r="AH113" s="51"/>
      <c r="AI113" s="51"/>
      <c r="AJ113" s="51"/>
    </row>
    <row r="114" spans="1:36" x14ac:dyDescent="0.2">
      <c r="A114" s="9"/>
      <c r="B114" s="50"/>
      <c r="C114" s="51"/>
      <c r="D114" s="51"/>
      <c r="E114" s="51"/>
      <c r="F114" s="51"/>
      <c r="G114" s="51"/>
      <c r="H114" s="51"/>
      <c r="I114" s="51"/>
      <c r="J114" s="51"/>
      <c r="K114" s="51"/>
      <c r="L114" s="51"/>
      <c r="M114" s="51"/>
      <c r="N114" s="51"/>
      <c r="O114" s="51"/>
      <c r="P114" s="51"/>
      <c r="Q114" s="51"/>
      <c r="R114" s="51"/>
      <c r="S114" s="51"/>
      <c r="T114" s="51"/>
      <c r="U114" s="51"/>
      <c r="V114" s="51"/>
      <c r="W114" s="51"/>
      <c r="X114" s="51"/>
      <c r="Y114" s="51"/>
      <c r="Z114" s="51"/>
      <c r="AA114" s="51"/>
      <c r="AB114" s="51"/>
      <c r="AC114" s="51"/>
      <c r="AD114" s="51"/>
      <c r="AE114" s="51"/>
      <c r="AF114" s="51"/>
      <c r="AG114" s="51"/>
      <c r="AH114" s="51"/>
      <c r="AI114" s="51"/>
      <c r="AJ114" s="51"/>
    </row>
    <row r="115" spans="1:36" x14ac:dyDescent="0.2">
      <c r="A115" s="9"/>
      <c r="B115" s="50"/>
      <c r="C115" s="51"/>
      <c r="D115" s="51"/>
      <c r="E115" s="51"/>
      <c r="F115" s="51"/>
      <c r="G115" s="51"/>
      <c r="H115" s="51"/>
      <c r="I115" s="51"/>
      <c r="J115" s="51"/>
      <c r="K115" s="51"/>
      <c r="L115" s="51"/>
      <c r="M115" s="51"/>
      <c r="N115" s="51"/>
      <c r="O115" s="51"/>
      <c r="P115" s="51"/>
      <c r="Q115" s="51"/>
      <c r="R115" s="51"/>
      <c r="S115" s="51"/>
      <c r="T115" s="51"/>
      <c r="U115" s="51"/>
      <c r="V115" s="51"/>
      <c r="W115" s="51"/>
      <c r="X115" s="51"/>
      <c r="Y115" s="51"/>
      <c r="Z115" s="51"/>
      <c r="AA115" s="51"/>
      <c r="AB115" s="51"/>
      <c r="AC115" s="51"/>
      <c r="AD115" s="51"/>
      <c r="AE115" s="51"/>
      <c r="AF115" s="51"/>
      <c r="AG115" s="51"/>
      <c r="AH115" s="51"/>
      <c r="AI115" s="51"/>
      <c r="AJ115" s="51"/>
    </row>
    <row r="116" spans="1:36" x14ac:dyDescent="0.2">
      <c r="A116" s="9"/>
      <c r="B116" s="50"/>
      <c r="C116" s="51"/>
      <c r="D116" s="51"/>
      <c r="E116" s="51"/>
      <c r="F116" s="51"/>
      <c r="G116" s="51"/>
      <c r="H116" s="51"/>
      <c r="I116" s="51"/>
      <c r="J116" s="51"/>
      <c r="K116" s="51"/>
      <c r="L116" s="51"/>
      <c r="M116" s="51"/>
      <c r="N116" s="51"/>
      <c r="O116" s="51"/>
      <c r="P116" s="51"/>
      <c r="Q116" s="51"/>
      <c r="R116" s="51"/>
      <c r="S116" s="51"/>
      <c r="T116" s="51"/>
      <c r="U116" s="51"/>
      <c r="V116" s="51"/>
      <c r="W116" s="51"/>
      <c r="X116" s="51"/>
      <c r="Y116" s="51"/>
      <c r="Z116" s="51"/>
      <c r="AA116" s="51"/>
      <c r="AB116" s="51"/>
      <c r="AC116" s="51"/>
      <c r="AD116" s="51"/>
      <c r="AE116" s="51"/>
      <c r="AF116" s="51"/>
      <c r="AG116" s="51"/>
      <c r="AH116" s="51"/>
      <c r="AI116" s="51"/>
      <c r="AJ116" s="51"/>
    </row>
    <row r="117" spans="1:36" x14ac:dyDescent="0.2">
      <c r="A117" s="9"/>
      <c r="B117" s="50"/>
      <c r="C117" s="51"/>
      <c r="D117" s="51"/>
      <c r="E117" s="51"/>
      <c r="F117" s="51"/>
      <c r="G117" s="51"/>
      <c r="H117" s="51"/>
      <c r="I117" s="51"/>
      <c r="J117" s="51"/>
      <c r="K117" s="51"/>
      <c r="L117" s="51"/>
      <c r="M117" s="51"/>
      <c r="N117" s="51"/>
      <c r="O117" s="51"/>
      <c r="P117" s="51"/>
      <c r="Q117" s="51"/>
      <c r="R117" s="51"/>
      <c r="S117" s="51"/>
      <c r="T117" s="51"/>
      <c r="U117" s="51"/>
      <c r="V117" s="51"/>
      <c r="W117" s="51"/>
      <c r="X117" s="51"/>
      <c r="Y117" s="51"/>
      <c r="Z117" s="51"/>
      <c r="AA117" s="51"/>
      <c r="AB117" s="51"/>
      <c r="AC117" s="51"/>
      <c r="AD117" s="51"/>
      <c r="AE117" s="51"/>
      <c r="AF117" s="51"/>
      <c r="AG117" s="51"/>
      <c r="AH117" s="51"/>
      <c r="AI117" s="51"/>
      <c r="AJ117" s="51"/>
    </row>
    <row r="118" spans="1:36" x14ac:dyDescent="0.2">
      <c r="A118" s="9"/>
      <c r="B118" s="50"/>
      <c r="C118" s="51"/>
      <c r="D118" s="51"/>
      <c r="E118" s="51"/>
      <c r="F118" s="51"/>
      <c r="G118" s="51"/>
      <c r="H118" s="51"/>
      <c r="I118" s="51"/>
      <c r="J118" s="51"/>
      <c r="K118" s="51"/>
      <c r="L118" s="51"/>
      <c r="M118" s="51"/>
      <c r="N118" s="51"/>
      <c r="O118" s="51"/>
      <c r="P118" s="51"/>
      <c r="Q118" s="51"/>
      <c r="R118" s="51"/>
      <c r="S118" s="51"/>
      <c r="T118" s="51"/>
      <c r="U118" s="51"/>
      <c r="V118" s="51"/>
      <c r="W118" s="51"/>
      <c r="X118" s="51"/>
      <c r="Y118" s="51"/>
      <c r="Z118" s="51"/>
      <c r="AA118" s="51"/>
      <c r="AB118" s="51"/>
      <c r="AC118" s="51"/>
      <c r="AD118" s="51"/>
      <c r="AE118" s="51"/>
      <c r="AF118" s="51"/>
      <c r="AG118" s="51"/>
      <c r="AH118" s="51"/>
      <c r="AI118" s="51"/>
      <c r="AJ118" s="51"/>
    </row>
    <row r="119" spans="1:36" x14ac:dyDescent="0.2">
      <c r="A119" s="9"/>
      <c r="B119" s="50"/>
      <c r="C119" s="51"/>
      <c r="D119" s="51"/>
      <c r="E119" s="51"/>
      <c r="F119" s="51"/>
      <c r="G119" s="51"/>
      <c r="H119" s="51"/>
      <c r="I119" s="51"/>
      <c r="J119" s="51"/>
      <c r="K119" s="51"/>
      <c r="L119" s="51"/>
      <c r="M119" s="51"/>
      <c r="N119" s="51"/>
      <c r="O119" s="51"/>
      <c r="P119" s="51"/>
      <c r="Q119" s="51"/>
      <c r="R119" s="51"/>
      <c r="S119" s="51"/>
      <c r="T119" s="51"/>
      <c r="U119" s="51"/>
      <c r="V119" s="51"/>
      <c r="W119" s="51"/>
      <c r="X119" s="51"/>
      <c r="Y119" s="51"/>
      <c r="Z119" s="51"/>
      <c r="AA119" s="51"/>
      <c r="AB119" s="51"/>
      <c r="AC119" s="51"/>
      <c r="AD119" s="51"/>
      <c r="AE119" s="51"/>
      <c r="AF119" s="51"/>
      <c r="AG119" s="51"/>
      <c r="AH119" s="51"/>
      <c r="AI119" s="51"/>
      <c r="AJ119" s="51"/>
    </row>
    <row r="120" spans="1:36" x14ac:dyDescent="0.2">
      <c r="A120" s="9"/>
      <c r="B120" s="50"/>
      <c r="C120" s="51"/>
      <c r="D120" s="51"/>
      <c r="E120" s="51"/>
      <c r="F120" s="51"/>
      <c r="G120" s="51"/>
      <c r="H120" s="51"/>
      <c r="I120" s="51"/>
      <c r="J120" s="51"/>
      <c r="K120" s="51"/>
      <c r="L120" s="51"/>
      <c r="M120" s="51"/>
      <c r="N120" s="51"/>
      <c r="O120" s="51"/>
      <c r="P120" s="51"/>
      <c r="Q120" s="51"/>
      <c r="R120" s="51"/>
      <c r="S120" s="51"/>
      <c r="T120" s="51"/>
      <c r="U120" s="51"/>
      <c r="V120" s="51"/>
      <c r="W120" s="51"/>
      <c r="X120" s="51"/>
      <c r="Y120" s="51"/>
      <c r="Z120" s="51"/>
      <c r="AA120" s="51"/>
      <c r="AB120" s="51"/>
      <c r="AC120" s="51"/>
      <c r="AD120" s="51"/>
      <c r="AE120" s="51"/>
      <c r="AF120" s="51"/>
      <c r="AG120" s="51"/>
      <c r="AH120" s="51"/>
      <c r="AI120" s="51"/>
      <c r="AJ120" s="51"/>
    </row>
    <row r="121" spans="1:36" x14ac:dyDescent="0.2">
      <c r="A121" s="9"/>
      <c r="B121" s="50"/>
      <c r="C121" s="51"/>
      <c r="D121" s="51"/>
      <c r="E121" s="51"/>
      <c r="F121" s="51"/>
      <c r="G121" s="51"/>
      <c r="H121" s="51"/>
      <c r="I121" s="51"/>
      <c r="J121" s="51"/>
      <c r="K121" s="51"/>
      <c r="L121" s="51"/>
      <c r="M121" s="51"/>
      <c r="N121" s="51"/>
      <c r="O121" s="51"/>
      <c r="P121" s="51"/>
      <c r="Q121" s="51"/>
      <c r="R121" s="51"/>
      <c r="S121" s="51"/>
      <c r="T121" s="51"/>
      <c r="U121" s="51"/>
      <c r="V121" s="51"/>
      <c r="W121" s="51"/>
      <c r="X121" s="51"/>
      <c r="Y121" s="51"/>
      <c r="Z121" s="51"/>
      <c r="AA121" s="51"/>
      <c r="AB121" s="51"/>
      <c r="AC121" s="51"/>
      <c r="AD121" s="51"/>
      <c r="AE121" s="51"/>
      <c r="AF121" s="51"/>
      <c r="AG121" s="51"/>
      <c r="AH121" s="51"/>
      <c r="AI121" s="51"/>
      <c r="AJ121" s="51"/>
    </row>
    <row r="122" spans="1:36" x14ac:dyDescent="0.2">
      <c r="A122" s="9"/>
      <c r="B122" s="50"/>
      <c r="C122" s="51"/>
      <c r="D122" s="51"/>
      <c r="E122" s="51"/>
      <c r="F122" s="51"/>
      <c r="G122" s="51"/>
      <c r="H122" s="51"/>
      <c r="I122" s="51"/>
      <c r="J122" s="51"/>
      <c r="K122" s="51"/>
      <c r="L122" s="51"/>
      <c r="M122" s="51"/>
      <c r="N122" s="51"/>
      <c r="O122" s="51"/>
      <c r="P122" s="51"/>
      <c r="Q122" s="51"/>
      <c r="R122" s="51"/>
      <c r="S122" s="51"/>
      <c r="T122" s="51"/>
      <c r="U122" s="51"/>
      <c r="V122" s="51"/>
      <c r="W122" s="51"/>
      <c r="X122" s="51"/>
      <c r="Y122" s="51"/>
      <c r="Z122" s="51"/>
      <c r="AA122" s="51"/>
      <c r="AB122" s="51"/>
      <c r="AC122" s="51"/>
      <c r="AD122" s="51"/>
      <c r="AE122" s="51"/>
      <c r="AF122" s="51"/>
      <c r="AG122" s="51"/>
      <c r="AH122" s="51"/>
      <c r="AI122" s="51"/>
      <c r="AJ122" s="51"/>
    </row>
    <row r="123" spans="1:36" x14ac:dyDescent="0.2">
      <c r="A123" s="9"/>
      <c r="B123" s="50"/>
      <c r="C123" s="51"/>
      <c r="D123" s="51"/>
      <c r="E123" s="51"/>
      <c r="F123" s="51"/>
      <c r="G123" s="51"/>
      <c r="H123" s="51"/>
      <c r="I123" s="51"/>
      <c r="J123" s="51"/>
      <c r="K123" s="51"/>
      <c r="L123" s="51"/>
      <c r="M123" s="51"/>
      <c r="N123" s="51"/>
      <c r="O123" s="51"/>
      <c r="P123" s="51"/>
      <c r="Q123" s="51"/>
      <c r="R123" s="51"/>
      <c r="S123" s="51"/>
      <c r="T123" s="51"/>
      <c r="U123" s="51"/>
      <c r="V123" s="51"/>
      <c r="W123" s="51"/>
      <c r="X123" s="51"/>
      <c r="Y123" s="51"/>
      <c r="Z123" s="51"/>
      <c r="AA123" s="51"/>
      <c r="AB123" s="51"/>
      <c r="AC123" s="51"/>
      <c r="AD123" s="51"/>
      <c r="AE123" s="51"/>
      <c r="AF123" s="51"/>
      <c r="AG123" s="51"/>
      <c r="AH123" s="51"/>
      <c r="AI123" s="51"/>
      <c r="AJ123" s="51"/>
    </row>
    <row r="124" spans="1:36" x14ac:dyDescent="0.2">
      <c r="A124" s="9"/>
      <c r="B124" s="50"/>
      <c r="C124" s="51"/>
      <c r="D124" s="51"/>
      <c r="E124" s="51"/>
      <c r="F124" s="51"/>
      <c r="G124" s="51"/>
      <c r="H124" s="51"/>
      <c r="I124" s="51"/>
      <c r="J124" s="51"/>
      <c r="K124" s="51"/>
      <c r="L124" s="51"/>
      <c r="M124" s="51"/>
      <c r="N124" s="51"/>
      <c r="O124" s="51"/>
      <c r="P124" s="51"/>
      <c r="Q124" s="51"/>
      <c r="R124" s="51"/>
      <c r="S124" s="51"/>
      <c r="T124" s="51"/>
      <c r="U124" s="51"/>
      <c r="V124" s="51"/>
      <c r="W124" s="51"/>
      <c r="X124" s="51"/>
      <c r="Y124" s="51"/>
      <c r="Z124" s="51"/>
      <c r="AA124" s="51"/>
      <c r="AB124" s="51"/>
      <c r="AC124" s="51"/>
      <c r="AD124" s="51"/>
      <c r="AE124" s="51"/>
      <c r="AF124" s="51"/>
      <c r="AG124" s="51"/>
      <c r="AH124" s="51"/>
      <c r="AI124" s="51"/>
      <c r="AJ124" s="51"/>
    </row>
    <row r="125" spans="1:36" x14ac:dyDescent="0.2">
      <c r="A125" s="9"/>
      <c r="B125" s="50"/>
      <c r="C125" s="51"/>
      <c r="D125" s="51"/>
      <c r="E125" s="51"/>
      <c r="F125" s="51"/>
      <c r="G125" s="51"/>
      <c r="H125" s="51"/>
      <c r="I125" s="51"/>
      <c r="J125" s="51"/>
      <c r="K125" s="51"/>
      <c r="L125" s="51"/>
      <c r="M125" s="51"/>
      <c r="N125" s="51"/>
      <c r="O125" s="51"/>
      <c r="P125" s="51"/>
      <c r="Q125" s="51"/>
      <c r="R125" s="51"/>
      <c r="S125" s="51"/>
      <c r="T125" s="51"/>
      <c r="U125" s="51"/>
      <c r="V125" s="51"/>
      <c r="W125" s="51"/>
      <c r="X125" s="51"/>
      <c r="Y125" s="51"/>
      <c r="Z125" s="51"/>
      <c r="AA125" s="51"/>
      <c r="AB125" s="51"/>
      <c r="AC125" s="51"/>
      <c r="AD125" s="51"/>
      <c r="AE125" s="51"/>
      <c r="AF125" s="51"/>
      <c r="AG125" s="51"/>
      <c r="AH125" s="51"/>
      <c r="AI125" s="51"/>
      <c r="AJ125" s="51"/>
    </row>
    <row r="126" spans="1:36" x14ac:dyDescent="0.2">
      <c r="A126" s="9"/>
      <c r="B126" s="50"/>
      <c r="C126" s="51"/>
      <c r="D126" s="51"/>
      <c r="E126" s="51"/>
      <c r="F126" s="51"/>
      <c r="G126" s="51"/>
      <c r="H126" s="51"/>
      <c r="I126" s="51"/>
      <c r="J126" s="51"/>
      <c r="K126" s="51"/>
      <c r="L126" s="51"/>
      <c r="M126" s="51"/>
      <c r="N126" s="51"/>
      <c r="O126" s="51"/>
      <c r="P126" s="51"/>
      <c r="Q126" s="51"/>
      <c r="R126" s="51"/>
      <c r="S126" s="51"/>
      <c r="T126" s="51"/>
      <c r="U126" s="51"/>
      <c r="V126" s="51"/>
      <c r="W126" s="51"/>
      <c r="X126" s="51"/>
      <c r="Y126" s="51"/>
      <c r="Z126" s="51"/>
      <c r="AA126" s="51"/>
      <c r="AB126" s="51"/>
      <c r="AC126" s="51"/>
      <c r="AD126" s="51"/>
      <c r="AE126" s="51"/>
      <c r="AF126" s="51"/>
      <c r="AG126" s="51"/>
      <c r="AH126" s="51"/>
      <c r="AI126" s="51"/>
      <c r="AJ126" s="51"/>
    </row>
    <row r="127" spans="1:36" x14ac:dyDescent="0.2">
      <c r="A127" s="9"/>
      <c r="B127" s="50"/>
      <c r="C127" s="51"/>
      <c r="D127" s="51"/>
      <c r="E127" s="51"/>
      <c r="F127" s="51"/>
      <c r="G127" s="51"/>
      <c r="H127" s="51"/>
      <c r="I127" s="51"/>
      <c r="J127" s="51"/>
      <c r="K127" s="51"/>
      <c r="L127" s="51"/>
      <c r="M127" s="51"/>
      <c r="N127" s="51"/>
      <c r="O127" s="51"/>
      <c r="P127" s="51"/>
      <c r="Q127" s="51"/>
      <c r="R127" s="51"/>
      <c r="S127" s="51"/>
      <c r="T127" s="51"/>
      <c r="U127" s="51"/>
      <c r="V127" s="51"/>
      <c r="W127" s="51"/>
      <c r="X127" s="51"/>
      <c r="Y127" s="51"/>
      <c r="Z127" s="51"/>
      <c r="AA127" s="51"/>
      <c r="AB127" s="51"/>
      <c r="AC127" s="51"/>
      <c r="AD127" s="51"/>
      <c r="AE127" s="51"/>
      <c r="AF127" s="51"/>
      <c r="AG127" s="51"/>
      <c r="AH127" s="51"/>
      <c r="AI127" s="51"/>
      <c r="AJ127" s="51"/>
    </row>
    <row r="128" spans="1:36" x14ac:dyDescent="0.2">
      <c r="A128" s="9"/>
      <c r="B128" s="50"/>
      <c r="C128" s="51"/>
      <c r="D128" s="51"/>
      <c r="E128" s="51"/>
      <c r="F128" s="51"/>
      <c r="G128" s="51"/>
      <c r="H128" s="51"/>
      <c r="I128" s="51"/>
      <c r="J128" s="51"/>
      <c r="K128" s="51"/>
      <c r="L128" s="51"/>
      <c r="M128" s="51"/>
      <c r="N128" s="51"/>
      <c r="O128" s="51"/>
      <c r="P128" s="51"/>
      <c r="Q128" s="51"/>
      <c r="R128" s="51"/>
      <c r="S128" s="51"/>
      <c r="T128" s="51"/>
      <c r="U128" s="51"/>
      <c r="V128" s="51"/>
      <c r="W128" s="51"/>
      <c r="X128" s="51"/>
      <c r="Y128" s="51"/>
      <c r="Z128" s="51"/>
      <c r="AA128" s="51"/>
      <c r="AB128" s="51"/>
      <c r="AC128" s="51"/>
      <c r="AD128" s="51"/>
      <c r="AE128" s="51"/>
      <c r="AF128" s="51"/>
      <c r="AG128" s="51"/>
      <c r="AH128" s="51"/>
      <c r="AI128" s="51"/>
      <c r="AJ128" s="51"/>
    </row>
    <row r="129" spans="1:36" x14ac:dyDescent="0.2">
      <c r="A129" s="9"/>
      <c r="B129" s="50"/>
      <c r="C129" s="51"/>
      <c r="D129" s="51"/>
      <c r="E129" s="51"/>
      <c r="F129" s="51"/>
      <c r="G129" s="51"/>
      <c r="H129" s="51"/>
      <c r="I129" s="51"/>
      <c r="J129" s="51"/>
      <c r="K129" s="51"/>
      <c r="L129" s="51"/>
      <c r="M129" s="51"/>
      <c r="N129" s="51"/>
      <c r="O129" s="51"/>
      <c r="P129" s="51"/>
      <c r="Q129" s="51"/>
      <c r="R129" s="51"/>
      <c r="S129" s="51"/>
      <c r="T129" s="51"/>
      <c r="U129" s="51"/>
      <c r="V129" s="51"/>
      <c r="W129" s="51"/>
      <c r="X129" s="51"/>
      <c r="Y129" s="51"/>
      <c r="Z129" s="51"/>
      <c r="AA129" s="51"/>
      <c r="AB129" s="51"/>
      <c r="AC129" s="51"/>
      <c r="AD129" s="51"/>
      <c r="AE129" s="51"/>
      <c r="AF129" s="51"/>
      <c r="AG129" s="51"/>
      <c r="AH129" s="51"/>
      <c r="AI129" s="51"/>
      <c r="AJ129" s="51"/>
    </row>
    <row r="130" spans="1:36" x14ac:dyDescent="0.2">
      <c r="A130" s="9"/>
      <c r="B130" s="50"/>
      <c r="C130" s="51"/>
      <c r="D130" s="51"/>
      <c r="E130" s="51"/>
      <c r="F130" s="51"/>
      <c r="G130" s="51"/>
      <c r="H130" s="51"/>
      <c r="I130" s="51"/>
      <c r="J130" s="51"/>
      <c r="K130" s="51"/>
      <c r="L130" s="51"/>
      <c r="M130" s="51"/>
      <c r="N130" s="51"/>
      <c r="O130" s="51"/>
      <c r="P130" s="51"/>
      <c r="Q130" s="51"/>
      <c r="R130" s="51"/>
      <c r="S130" s="51"/>
      <c r="T130" s="51"/>
      <c r="U130" s="51"/>
      <c r="V130" s="51"/>
      <c r="W130" s="51"/>
      <c r="X130" s="51"/>
      <c r="Y130" s="51"/>
      <c r="Z130" s="51"/>
      <c r="AA130" s="51"/>
      <c r="AB130" s="51"/>
      <c r="AC130" s="51"/>
      <c r="AD130" s="51"/>
      <c r="AE130" s="51"/>
      <c r="AF130" s="51"/>
      <c r="AG130" s="51"/>
      <c r="AH130" s="51"/>
      <c r="AI130" s="51"/>
      <c r="AJ130" s="51"/>
    </row>
    <row r="131" spans="1:36" x14ac:dyDescent="0.2">
      <c r="A131" s="9"/>
      <c r="B131" s="50"/>
      <c r="C131" s="51"/>
      <c r="D131" s="51"/>
      <c r="E131" s="51"/>
      <c r="F131" s="51"/>
      <c r="G131" s="51"/>
      <c r="H131" s="51"/>
      <c r="I131" s="51"/>
      <c r="J131" s="51"/>
      <c r="K131" s="51"/>
      <c r="L131" s="51"/>
      <c r="M131" s="51"/>
      <c r="N131" s="51"/>
      <c r="O131" s="51"/>
      <c r="P131" s="51"/>
      <c r="Q131" s="51"/>
      <c r="R131" s="51"/>
      <c r="S131" s="51"/>
      <c r="T131" s="51"/>
      <c r="U131" s="51"/>
      <c r="V131" s="51"/>
      <c r="W131" s="51"/>
      <c r="X131" s="51"/>
      <c r="Y131" s="51"/>
      <c r="Z131" s="51"/>
      <c r="AA131" s="51"/>
      <c r="AB131" s="51"/>
      <c r="AC131" s="51"/>
      <c r="AD131" s="51"/>
      <c r="AE131" s="51"/>
      <c r="AF131" s="51"/>
      <c r="AG131" s="51"/>
      <c r="AH131" s="51"/>
      <c r="AI131" s="51"/>
      <c r="AJ131" s="51"/>
    </row>
    <row r="132" spans="1:36" x14ac:dyDescent="0.2">
      <c r="A132" s="9"/>
      <c r="B132" s="50"/>
      <c r="C132" s="51"/>
      <c r="D132" s="51"/>
      <c r="E132" s="51"/>
      <c r="F132" s="51"/>
      <c r="G132" s="51"/>
      <c r="H132" s="51"/>
      <c r="I132" s="51"/>
      <c r="J132" s="51"/>
      <c r="K132" s="51"/>
      <c r="L132" s="51"/>
      <c r="M132" s="51"/>
      <c r="N132" s="51"/>
      <c r="O132" s="51"/>
      <c r="P132" s="51"/>
      <c r="Q132" s="51"/>
      <c r="R132" s="51"/>
      <c r="S132" s="51"/>
      <c r="T132" s="51"/>
      <c r="U132" s="51"/>
      <c r="V132" s="51"/>
      <c r="W132" s="51"/>
      <c r="X132" s="51"/>
      <c r="Y132" s="51"/>
      <c r="Z132" s="51"/>
      <c r="AA132" s="51"/>
      <c r="AB132" s="51"/>
      <c r="AC132" s="51"/>
      <c r="AD132" s="51"/>
      <c r="AE132" s="51"/>
      <c r="AF132" s="51"/>
      <c r="AG132" s="51"/>
      <c r="AH132" s="51"/>
      <c r="AI132" s="51"/>
      <c r="AJ132" s="51"/>
    </row>
    <row r="133" spans="1:36" x14ac:dyDescent="0.2">
      <c r="A133" s="9"/>
      <c r="B133" s="50"/>
      <c r="C133" s="51"/>
      <c r="D133" s="51"/>
      <c r="E133" s="51"/>
      <c r="F133" s="51"/>
      <c r="G133" s="51"/>
      <c r="H133" s="51"/>
      <c r="I133" s="51"/>
      <c r="J133" s="51"/>
      <c r="K133" s="51"/>
      <c r="L133" s="51"/>
      <c r="M133" s="51"/>
      <c r="N133" s="51"/>
      <c r="O133" s="51"/>
      <c r="P133" s="51"/>
      <c r="Q133" s="51"/>
      <c r="R133" s="51"/>
      <c r="S133" s="51"/>
      <c r="T133" s="51"/>
      <c r="U133" s="51"/>
      <c r="V133" s="51"/>
      <c r="W133" s="51"/>
      <c r="X133" s="51"/>
      <c r="Y133" s="51"/>
      <c r="Z133" s="51"/>
      <c r="AA133" s="51"/>
      <c r="AB133" s="51"/>
      <c r="AC133" s="51"/>
      <c r="AD133" s="51"/>
      <c r="AE133" s="51"/>
      <c r="AF133" s="51"/>
      <c r="AG133" s="51"/>
      <c r="AH133" s="51"/>
      <c r="AI133" s="51"/>
      <c r="AJ133" s="51"/>
    </row>
    <row r="134" spans="1:36" x14ac:dyDescent="0.2">
      <c r="A134" s="9"/>
      <c r="B134" s="50"/>
      <c r="C134" s="51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  <c r="P134" s="51"/>
      <c r="Q134" s="51"/>
      <c r="R134" s="51"/>
      <c r="S134" s="51"/>
      <c r="T134" s="51"/>
      <c r="U134" s="51"/>
      <c r="V134" s="51"/>
      <c r="W134" s="51"/>
      <c r="X134" s="51"/>
      <c r="Y134" s="51"/>
      <c r="Z134" s="51"/>
      <c r="AA134" s="51"/>
      <c r="AB134" s="51"/>
      <c r="AC134" s="51"/>
      <c r="AD134" s="51"/>
      <c r="AE134" s="51"/>
      <c r="AF134" s="51"/>
      <c r="AG134" s="51"/>
      <c r="AH134" s="51"/>
      <c r="AI134" s="51"/>
      <c r="AJ134" s="51"/>
    </row>
    <row r="135" spans="1:36" x14ac:dyDescent="0.2">
      <c r="A135" s="9"/>
      <c r="B135" s="50"/>
      <c r="C135" s="51"/>
      <c r="D135" s="51"/>
      <c r="E135" s="51"/>
      <c r="F135" s="51"/>
      <c r="G135" s="51"/>
      <c r="H135" s="51"/>
      <c r="I135" s="51"/>
      <c r="J135" s="51"/>
      <c r="K135" s="51"/>
      <c r="L135" s="51"/>
      <c r="M135" s="51"/>
      <c r="N135" s="51"/>
      <c r="O135" s="51"/>
      <c r="P135" s="51"/>
      <c r="Q135" s="51"/>
      <c r="R135" s="51"/>
      <c r="S135" s="51"/>
      <c r="T135" s="51"/>
      <c r="U135" s="51"/>
      <c r="V135" s="51"/>
      <c r="W135" s="51"/>
      <c r="X135" s="51"/>
      <c r="Y135" s="51"/>
      <c r="Z135" s="51"/>
      <c r="AA135" s="51"/>
      <c r="AB135" s="51"/>
      <c r="AC135" s="51"/>
      <c r="AD135" s="51"/>
      <c r="AE135" s="51"/>
      <c r="AF135" s="51"/>
      <c r="AG135" s="51"/>
      <c r="AH135" s="51"/>
      <c r="AI135" s="51"/>
      <c r="AJ135" s="51"/>
    </row>
    <row r="136" spans="1:36" x14ac:dyDescent="0.2">
      <c r="A136" s="9"/>
      <c r="B136" s="50"/>
      <c r="C136" s="51"/>
      <c r="D136" s="51"/>
      <c r="E136" s="51"/>
      <c r="F136" s="51"/>
      <c r="G136" s="51"/>
      <c r="H136" s="51"/>
      <c r="I136" s="51"/>
      <c r="J136" s="51"/>
      <c r="K136" s="51"/>
      <c r="L136" s="51"/>
      <c r="M136" s="51"/>
      <c r="N136" s="51"/>
      <c r="O136" s="51"/>
      <c r="P136" s="51"/>
      <c r="Q136" s="51"/>
      <c r="R136" s="51"/>
      <c r="S136" s="51"/>
      <c r="T136" s="51"/>
      <c r="U136" s="51"/>
      <c r="V136" s="51"/>
      <c r="W136" s="51"/>
      <c r="X136" s="51"/>
      <c r="Y136" s="51"/>
      <c r="Z136" s="51"/>
      <c r="AA136" s="51"/>
      <c r="AB136" s="51"/>
      <c r="AC136" s="51"/>
      <c r="AD136" s="51"/>
      <c r="AE136" s="51"/>
      <c r="AF136" s="51"/>
      <c r="AG136" s="51"/>
      <c r="AH136" s="51"/>
      <c r="AI136" s="51"/>
      <c r="AJ136" s="51"/>
    </row>
    <row r="137" spans="1:36" x14ac:dyDescent="0.2">
      <c r="A137" s="9"/>
      <c r="B137" s="50"/>
      <c r="C137" s="51"/>
      <c r="D137" s="51"/>
      <c r="E137" s="51"/>
      <c r="F137" s="51"/>
      <c r="G137" s="51"/>
      <c r="H137" s="51"/>
      <c r="I137" s="51"/>
      <c r="J137" s="51"/>
      <c r="K137" s="51"/>
      <c r="L137" s="51"/>
      <c r="M137" s="51"/>
      <c r="N137" s="51"/>
      <c r="O137" s="51"/>
      <c r="P137" s="51"/>
      <c r="Q137" s="51"/>
      <c r="R137" s="51"/>
      <c r="S137" s="51"/>
      <c r="T137" s="51"/>
      <c r="U137" s="51"/>
      <c r="V137" s="51"/>
      <c r="W137" s="51"/>
      <c r="X137" s="51"/>
      <c r="Y137" s="51"/>
      <c r="Z137" s="51"/>
      <c r="AA137" s="51"/>
      <c r="AB137" s="51"/>
      <c r="AC137" s="51"/>
      <c r="AD137" s="51"/>
      <c r="AE137" s="51"/>
      <c r="AF137" s="51"/>
      <c r="AG137" s="51"/>
      <c r="AH137" s="51"/>
      <c r="AI137" s="51"/>
      <c r="AJ137" s="51"/>
    </row>
    <row r="138" spans="1:36" x14ac:dyDescent="0.2">
      <c r="A138" s="9"/>
      <c r="B138" s="50"/>
      <c r="C138" s="51"/>
      <c r="D138" s="51"/>
      <c r="E138" s="51"/>
      <c r="F138" s="51"/>
      <c r="G138" s="51"/>
      <c r="H138" s="51"/>
      <c r="I138" s="51"/>
      <c r="J138" s="51"/>
      <c r="K138" s="51"/>
      <c r="L138" s="51"/>
      <c r="M138" s="51"/>
      <c r="N138" s="51"/>
      <c r="O138" s="51"/>
      <c r="P138" s="51"/>
      <c r="Q138" s="51"/>
      <c r="R138" s="51"/>
      <c r="S138" s="51"/>
      <c r="T138" s="51"/>
      <c r="U138" s="51"/>
      <c r="V138" s="51"/>
      <c r="W138" s="51"/>
      <c r="X138" s="51"/>
      <c r="Y138" s="51"/>
      <c r="Z138" s="51"/>
      <c r="AA138" s="51"/>
      <c r="AB138" s="51"/>
      <c r="AC138" s="51"/>
      <c r="AD138" s="51"/>
      <c r="AE138" s="51"/>
      <c r="AF138" s="51"/>
      <c r="AG138" s="51"/>
      <c r="AH138" s="51"/>
      <c r="AI138" s="51"/>
      <c r="AJ138" s="51"/>
    </row>
    <row r="139" spans="1:36" x14ac:dyDescent="0.2">
      <c r="A139" s="9"/>
      <c r="B139" s="50"/>
      <c r="C139" s="51"/>
      <c r="D139" s="51"/>
      <c r="E139" s="51"/>
      <c r="F139" s="51"/>
      <c r="G139" s="51"/>
      <c r="H139" s="51"/>
      <c r="I139" s="51"/>
      <c r="J139" s="51"/>
      <c r="K139" s="51"/>
      <c r="L139" s="51"/>
      <c r="M139" s="51"/>
      <c r="N139" s="51"/>
      <c r="O139" s="51"/>
      <c r="P139" s="51"/>
      <c r="Q139" s="51"/>
      <c r="R139" s="51"/>
      <c r="S139" s="51"/>
      <c r="T139" s="51"/>
      <c r="U139" s="51"/>
      <c r="V139" s="51"/>
      <c r="W139" s="51"/>
      <c r="X139" s="51"/>
      <c r="Y139" s="51"/>
      <c r="Z139" s="51"/>
      <c r="AA139" s="51"/>
      <c r="AB139" s="51"/>
      <c r="AC139" s="51"/>
      <c r="AD139" s="51"/>
      <c r="AE139" s="51"/>
      <c r="AF139" s="51"/>
      <c r="AG139" s="51"/>
      <c r="AH139" s="51"/>
      <c r="AI139" s="51"/>
      <c r="AJ139" s="51"/>
    </row>
    <row r="140" spans="1:36" x14ac:dyDescent="0.2">
      <c r="A140" s="9"/>
      <c r="B140" s="50"/>
      <c r="C140" s="51"/>
      <c r="D140" s="51"/>
      <c r="E140" s="51"/>
      <c r="F140" s="51"/>
      <c r="G140" s="51"/>
      <c r="H140" s="51"/>
      <c r="I140" s="51"/>
      <c r="J140" s="51"/>
      <c r="K140" s="51"/>
      <c r="L140" s="51"/>
      <c r="M140" s="51"/>
      <c r="N140" s="51"/>
      <c r="O140" s="51"/>
      <c r="P140" s="51"/>
      <c r="Q140" s="51"/>
      <c r="R140" s="51"/>
      <c r="S140" s="51"/>
      <c r="T140" s="51"/>
      <c r="U140" s="51"/>
      <c r="V140" s="51"/>
      <c r="W140" s="51"/>
      <c r="X140" s="51"/>
      <c r="Y140" s="51"/>
      <c r="Z140" s="51"/>
      <c r="AA140" s="51"/>
      <c r="AB140" s="51"/>
      <c r="AC140" s="51"/>
      <c r="AD140" s="51"/>
      <c r="AE140" s="51"/>
      <c r="AF140" s="51"/>
      <c r="AG140" s="51"/>
      <c r="AH140" s="51"/>
      <c r="AI140" s="51"/>
      <c r="AJ140" s="51"/>
    </row>
    <row r="141" spans="1:36" x14ac:dyDescent="0.2">
      <c r="A141" s="9"/>
      <c r="B141" s="50"/>
      <c r="C141" s="51"/>
      <c r="D141" s="51"/>
      <c r="E141" s="51"/>
      <c r="F141" s="51"/>
      <c r="G141" s="51"/>
      <c r="H141" s="51"/>
      <c r="I141" s="51"/>
      <c r="J141" s="51"/>
      <c r="K141" s="51"/>
      <c r="L141" s="51"/>
      <c r="M141" s="51"/>
      <c r="N141" s="51"/>
      <c r="O141" s="51"/>
      <c r="P141" s="51"/>
      <c r="Q141" s="51"/>
      <c r="R141" s="51"/>
      <c r="S141" s="51"/>
      <c r="T141" s="51"/>
      <c r="U141" s="51"/>
      <c r="V141" s="51"/>
      <c r="W141" s="51"/>
      <c r="X141" s="51"/>
      <c r="Y141" s="51"/>
      <c r="Z141" s="51"/>
      <c r="AA141" s="51"/>
      <c r="AB141" s="51"/>
      <c r="AC141" s="51"/>
      <c r="AD141" s="51"/>
      <c r="AE141" s="51"/>
      <c r="AF141" s="51"/>
      <c r="AG141" s="51"/>
      <c r="AH141" s="51"/>
      <c r="AI141" s="51"/>
      <c r="AJ141" s="51"/>
    </row>
    <row r="142" spans="1:36" x14ac:dyDescent="0.2">
      <c r="A142" s="9"/>
      <c r="B142" s="50"/>
      <c r="C142" s="51"/>
      <c r="D142" s="51"/>
      <c r="E142" s="51"/>
      <c r="F142" s="51"/>
      <c r="G142" s="51"/>
      <c r="H142" s="51"/>
      <c r="I142" s="51"/>
      <c r="J142" s="51"/>
      <c r="K142" s="51"/>
      <c r="L142" s="51"/>
      <c r="M142" s="51"/>
      <c r="N142" s="51"/>
      <c r="O142" s="51"/>
      <c r="P142" s="51"/>
      <c r="Q142" s="51"/>
      <c r="R142" s="51"/>
      <c r="S142" s="51"/>
      <c r="T142" s="51"/>
      <c r="U142" s="51"/>
      <c r="V142" s="51"/>
      <c r="W142" s="51"/>
      <c r="X142" s="51"/>
      <c r="Y142" s="51"/>
      <c r="Z142" s="51"/>
      <c r="AA142" s="51"/>
      <c r="AB142" s="51"/>
      <c r="AC142" s="51"/>
      <c r="AD142" s="51"/>
      <c r="AE142" s="51"/>
      <c r="AF142" s="51"/>
      <c r="AG142" s="51"/>
      <c r="AH142" s="51"/>
      <c r="AI142" s="51"/>
      <c r="AJ142" s="51"/>
    </row>
    <row r="143" spans="1:36" x14ac:dyDescent="0.2">
      <c r="A143" s="9"/>
      <c r="B143" s="50"/>
      <c r="C143" s="51"/>
      <c r="D143" s="51"/>
      <c r="E143" s="51"/>
      <c r="F143" s="51"/>
      <c r="G143" s="51"/>
      <c r="H143" s="51"/>
      <c r="I143" s="51"/>
      <c r="J143" s="51"/>
      <c r="K143" s="51"/>
      <c r="L143" s="51"/>
      <c r="M143" s="51"/>
      <c r="N143" s="51"/>
      <c r="O143" s="51"/>
      <c r="P143" s="51"/>
      <c r="Q143" s="51"/>
      <c r="R143" s="51"/>
      <c r="S143" s="51"/>
      <c r="T143" s="51"/>
      <c r="U143" s="51"/>
      <c r="V143" s="51"/>
      <c r="W143" s="51"/>
      <c r="X143" s="51"/>
      <c r="Y143" s="51"/>
      <c r="Z143" s="51"/>
      <c r="AA143" s="51"/>
      <c r="AB143" s="51"/>
      <c r="AC143" s="51"/>
      <c r="AD143" s="51"/>
      <c r="AE143" s="51"/>
      <c r="AF143" s="51"/>
      <c r="AG143" s="51"/>
      <c r="AH143" s="51"/>
      <c r="AI143" s="51"/>
      <c r="AJ143" s="51"/>
    </row>
    <row r="144" spans="1:36" x14ac:dyDescent="0.2">
      <c r="A144" s="9"/>
      <c r="B144" s="50"/>
      <c r="C144" s="51"/>
      <c r="D144" s="51"/>
      <c r="E144" s="51"/>
      <c r="F144" s="51"/>
      <c r="G144" s="51"/>
      <c r="H144" s="51"/>
      <c r="I144" s="51"/>
      <c r="J144" s="51"/>
      <c r="K144" s="51"/>
      <c r="L144" s="51"/>
      <c r="M144" s="51"/>
      <c r="N144" s="51"/>
      <c r="O144" s="51"/>
      <c r="P144" s="51"/>
      <c r="Q144" s="51"/>
      <c r="R144" s="51"/>
      <c r="S144" s="51"/>
      <c r="T144" s="51"/>
      <c r="U144" s="51"/>
      <c r="V144" s="51"/>
      <c r="W144" s="51"/>
      <c r="X144" s="51"/>
      <c r="Y144" s="51"/>
      <c r="Z144" s="51"/>
      <c r="AA144" s="51"/>
      <c r="AB144" s="51"/>
      <c r="AC144" s="51"/>
      <c r="AD144" s="51"/>
      <c r="AE144" s="51"/>
      <c r="AF144" s="51"/>
      <c r="AG144" s="51"/>
      <c r="AH144" s="51"/>
      <c r="AI144" s="51"/>
      <c r="AJ144" s="51"/>
    </row>
    <row r="145" spans="1:36" x14ac:dyDescent="0.2">
      <c r="A145" s="9"/>
      <c r="B145" s="50"/>
      <c r="C145" s="51"/>
      <c r="D145" s="51"/>
      <c r="E145" s="51"/>
      <c r="F145" s="51"/>
      <c r="G145" s="51"/>
      <c r="H145" s="51"/>
      <c r="I145" s="51"/>
      <c r="J145" s="51"/>
      <c r="K145" s="51"/>
      <c r="L145" s="51"/>
      <c r="M145" s="51"/>
      <c r="N145" s="51"/>
      <c r="O145" s="51"/>
      <c r="P145" s="51"/>
      <c r="Q145" s="51"/>
      <c r="R145" s="51"/>
      <c r="S145" s="51"/>
      <c r="T145" s="51"/>
      <c r="U145" s="51"/>
      <c r="V145" s="51"/>
      <c r="W145" s="51"/>
      <c r="X145" s="51"/>
      <c r="Y145" s="51"/>
      <c r="Z145" s="51"/>
      <c r="AA145" s="51"/>
      <c r="AB145" s="51"/>
      <c r="AC145" s="51"/>
      <c r="AD145" s="51"/>
      <c r="AE145" s="51"/>
      <c r="AF145" s="51"/>
      <c r="AG145" s="51"/>
      <c r="AH145" s="51"/>
      <c r="AI145" s="51"/>
      <c r="AJ145" s="51"/>
    </row>
    <row r="146" spans="1:36" x14ac:dyDescent="0.2">
      <c r="A146" s="9"/>
      <c r="B146" s="50"/>
      <c r="C146" s="51"/>
      <c r="D146" s="51"/>
      <c r="E146" s="51"/>
      <c r="F146" s="51"/>
      <c r="G146" s="51"/>
      <c r="H146" s="51"/>
      <c r="I146" s="51"/>
      <c r="J146" s="51"/>
      <c r="K146" s="51"/>
      <c r="L146" s="51"/>
      <c r="M146" s="51"/>
      <c r="N146" s="51"/>
      <c r="O146" s="51"/>
      <c r="P146" s="51"/>
      <c r="Q146" s="51"/>
      <c r="R146" s="51"/>
      <c r="S146" s="51"/>
      <c r="T146" s="51"/>
      <c r="U146" s="51"/>
      <c r="V146" s="51"/>
      <c r="W146" s="51"/>
      <c r="X146" s="51"/>
      <c r="Y146" s="51"/>
      <c r="Z146" s="51"/>
      <c r="AA146" s="51"/>
      <c r="AB146" s="51"/>
      <c r="AC146" s="51"/>
      <c r="AD146" s="51"/>
      <c r="AE146" s="51"/>
      <c r="AF146" s="51"/>
      <c r="AG146" s="51"/>
      <c r="AH146" s="51"/>
      <c r="AI146" s="51"/>
      <c r="AJ146" s="51"/>
    </row>
    <row r="147" spans="1:36" x14ac:dyDescent="0.2">
      <c r="A147" s="9"/>
      <c r="B147" s="50"/>
      <c r="C147" s="51"/>
      <c r="D147" s="51"/>
      <c r="E147" s="51"/>
      <c r="F147" s="51"/>
      <c r="G147" s="51"/>
      <c r="H147" s="51"/>
      <c r="I147" s="51"/>
      <c r="J147" s="51"/>
      <c r="K147" s="51"/>
      <c r="L147" s="51"/>
      <c r="M147" s="51"/>
      <c r="N147" s="51"/>
      <c r="O147" s="51"/>
      <c r="P147" s="51"/>
      <c r="Q147" s="51"/>
      <c r="R147" s="51"/>
      <c r="S147" s="51"/>
      <c r="T147" s="51"/>
      <c r="U147" s="51"/>
      <c r="V147" s="51"/>
      <c r="W147" s="51"/>
      <c r="X147" s="51"/>
      <c r="Y147" s="51"/>
      <c r="Z147" s="51"/>
      <c r="AA147" s="51"/>
      <c r="AB147" s="51"/>
      <c r="AC147" s="51"/>
      <c r="AD147" s="51"/>
      <c r="AE147" s="51"/>
      <c r="AF147" s="51"/>
      <c r="AG147" s="51"/>
      <c r="AH147" s="51"/>
      <c r="AI147" s="51"/>
      <c r="AJ147" s="51"/>
    </row>
    <row r="148" spans="1:36" x14ac:dyDescent="0.2">
      <c r="A148" s="9"/>
      <c r="B148" s="50"/>
      <c r="C148" s="51"/>
      <c r="D148" s="51"/>
      <c r="E148" s="51"/>
      <c r="F148" s="51"/>
      <c r="G148" s="51"/>
      <c r="H148" s="51"/>
      <c r="I148" s="51"/>
      <c r="J148" s="51"/>
      <c r="K148" s="51"/>
      <c r="L148" s="51"/>
      <c r="M148" s="51"/>
      <c r="N148" s="51"/>
      <c r="O148" s="51"/>
      <c r="P148" s="51"/>
      <c r="Q148" s="51"/>
      <c r="R148" s="51"/>
      <c r="S148" s="51"/>
      <c r="T148" s="51"/>
      <c r="U148" s="51"/>
      <c r="V148" s="51"/>
      <c r="W148" s="51"/>
      <c r="X148" s="51"/>
      <c r="Y148" s="51"/>
      <c r="Z148" s="51"/>
      <c r="AA148" s="51"/>
      <c r="AB148" s="51"/>
      <c r="AC148" s="51"/>
      <c r="AD148" s="51"/>
      <c r="AE148" s="51"/>
      <c r="AF148" s="51"/>
      <c r="AG148" s="51"/>
      <c r="AH148" s="51"/>
      <c r="AI148" s="51"/>
      <c r="AJ148" s="51"/>
    </row>
    <row r="149" spans="1:36" x14ac:dyDescent="0.2">
      <c r="A149" s="9"/>
      <c r="B149" s="50"/>
      <c r="C149" s="51"/>
      <c r="D149" s="51"/>
      <c r="E149" s="51"/>
      <c r="F149" s="51"/>
      <c r="G149" s="51"/>
      <c r="H149" s="51"/>
      <c r="I149" s="51"/>
      <c r="J149" s="51"/>
      <c r="K149" s="51"/>
      <c r="L149" s="51"/>
      <c r="M149" s="51"/>
      <c r="N149" s="51"/>
      <c r="O149" s="51"/>
      <c r="P149" s="51"/>
      <c r="Q149" s="51"/>
      <c r="R149" s="51"/>
      <c r="S149" s="51"/>
      <c r="T149" s="51"/>
      <c r="U149" s="51"/>
      <c r="V149" s="51"/>
      <c r="W149" s="51"/>
      <c r="X149" s="51"/>
      <c r="Y149" s="51"/>
      <c r="Z149" s="51"/>
      <c r="AA149" s="51"/>
      <c r="AB149" s="51"/>
      <c r="AC149" s="51"/>
      <c r="AD149" s="51"/>
      <c r="AE149" s="51"/>
      <c r="AF149" s="51"/>
      <c r="AG149" s="51"/>
      <c r="AH149" s="51"/>
      <c r="AI149" s="51"/>
      <c r="AJ149" s="51"/>
    </row>
    <row r="150" spans="1:36" x14ac:dyDescent="0.2">
      <c r="A150" s="9"/>
      <c r="B150" s="50"/>
      <c r="C150" s="51"/>
      <c r="D150" s="51"/>
      <c r="E150" s="51"/>
      <c r="F150" s="51"/>
      <c r="G150" s="51"/>
      <c r="H150" s="51"/>
      <c r="I150" s="51"/>
      <c r="J150" s="51"/>
      <c r="K150" s="51"/>
      <c r="L150" s="51"/>
      <c r="M150" s="51"/>
      <c r="N150" s="51"/>
      <c r="O150" s="51"/>
      <c r="P150" s="51"/>
      <c r="Q150" s="51"/>
      <c r="R150" s="51"/>
      <c r="S150" s="51"/>
      <c r="T150" s="51"/>
      <c r="U150" s="51"/>
      <c r="V150" s="51"/>
      <c r="W150" s="51"/>
      <c r="X150" s="51"/>
      <c r="Y150" s="51"/>
      <c r="Z150" s="51"/>
      <c r="AA150" s="51"/>
      <c r="AB150" s="51"/>
      <c r="AC150" s="51"/>
      <c r="AD150" s="51"/>
      <c r="AE150" s="51"/>
      <c r="AF150" s="51"/>
      <c r="AG150" s="51"/>
      <c r="AH150" s="51"/>
      <c r="AI150" s="51"/>
      <c r="AJ150" s="51"/>
    </row>
    <row r="151" spans="1:36" x14ac:dyDescent="0.2">
      <c r="A151" s="9"/>
      <c r="B151" s="50"/>
      <c r="C151" s="51"/>
      <c r="D151" s="51"/>
      <c r="E151" s="51"/>
      <c r="F151" s="51"/>
      <c r="G151" s="51"/>
      <c r="H151" s="51"/>
      <c r="I151" s="51"/>
      <c r="J151" s="51"/>
      <c r="K151" s="51"/>
      <c r="L151" s="51"/>
      <c r="M151" s="51"/>
      <c r="N151" s="51"/>
      <c r="O151" s="51"/>
      <c r="P151" s="51"/>
      <c r="Q151" s="51"/>
      <c r="R151" s="51"/>
      <c r="S151" s="51"/>
      <c r="T151" s="51"/>
      <c r="U151" s="51"/>
      <c r="V151" s="51"/>
      <c r="W151" s="51"/>
      <c r="X151" s="51"/>
      <c r="Y151" s="51"/>
      <c r="Z151" s="51"/>
      <c r="AA151" s="51"/>
      <c r="AB151" s="51"/>
      <c r="AC151" s="51"/>
      <c r="AD151" s="51"/>
      <c r="AE151" s="51"/>
      <c r="AF151" s="51"/>
      <c r="AG151" s="51"/>
      <c r="AH151" s="51"/>
      <c r="AI151" s="51"/>
      <c r="AJ151" s="51"/>
    </row>
    <row r="152" spans="1:36" x14ac:dyDescent="0.2">
      <c r="A152" s="9"/>
      <c r="B152" s="50"/>
      <c r="C152" s="51"/>
      <c r="D152" s="51"/>
      <c r="E152" s="51"/>
      <c r="F152" s="51"/>
      <c r="G152" s="51"/>
      <c r="H152" s="51"/>
      <c r="I152" s="51"/>
      <c r="J152" s="51"/>
      <c r="K152" s="51"/>
      <c r="L152" s="51"/>
      <c r="M152" s="51"/>
      <c r="N152" s="51"/>
      <c r="O152" s="51"/>
      <c r="P152" s="51"/>
      <c r="Q152" s="51"/>
      <c r="R152" s="51"/>
      <c r="S152" s="51"/>
      <c r="T152" s="51"/>
      <c r="U152" s="51"/>
      <c r="V152" s="51"/>
      <c r="W152" s="51"/>
      <c r="X152" s="51"/>
      <c r="Y152" s="51"/>
      <c r="Z152" s="51"/>
      <c r="AA152" s="51"/>
      <c r="AB152" s="51"/>
      <c r="AC152" s="51"/>
      <c r="AD152" s="51"/>
      <c r="AE152" s="51"/>
      <c r="AF152" s="51"/>
      <c r="AG152" s="51"/>
      <c r="AH152" s="51"/>
      <c r="AI152" s="51"/>
      <c r="AJ152" s="51"/>
    </row>
    <row r="153" spans="1:36" x14ac:dyDescent="0.2">
      <c r="A153" s="9"/>
      <c r="B153" s="50"/>
      <c r="C153" s="51"/>
      <c r="D153" s="51"/>
      <c r="E153" s="51"/>
      <c r="F153" s="51"/>
      <c r="G153" s="51"/>
      <c r="H153" s="51"/>
      <c r="I153" s="51"/>
      <c r="J153" s="51"/>
      <c r="K153" s="51"/>
      <c r="L153" s="51"/>
      <c r="M153" s="51"/>
      <c r="N153" s="51"/>
      <c r="O153" s="51"/>
      <c r="P153" s="51"/>
      <c r="Q153" s="51"/>
      <c r="R153" s="51"/>
      <c r="S153" s="51"/>
      <c r="T153" s="51"/>
      <c r="U153" s="51"/>
      <c r="V153" s="51"/>
      <c r="W153" s="51"/>
      <c r="X153" s="51"/>
      <c r="Y153" s="51"/>
      <c r="Z153" s="51"/>
      <c r="AA153" s="51"/>
      <c r="AB153" s="51"/>
      <c r="AC153" s="51"/>
      <c r="AD153" s="51"/>
      <c r="AE153" s="51"/>
      <c r="AF153" s="51"/>
      <c r="AG153" s="51"/>
      <c r="AH153" s="51"/>
      <c r="AI153" s="51"/>
      <c r="AJ153" s="51"/>
    </row>
    <row r="154" spans="1:36" x14ac:dyDescent="0.2">
      <c r="A154" s="9"/>
      <c r="B154" s="50"/>
      <c r="C154" s="51"/>
      <c r="D154" s="51"/>
      <c r="E154" s="51"/>
      <c r="F154" s="51"/>
      <c r="G154" s="51"/>
      <c r="H154" s="51"/>
      <c r="I154" s="51"/>
      <c r="J154" s="51"/>
      <c r="K154" s="51"/>
      <c r="L154" s="51"/>
      <c r="M154" s="51"/>
      <c r="N154" s="51"/>
      <c r="O154" s="51"/>
      <c r="P154" s="51"/>
      <c r="Q154" s="51"/>
      <c r="R154" s="51"/>
      <c r="S154" s="51"/>
      <c r="T154" s="51"/>
      <c r="U154" s="51"/>
      <c r="V154" s="51"/>
      <c r="W154" s="51"/>
      <c r="X154" s="51"/>
      <c r="Y154" s="51"/>
      <c r="Z154" s="51"/>
      <c r="AA154" s="51"/>
      <c r="AB154" s="51"/>
      <c r="AC154" s="51"/>
      <c r="AD154" s="51"/>
      <c r="AE154" s="51"/>
      <c r="AF154" s="51"/>
      <c r="AG154" s="51"/>
      <c r="AH154" s="51"/>
      <c r="AI154" s="51"/>
      <c r="AJ154" s="51"/>
    </row>
    <row r="155" spans="1:36" x14ac:dyDescent="0.2">
      <c r="A155" s="9"/>
      <c r="B155" s="50"/>
      <c r="C155" s="51"/>
      <c r="D155" s="51"/>
      <c r="E155" s="51"/>
      <c r="F155" s="51"/>
      <c r="G155" s="51"/>
      <c r="H155" s="51"/>
      <c r="I155" s="51"/>
      <c r="J155" s="51"/>
      <c r="K155" s="51"/>
      <c r="L155" s="51"/>
      <c r="M155" s="51"/>
      <c r="N155" s="51"/>
      <c r="O155" s="51"/>
      <c r="P155" s="51"/>
      <c r="Q155" s="51"/>
      <c r="R155" s="51"/>
      <c r="S155" s="51"/>
      <c r="T155" s="51"/>
      <c r="U155" s="51"/>
      <c r="V155" s="51"/>
      <c r="W155" s="51"/>
      <c r="X155" s="51"/>
      <c r="Y155" s="51"/>
      <c r="Z155" s="51"/>
      <c r="AA155" s="51"/>
      <c r="AB155" s="51"/>
      <c r="AC155" s="51"/>
      <c r="AD155" s="51"/>
      <c r="AE155" s="51"/>
      <c r="AF155" s="51"/>
      <c r="AG155" s="51"/>
      <c r="AH155" s="51"/>
      <c r="AI155" s="51"/>
      <c r="AJ155" s="51"/>
    </row>
    <row r="156" spans="1:36" x14ac:dyDescent="0.2">
      <c r="A156" s="9"/>
      <c r="B156" s="50"/>
      <c r="C156" s="51"/>
      <c r="D156" s="51"/>
      <c r="E156" s="51"/>
      <c r="F156" s="51"/>
      <c r="G156" s="51"/>
      <c r="H156" s="51"/>
      <c r="I156" s="51"/>
      <c r="J156" s="51"/>
      <c r="K156" s="51"/>
      <c r="L156" s="51"/>
      <c r="M156" s="51"/>
      <c r="N156" s="51"/>
      <c r="O156" s="51"/>
      <c r="P156" s="51"/>
      <c r="Q156" s="51"/>
      <c r="R156" s="51"/>
      <c r="S156" s="51"/>
      <c r="T156" s="51"/>
      <c r="U156" s="51"/>
      <c r="V156" s="51"/>
      <c r="W156" s="51"/>
      <c r="X156" s="51"/>
      <c r="Y156" s="51"/>
      <c r="Z156" s="51"/>
      <c r="AA156" s="51"/>
      <c r="AB156" s="51"/>
      <c r="AC156" s="51"/>
      <c r="AD156" s="51"/>
      <c r="AE156" s="51"/>
      <c r="AF156" s="51"/>
      <c r="AG156" s="51"/>
      <c r="AH156" s="51"/>
      <c r="AI156" s="51"/>
      <c r="AJ156" s="51"/>
    </row>
    <row r="157" spans="1:36" x14ac:dyDescent="0.2">
      <c r="A157" s="9"/>
      <c r="B157" s="50"/>
      <c r="C157" s="51"/>
      <c r="D157" s="51"/>
      <c r="E157" s="51"/>
      <c r="F157" s="51"/>
      <c r="G157" s="51"/>
      <c r="H157" s="51"/>
      <c r="I157" s="51"/>
      <c r="J157" s="51"/>
      <c r="K157" s="51"/>
      <c r="L157" s="51"/>
      <c r="M157" s="51"/>
      <c r="N157" s="51"/>
      <c r="O157" s="51"/>
      <c r="P157" s="51"/>
      <c r="Q157" s="51"/>
      <c r="R157" s="51"/>
      <c r="S157" s="51"/>
      <c r="T157" s="51"/>
      <c r="U157" s="51"/>
      <c r="V157" s="51"/>
      <c r="W157" s="51"/>
      <c r="X157" s="51"/>
      <c r="Y157" s="51"/>
      <c r="Z157" s="51"/>
      <c r="AA157" s="51"/>
      <c r="AB157" s="51"/>
      <c r="AC157" s="51"/>
      <c r="AD157" s="51"/>
      <c r="AE157" s="51"/>
      <c r="AF157" s="51"/>
      <c r="AG157" s="51"/>
      <c r="AH157" s="51"/>
      <c r="AI157" s="51"/>
      <c r="AJ157" s="51"/>
    </row>
    <row r="158" spans="1:36" x14ac:dyDescent="0.2">
      <c r="A158" s="9"/>
      <c r="B158" s="50"/>
      <c r="C158" s="51"/>
      <c r="D158" s="51"/>
      <c r="E158" s="51"/>
      <c r="F158" s="51"/>
      <c r="G158" s="51"/>
      <c r="H158" s="51"/>
      <c r="I158" s="51"/>
      <c r="J158" s="51"/>
      <c r="K158" s="51"/>
      <c r="L158" s="51"/>
      <c r="M158" s="51"/>
      <c r="N158" s="51"/>
      <c r="O158" s="51"/>
      <c r="P158" s="51"/>
      <c r="Q158" s="51"/>
      <c r="R158" s="51"/>
      <c r="S158" s="51"/>
      <c r="T158" s="51"/>
      <c r="U158" s="51"/>
      <c r="V158" s="51"/>
      <c r="W158" s="51"/>
      <c r="X158" s="51"/>
      <c r="Y158" s="51"/>
      <c r="Z158" s="51"/>
      <c r="AA158" s="51"/>
      <c r="AB158" s="51"/>
      <c r="AC158" s="51"/>
      <c r="AD158" s="51"/>
      <c r="AE158" s="51"/>
      <c r="AF158" s="51"/>
      <c r="AG158" s="51"/>
      <c r="AH158" s="51"/>
      <c r="AI158" s="51"/>
      <c r="AJ158" s="51"/>
    </row>
    <row r="159" spans="1:36" x14ac:dyDescent="0.2">
      <c r="A159" s="9"/>
      <c r="B159" s="50"/>
      <c r="C159" s="51"/>
      <c r="D159" s="51"/>
      <c r="E159" s="51"/>
      <c r="F159" s="51"/>
      <c r="G159" s="51"/>
      <c r="H159" s="51"/>
      <c r="I159" s="51"/>
      <c r="J159" s="51"/>
      <c r="K159" s="51"/>
      <c r="L159" s="51"/>
      <c r="M159" s="51"/>
      <c r="N159" s="51"/>
      <c r="O159" s="51"/>
      <c r="P159" s="51"/>
      <c r="Q159" s="51"/>
      <c r="R159" s="51"/>
      <c r="S159" s="51"/>
      <c r="T159" s="51"/>
      <c r="U159" s="51"/>
      <c r="V159" s="51"/>
      <c r="W159" s="51"/>
      <c r="X159" s="51"/>
      <c r="Y159" s="51"/>
      <c r="Z159" s="51"/>
      <c r="AA159" s="51"/>
      <c r="AB159" s="51"/>
      <c r="AC159" s="51"/>
      <c r="AD159" s="51"/>
      <c r="AE159" s="51"/>
      <c r="AF159" s="51"/>
      <c r="AG159" s="51"/>
      <c r="AH159" s="51"/>
      <c r="AI159" s="51"/>
      <c r="AJ159" s="51"/>
    </row>
    <row r="160" spans="1:36" x14ac:dyDescent="0.2">
      <c r="A160" s="9"/>
      <c r="B160" s="50"/>
      <c r="C160" s="51"/>
      <c r="D160" s="51"/>
      <c r="E160" s="51"/>
      <c r="F160" s="51"/>
      <c r="G160" s="51"/>
      <c r="H160" s="51"/>
      <c r="I160" s="51"/>
      <c r="J160" s="51"/>
      <c r="K160" s="51"/>
      <c r="L160" s="51"/>
      <c r="M160" s="51"/>
      <c r="N160" s="51"/>
      <c r="O160" s="51"/>
      <c r="P160" s="51"/>
      <c r="Q160" s="51"/>
      <c r="R160" s="51"/>
      <c r="S160" s="51"/>
      <c r="T160" s="51"/>
      <c r="U160" s="51"/>
      <c r="V160" s="51"/>
      <c r="W160" s="51"/>
      <c r="X160" s="51"/>
      <c r="Y160" s="51"/>
      <c r="Z160" s="51"/>
      <c r="AA160" s="51"/>
      <c r="AB160" s="51"/>
      <c r="AC160" s="51"/>
      <c r="AD160" s="51"/>
      <c r="AE160" s="51"/>
      <c r="AF160" s="51"/>
      <c r="AG160" s="51"/>
      <c r="AH160" s="51"/>
      <c r="AI160" s="51"/>
      <c r="AJ160" s="51"/>
    </row>
    <row r="161" spans="1:36" x14ac:dyDescent="0.2">
      <c r="A161" s="9"/>
      <c r="B161" s="50"/>
      <c r="C161" s="51"/>
      <c r="D161" s="51"/>
      <c r="E161" s="51"/>
      <c r="F161" s="51"/>
      <c r="G161" s="51"/>
      <c r="H161" s="51"/>
      <c r="I161" s="51"/>
      <c r="J161" s="51"/>
      <c r="K161" s="51"/>
      <c r="L161" s="51"/>
      <c r="M161" s="51"/>
      <c r="N161" s="51"/>
      <c r="O161" s="51"/>
      <c r="P161" s="51"/>
      <c r="Q161" s="51"/>
      <c r="R161" s="51"/>
      <c r="S161" s="51"/>
      <c r="T161" s="51"/>
      <c r="U161" s="51"/>
      <c r="V161" s="51"/>
      <c r="W161" s="51"/>
      <c r="X161" s="51"/>
      <c r="Y161" s="51"/>
      <c r="Z161" s="51"/>
      <c r="AA161" s="51"/>
      <c r="AB161" s="51"/>
      <c r="AC161" s="51"/>
      <c r="AD161" s="51"/>
      <c r="AE161" s="51"/>
      <c r="AF161" s="51"/>
      <c r="AG161" s="51"/>
      <c r="AH161" s="51"/>
      <c r="AI161" s="51"/>
      <c r="AJ161" s="51"/>
    </row>
    <row r="162" spans="1:36" x14ac:dyDescent="0.2">
      <c r="A162" s="9"/>
      <c r="B162" s="50"/>
      <c r="C162" s="51"/>
      <c r="D162" s="51"/>
      <c r="E162" s="51"/>
      <c r="F162" s="51"/>
      <c r="G162" s="51"/>
      <c r="H162" s="51"/>
      <c r="I162" s="51"/>
      <c r="J162" s="51"/>
      <c r="K162" s="51"/>
      <c r="L162" s="51"/>
      <c r="M162" s="51"/>
      <c r="N162" s="51"/>
      <c r="O162" s="51"/>
      <c r="P162" s="51"/>
      <c r="Q162" s="51"/>
      <c r="R162" s="51"/>
      <c r="S162" s="51"/>
      <c r="T162" s="51"/>
      <c r="U162" s="51"/>
      <c r="V162" s="51"/>
      <c r="W162" s="51"/>
      <c r="X162" s="51"/>
      <c r="Y162" s="51"/>
      <c r="Z162" s="51"/>
      <c r="AA162" s="51"/>
      <c r="AB162" s="51"/>
      <c r="AC162" s="51"/>
      <c r="AD162" s="51"/>
      <c r="AE162" s="51"/>
      <c r="AF162" s="51"/>
      <c r="AG162" s="51"/>
      <c r="AH162" s="51"/>
      <c r="AI162" s="51"/>
      <c r="AJ162" s="51"/>
    </row>
    <row r="163" spans="1:36" x14ac:dyDescent="0.2">
      <c r="A163" s="9"/>
      <c r="B163" s="50"/>
      <c r="C163" s="51"/>
      <c r="D163" s="51"/>
      <c r="E163" s="51"/>
      <c r="F163" s="51"/>
      <c r="G163" s="51"/>
      <c r="H163" s="51"/>
      <c r="I163" s="51"/>
      <c r="J163" s="51"/>
      <c r="K163" s="51"/>
      <c r="L163" s="51"/>
      <c r="M163" s="51"/>
      <c r="N163" s="51"/>
      <c r="O163" s="51"/>
      <c r="P163" s="51"/>
      <c r="Q163" s="51"/>
      <c r="R163" s="51"/>
      <c r="S163" s="51"/>
      <c r="T163" s="51"/>
      <c r="U163" s="51"/>
      <c r="V163" s="51"/>
      <c r="W163" s="51"/>
      <c r="X163" s="51"/>
      <c r="Y163" s="51"/>
      <c r="Z163" s="51"/>
      <c r="AA163" s="51"/>
      <c r="AB163" s="51"/>
      <c r="AC163" s="51"/>
      <c r="AD163" s="51"/>
      <c r="AE163" s="51"/>
      <c r="AF163" s="51"/>
      <c r="AG163" s="51"/>
      <c r="AH163" s="51"/>
      <c r="AI163" s="51"/>
      <c r="AJ163" s="51"/>
    </row>
    <row r="164" spans="1:36" x14ac:dyDescent="0.2">
      <c r="A164" s="9"/>
      <c r="B164" s="50"/>
      <c r="C164" s="51"/>
      <c r="D164" s="51"/>
      <c r="E164" s="51"/>
      <c r="F164" s="51"/>
      <c r="G164" s="51"/>
      <c r="H164" s="51"/>
      <c r="I164" s="51"/>
      <c r="J164" s="51"/>
      <c r="K164" s="51"/>
      <c r="L164" s="51"/>
      <c r="M164" s="51"/>
      <c r="N164" s="51"/>
      <c r="O164" s="51"/>
      <c r="P164" s="51"/>
      <c r="Q164" s="51"/>
      <c r="R164" s="51"/>
      <c r="S164" s="51"/>
      <c r="T164" s="51"/>
      <c r="U164" s="51"/>
      <c r="V164" s="51"/>
      <c r="W164" s="51"/>
      <c r="X164" s="51"/>
      <c r="Y164" s="51"/>
      <c r="Z164" s="51"/>
      <c r="AA164" s="51"/>
      <c r="AB164" s="51"/>
      <c r="AC164" s="51"/>
      <c r="AD164" s="51"/>
      <c r="AE164" s="51"/>
      <c r="AF164" s="51"/>
      <c r="AG164" s="51"/>
      <c r="AH164" s="51"/>
      <c r="AI164" s="51"/>
      <c r="AJ164" s="51"/>
    </row>
    <row r="165" spans="1:36" x14ac:dyDescent="0.2">
      <c r="A165" s="9"/>
      <c r="B165" s="50"/>
      <c r="C165" s="51"/>
      <c r="D165" s="51"/>
      <c r="E165" s="51"/>
      <c r="F165" s="51"/>
      <c r="G165" s="51"/>
      <c r="H165" s="51"/>
      <c r="I165" s="51"/>
      <c r="J165" s="51"/>
      <c r="K165" s="51"/>
      <c r="L165" s="51"/>
      <c r="M165" s="51"/>
      <c r="N165" s="51"/>
      <c r="O165" s="51"/>
      <c r="P165" s="51"/>
      <c r="Q165" s="51"/>
      <c r="R165" s="51"/>
      <c r="S165" s="51"/>
      <c r="T165" s="51"/>
      <c r="U165" s="51"/>
      <c r="V165" s="51"/>
      <c r="W165" s="51"/>
      <c r="X165" s="51"/>
      <c r="Y165" s="51"/>
      <c r="Z165" s="51"/>
      <c r="AA165" s="51"/>
      <c r="AB165" s="51"/>
      <c r="AC165" s="51"/>
      <c r="AD165" s="51"/>
      <c r="AE165" s="51"/>
      <c r="AF165" s="51"/>
      <c r="AG165" s="51"/>
      <c r="AH165" s="51"/>
      <c r="AI165" s="51"/>
      <c r="AJ165" s="51"/>
    </row>
    <row r="166" spans="1:36" x14ac:dyDescent="0.2">
      <c r="A166" s="9"/>
      <c r="B166" s="50"/>
      <c r="C166" s="51"/>
      <c r="D166" s="51"/>
      <c r="E166" s="51"/>
      <c r="F166" s="51"/>
      <c r="G166" s="51"/>
      <c r="H166" s="51"/>
      <c r="I166" s="51"/>
      <c r="J166" s="51"/>
      <c r="K166" s="51"/>
      <c r="L166" s="51"/>
      <c r="M166" s="51"/>
      <c r="N166" s="51"/>
      <c r="O166" s="51"/>
      <c r="P166" s="51"/>
      <c r="Q166" s="51"/>
      <c r="R166" s="51"/>
      <c r="S166" s="51"/>
      <c r="T166" s="51"/>
      <c r="U166" s="51"/>
      <c r="V166" s="51"/>
      <c r="W166" s="51"/>
      <c r="X166" s="51"/>
      <c r="Y166" s="51"/>
      <c r="Z166" s="51"/>
      <c r="AA166" s="51"/>
      <c r="AB166" s="51"/>
      <c r="AC166" s="51"/>
      <c r="AD166" s="51"/>
      <c r="AE166" s="51"/>
      <c r="AF166" s="51"/>
      <c r="AG166" s="51"/>
      <c r="AH166" s="51"/>
      <c r="AI166" s="51"/>
      <c r="AJ166" s="51"/>
    </row>
    <row r="167" spans="1:36" x14ac:dyDescent="0.2">
      <c r="A167" s="9"/>
      <c r="B167" s="50"/>
      <c r="C167" s="51"/>
      <c r="D167" s="51"/>
      <c r="E167" s="51"/>
      <c r="F167" s="51"/>
      <c r="G167" s="51"/>
      <c r="H167" s="51"/>
      <c r="I167" s="51"/>
      <c r="J167" s="51"/>
      <c r="K167" s="51"/>
      <c r="L167" s="51"/>
      <c r="M167" s="51"/>
      <c r="N167" s="51"/>
      <c r="O167" s="51"/>
      <c r="P167" s="51"/>
      <c r="Q167" s="51"/>
      <c r="R167" s="51"/>
      <c r="S167" s="51"/>
      <c r="T167" s="51"/>
      <c r="U167" s="51"/>
      <c r="V167" s="51"/>
      <c r="W167" s="51"/>
      <c r="X167" s="51"/>
      <c r="Y167" s="51"/>
      <c r="Z167" s="51"/>
      <c r="AA167" s="51"/>
      <c r="AB167" s="51"/>
      <c r="AC167" s="51"/>
      <c r="AD167" s="51"/>
      <c r="AE167" s="51"/>
      <c r="AF167" s="51"/>
      <c r="AG167" s="51"/>
      <c r="AH167" s="51"/>
      <c r="AI167" s="51"/>
      <c r="AJ167" s="51"/>
    </row>
    <row r="168" spans="1:36" x14ac:dyDescent="0.2">
      <c r="A168" s="9"/>
      <c r="B168" s="50"/>
      <c r="C168" s="51"/>
      <c r="D168" s="51"/>
      <c r="E168" s="51"/>
      <c r="F168" s="51"/>
      <c r="G168" s="51"/>
      <c r="H168" s="51"/>
      <c r="I168" s="51"/>
      <c r="J168" s="51"/>
      <c r="K168" s="51"/>
      <c r="L168" s="51"/>
      <c r="M168" s="51"/>
      <c r="N168" s="51"/>
      <c r="O168" s="51"/>
      <c r="P168" s="51"/>
      <c r="Q168" s="51"/>
      <c r="R168" s="51"/>
      <c r="S168" s="51"/>
      <c r="T168" s="51"/>
      <c r="U168" s="51"/>
      <c r="V168" s="51"/>
      <c r="W168" s="51"/>
      <c r="X168" s="51"/>
      <c r="Y168" s="51"/>
      <c r="Z168" s="51"/>
      <c r="AA168" s="51"/>
      <c r="AB168" s="51"/>
      <c r="AC168" s="51"/>
      <c r="AD168" s="51"/>
      <c r="AE168" s="51"/>
      <c r="AF168" s="51"/>
      <c r="AG168" s="51"/>
      <c r="AH168" s="51"/>
      <c r="AI168" s="51"/>
      <c r="AJ168" s="51"/>
    </row>
    <row r="169" spans="1:36" x14ac:dyDescent="0.2">
      <c r="A169" s="9"/>
      <c r="B169" s="50"/>
      <c r="C169" s="51"/>
      <c r="D169" s="51"/>
      <c r="E169" s="51"/>
      <c r="F169" s="51"/>
      <c r="G169" s="51"/>
      <c r="H169" s="51"/>
      <c r="I169" s="51"/>
      <c r="J169" s="51"/>
      <c r="K169" s="51"/>
      <c r="L169" s="51"/>
      <c r="M169" s="51"/>
      <c r="N169" s="51"/>
      <c r="O169" s="51"/>
      <c r="P169" s="51"/>
      <c r="Q169" s="51"/>
      <c r="R169" s="51"/>
      <c r="S169" s="51"/>
      <c r="T169" s="51"/>
      <c r="U169" s="51"/>
      <c r="V169" s="51"/>
      <c r="W169" s="51"/>
      <c r="X169" s="51"/>
      <c r="Y169" s="51"/>
      <c r="Z169" s="51"/>
      <c r="AA169" s="51"/>
      <c r="AB169" s="51"/>
      <c r="AC169" s="51"/>
      <c r="AD169" s="51"/>
      <c r="AE169" s="51"/>
      <c r="AF169" s="51"/>
      <c r="AG169" s="51"/>
      <c r="AH169" s="51"/>
      <c r="AI169" s="51"/>
      <c r="AJ169" s="51"/>
    </row>
    <row r="170" spans="1:36" x14ac:dyDescent="0.2">
      <c r="A170" s="9"/>
      <c r="B170" s="50"/>
      <c r="C170" s="51"/>
      <c r="D170" s="51"/>
      <c r="E170" s="51"/>
      <c r="F170" s="51"/>
      <c r="G170" s="51"/>
      <c r="H170" s="51"/>
      <c r="I170" s="51"/>
      <c r="J170" s="51"/>
      <c r="K170" s="51"/>
      <c r="L170" s="51"/>
      <c r="M170" s="51"/>
      <c r="N170" s="51"/>
      <c r="O170" s="51"/>
      <c r="P170" s="51"/>
      <c r="Q170" s="51"/>
      <c r="R170" s="51"/>
      <c r="S170" s="51"/>
      <c r="T170" s="51"/>
      <c r="U170" s="51"/>
      <c r="V170" s="51"/>
      <c r="W170" s="51"/>
      <c r="X170" s="51"/>
      <c r="Y170" s="51"/>
      <c r="Z170" s="51"/>
      <c r="AA170" s="51"/>
      <c r="AB170" s="51"/>
      <c r="AC170" s="51"/>
      <c r="AD170" s="51"/>
      <c r="AE170" s="51"/>
      <c r="AF170" s="51"/>
      <c r="AG170" s="51"/>
      <c r="AH170" s="51"/>
      <c r="AI170" s="51"/>
      <c r="AJ170" s="51"/>
    </row>
    <row r="171" spans="1:36" x14ac:dyDescent="0.2">
      <c r="A171" s="9"/>
      <c r="B171" s="50"/>
      <c r="C171" s="51"/>
      <c r="D171" s="51"/>
      <c r="E171" s="51"/>
      <c r="F171" s="51"/>
      <c r="G171" s="51"/>
      <c r="H171" s="51"/>
      <c r="I171" s="51"/>
      <c r="J171" s="51"/>
      <c r="K171" s="51"/>
      <c r="L171" s="51"/>
      <c r="M171" s="51"/>
      <c r="N171" s="51"/>
      <c r="O171" s="51"/>
      <c r="P171" s="51"/>
      <c r="Q171" s="51"/>
      <c r="R171" s="51"/>
      <c r="S171" s="51"/>
      <c r="T171" s="51"/>
      <c r="U171" s="51"/>
      <c r="V171" s="51"/>
      <c r="W171" s="51"/>
      <c r="X171" s="51"/>
      <c r="Y171" s="51"/>
      <c r="Z171" s="51"/>
      <c r="AA171" s="51"/>
      <c r="AB171" s="51"/>
      <c r="AC171" s="51"/>
      <c r="AD171" s="51"/>
      <c r="AE171" s="51"/>
      <c r="AF171" s="51"/>
      <c r="AG171" s="51"/>
      <c r="AH171" s="51"/>
      <c r="AI171" s="51"/>
      <c r="AJ171" s="51"/>
    </row>
    <row r="172" spans="1:36" x14ac:dyDescent="0.2">
      <c r="A172" s="9"/>
      <c r="B172" s="50"/>
      <c r="C172" s="51"/>
      <c r="D172" s="51"/>
      <c r="E172" s="51"/>
      <c r="F172" s="51"/>
      <c r="G172" s="51"/>
      <c r="H172" s="51"/>
      <c r="I172" s="51"/>
      <c r="J172" s="51"/>
      <c r="K172" s="51"/>
      <c r="L172" s="51"/>
      <c r="M172" s="51"/>
      <c r="N172" s="51"/>
      <c r="O172" s="51"/>
      <c r="P172" s="51"/>
      <c r="Q172" s="51"/>
      <c r="R172" s="51"/>
      <c r="S172" s="51"/>
      <c r="T172" s="51"/>
      <c r="U172" s="51"/>
      <c r="V172" s="51"/>
      <c r="W172" s="51"/>
      <c r="X172" s="51"/>
      <c r="Y172" s="51"/>
      <c r="Z172" s="51"/>
      <c r="AA172" s="51"/>
      <c r="AB172" s="51"/>
      <c r="AC172" s="51"/>
      <c r="AD172" s="51"/>
      <c r="AE172" s="51"/>
      <c r="AF172" s="51"/>
      <c r="AG172" s="51"/>
      <c r="AH172" s="51"/>
      <c r="AI172" s="51"/>
      <c r="AJ172" s="51"/>
    </row>
    <row r="173" spans="1:36" x14ac:dyDescent="0.2">
      <c r="A173" s="9"/>
      <c r="B173" s="50"/>
      <c r="C173" s="51"/>
      <c r="D173" s="51"/>
      <c r="E173" s="51"/>
      <c r="F173" s="51"/>
      <c r="G173" s="51"/>
      <c r="H173" s="51"/>
      <c r="I173" s="51"/>
      <c r="J173" s="51"/>
      <c r="K173" s="51"/>
      <c r="L173" s="51"/>
      <c r="M173" s="51"/>
      <c r="N173" s="51"/>
      <c r="O173" s="51"/>
      <c r="P173" s="51"/>
      <c r="Q173" s="51"/>
      <c r="R173" s="51"/>
      <c r="S173" s="51"/>
      <c r="T173" s="51"/>
      <c r="U173" s="51"/>
      <c r="V173" s="51"/>
      <c r="W173" s="51"/>
      <c r="X173" s="51"/>
      <c r="Y173" s="51"/>
      <c r="Z173" s="51"/>
      <c r="AA173" s="51"/>
      <c r="AB173" s="51"/>
      <c r="AC173" s="51"/>
      <c r="AD173" s="51"/>
      <c r="AE173" s="51"/>
      <c r="AF173" s="51"/>
      <c r="AG173" s="51"/>
      <c r="AH173" s="51"/>
      <c r="AI173" s="51"/>
      <c r="AJ173" s="51"/>
    </row>
    <row r="174" spans="1:36" x14ac:dyDescent="0.2">
      <c r="A174" s="9"/>
      <c r="B174" s="50"/>
      <c r="C174" s="51"/>
      <c r="D174" s="51"/>
      <c r="E174" s="51"/>
      <c r="F174" s="51"/>
      <c r="G174" s="51"/>
      <c r="H174" s="51"/>
      <c r="I174" s="51"/>
      <c r="J174" s="51"/>
      <c r="K174" s="51"/>
      <c r="L174" s="51"/>
      <c r="M174" s="51"/>
      <c r="N174" s="51"/>
      <c r="O174" s="51"/>
      <c r="P174" s="51"/>
      <c r="Q174" s="51"/>
      <c r="R174" s="51"/>
      <c r="S174" s="51"/>
      <c r="T174" s="51"/>
      <c r="U174" s="51"/>
      <c r="V174" s="51"/>
      <c r="W174" s="51"/>
      <c r="X174" s="51"/>
      <c r="Y174" s="51"/>
      <c r="Z174" s="51"/>
      <c r="AA174" s="51"/>
      <c r="AB174" s="51"/>
      <c r="AC174" s="51"/>
      <c r="AD174" s="51"/>
      <c r="AE174" s="51"/>
      <c r="AF174" s="51"/>
      <c r="AG174" s="51"/>
      <c r="AH174" s="51"/>
      <c r="AI174" s="51"/>
      <c r="AJ174" s="51"/>
    </row>
    <row r="175" spans="1:36" x14ac:dyDescent="0.2">
      <c r="A175" s="9"/>
      <c r="B175" s="50"/>
      <c r="C175" s="51"/>
      <c r="D175" s="51"/>
      <c r="E175" s="51"/>
      <c r="F175" s="51"/>
      <c r="G175" s="51"/>
      <c r="H175" s="51"/>
      <c r="I175" s="51"/>
      <c r="J175" s="51"/>
      <c r="K175" s="51"/>
      <c r="L175" s="51"/>
      <c r="M175" s="51"/>
      <c r="N175" s="51"/>
      <c r="O175" s="51"/>
      <c r="P175" s="51"/>
      <c r="Q175" s="51"/>
      <c r="R175" s="51"/>
      <c r="S175" s="51"/>
      <c r="T175" s="51"/>
      <c r="U175" s="51"/>
      <c r="V175" s="51"/>
      <c r="W175" s="51"/>
      <c r="X175" s="51"/>
      <c r="Y175" s="51"/>
      <c r="Z175" s="51"/>
      <c r="AA175" s="51"/>
      <c r="AB175" s="51"/>
      <c r="AC175" s="51"/>
      <c r="AD175" s="51"/>
      <c r="AE175" s="51"/>
      <c r="AF175" s="51"/>
      <c r="AG175" s="51"/>
      <c r="AH175" s="51"/>
      <c r="AI175" s="51"/>
      <c r="AJ175" s="51"/>
    </row>
    <row r="176" spans="1:36" x14ac:dyDescent="0.2">
      <c r="A176" s="9"/>
      <c r="B176" s="50"/>
      <c r="C176" s="51"/>
      <c r="D176" s="51"/>
      <c r="E176" s="51"/>
      <c r="F176" s="51"/>
      <c r="G176" s="51"/>
      <c r="H176" s="51"/>
      <c r="I176" s="51"/>
      <c r="J176" s="51"/>
      <c r="K176" s="51"/>
      <c r="L176" s="51"/>
      <c r="M176" s="51"/>
      <c r="N176" s="51"/>
      <c r="O176" s="51"/>
      <c r="P176" s="51"/>
      <c r="Q176" s="51"/>
      <c r="R176" s="51"/>
      <c r="S176" s="51"/>
      <c r="T176" s="51"/>
      <c r="U176" s="51"/>
      <c r="V176" s="51"/>
      <c r="W176" s="51"/>
      <c r="X176" s="51"/>
      <c r="Y176" s="51"/>
      <c r="Z176" s="51"/>
      <c r="AA176" s="51"/>
      <c r="AB176" s="51"/>
      <c r="AC176" s="51"/>
      <c r="AD176" s="51"/>
      <c r="AE176" s="51"/>
      <c r="AF176" s="51"/>
      <c r="AG176" s="51"/>
      <c r="AH176" s="51"/>
      <c r="AI176" s="51"/>
      <c r="AJ176" s="51"/>
    </row>
    <row r="177" spans="1:36" x14ac:dyDescent="0.2">
      <c r="A177" s="9"/>
      <c r="B177" s="50"/>
      <c r="C177" s="51"/>
      <c r="D177" s="51"/>
      <c r="E177" s="51"/>
      <c r="F177" s="51"/>
      <c r="G177" s="51"/>
      <c r="H177" s="51"/>
      <c r="I177" s="51"/>
      <c r="J177" s="51"/>
      <c r="K177" s="51"/>
      <c r="L177" s="51"/>
      <c r="M177" s="51"/>
      <c r="N177" s="51"/>
      <c r="O177" s="51"/>
      <c r="P177" s="51"/>
      <c r="Q177" s="51"/>
      <c r="R177" s="51"/>
      <c r="S177" s="51"/>
      <c r="T177" s="51"/>
      <c r="U177" s="51"/>
      <c r="V177" s="51"/>
      <c r="W177" s="51"/>
      <c r="X177" s="51"/>
      <c r="Y177" s="51"/>
      <c r="Z177" s="51"/>
      <c r="AA177" s="51"/>
      <c r="AB177" s="51"/>
      <c r="AC177" s="51"/>
      <c r="AD177" s="51"/>
      <c r="AE177" s="51"/>
      <c r="AF177" s="51"/>
      <c r="AG177" s="51"/>
      <c r="AH177" s="51"/>
      <c r="AI177" s="51"/>
      <c r="AJ177" s="51"/>
    </row>
    <row r="178" spans="1:36" x14ac:dyDescent="0.2">
      <c r="A178" s="9"/>
      <c r="B178" s="50"/>
      <c r="C178" s="51"/>
      <c r="D178" s="51"/>
      <c r="E178" s="51"/>
      <c r="F178" s="51"/>
      <c r="G178" s="51"/>
      <c r="H178" s="51"/>
      <c r="I178" s="51"/>
      <c r="J178" s="51"/>
      <c r="K178" s="51"/>
      <c r="L178" s="51"/>
      <c r="M178" s="51"/>
      <c r="N178" s="51"/>
      <c r="O178" s="51"/>
      <c r="P178" s="51"/>
      <c r="Q178" s="51"/>
      <c r="R178" s="51"/>
      <c r="S178" s="51"/>
      <c r="T178" s="51"/>
      <c r="U178" s="51"/>
      <c r="V178" s="51"/>
      <c r="W178" s="51"/>
      <c r="X178" s="51"/>
      <c r="Y178" s="51"/>
      <c r="Z178" s="51"/>
      <c r="AA178" s="51"/>
      <c r="AB178" s="51"/>
      <c r="AC178" s="51"/>
      <c r="AD178" s="51"/>
      <c r="AE178" s="51"/>
      <c r="AF178" s="51"/>
      <c r="AG178" s="51"/>
      <c r="AH178" s="51"/>
      <c r="AI178" s="51"/>
      <c r="AJ178" s="51"/>
    </row>
    <row r="179" spans="1:36" x14ac:dyDescent="0.2">
      <c r="A179" s="9"/>
      <c r="B179" s="50"/>
      <c r="C179" s="51"/>
      <c r="D179" s="51"/>
      <c r="E179" s="51"/>
      <c r="F179" s="51"/>
      <c r="G179" s="51"/>
      <c r="H179" s="51"/>
      <c r="I179" s="51"/>
      <c r="J179" s="51"/>
      <c r="K179" s="51"/>
      <c r="L179" s="51"/>
      <c r="M179" s="51"/>
      <c r="N179" s="51"/>
      <c r="O179" s="51"/>
      <c r="P179" s="51"/>
      <c r="Q179" s="51"/>
      <c r="R179" s="51"/>
      <c r="S179" s="51"/>
      <c r="T179" s="51"/>
      <c r="U179" s="51"/>
      <c r="V179" s="51"/>
      <c r="W179" s="51"/>
      <c r="X179" s="51"/>
      <c r="Y179" s="51"/>
      <c r="Z179" s="51"/>
      <c r="AA179" s="51"/>
      <c r="AB179" s="51"/>
      <c r="AC179" s="51"/>
      <c r="AD179" s="51"/>
      <c r="AE179" s="51"/>
      <c r="AF179" s="51"/>
      <c r="AG179" s="51"/>
      <c r="AH179" s="51"/>
      <c r="AI179" s="51"/>
      <c r="AJ179" s="51"/>
    </row>
    <row r="180" spans="1:36" x14ac:dyDescent="0.2">
      <c r="A180" s="9"/>
      <c r="B180" s="50"/>
      <c r="C180" s="51"/>
      <c r="D180" s="51"/>
      <c r="E180" s="51"/>
      <c r="F180" s="51"/>
      <c r="G180" s="51"/>
      <c r="H180" s="51"/>
      <c r="I180" s="51"/>
      <c r="J180" s="51"/>
      <c r="K180" s="51"/>
      <c r="L180" s="51"/>
      <c r="M180" s="51"/>
      <c r="N180" s="51"/>
      <c r="O180" s="51"/>
      <c r="P180" s="51"/>
      <c r="Q180" s="51"/>
      <c r="R180" s="51"/>
      <c r="S180" s="51"/>
      <c r="T180" s="51"/>
      <c r="U180" s="51"/>
      <c r="V180" s="51"/>
      <c r="W180" s="51"/>
      <c r="X180" s="51"/>
      <c r="Y180" s="51"/>
      <c r="Z180" s="51"/>
      <c r="AA180" s="51"/>
      <c r="AB180" s="51"/>
      <c r="AC180" s="51"/>
      <c r="AD180" s="51"/>
      <c r="AE180" s="51"/>
      <c r="AF180" s="51"/>
      <c r="AG180" s="51"/>
      <c r="AH180" s="51"/>
      <c r="AI180" s="51"/>
      <c r="AJ180" s="51"/>
    </row>
    <row r="181" spans="1:36" x14ac:dyDescent="0.2">
      <c r="A181" s="9"/>
      <c r="B181" s="50"/>
      <c r="C181" s="51"/>
      <c r="D181" s="51"/>
      <c r="E181" s="51"/>
      <c r="F181" s="51"/>
      <c r="G181" s="51"/>
      <c r="H181" s="51"/>
      <c r="I181" s="51"/>
      <c r="J181" s="51"/>
      <c r="K181" s="51"/>
      <c r="L181" s="51"/>
      <c r="M181" s="51"/>
      <c r="N181" s="51"/>
      <c r="O181" s="51"/>
      <c r="P181" s="51"/>
      <c r="Q181" s="51"/>
      <c r="R181" s="51"/>
      <c r="S181" s="51"/>
      <c r="T181" s="51"/>
      <c r="U181" s="51"/>
      <c r="V181" s="51"/>
      <c r="W181" s="51"/>
      <c r="X181" s="51"/>
      <c r="Y181" s="51"/>
      <c r="Z181" s="51"/>
      <c r="AA181" s="51"/>
      <c r="AB181" s="51"/>
      <c r="AC181" s="51"/>
      <c r="AD181" s="51"/>
      <c r="AE181" s="51"/>
      <c r="AF181" s="51"/>
      <c r="AG181" s="51"/>
      <c r="AH181" s="51"/>
      <c r="AI181" s="51"/>
      <c r="AJ181" s="51"/>
    </row>
    <row r="182" spans="1:36" x14ac:dyDescent="0.2">
      <c r="A182" s="9"/>
      <c r="B182" s="50"/>
      <c r="C182" s="51"/>
      <c r="D182" s="51"/>
      <c r="E182" s="51"/>
      <c r="F182" s="51"/>
      <c r="G182" s="51"/>
      <c r="H182" s="51"/>
      <c r="I182" s="51"/>
      <c r="J182" s="51"/>
      <c r="K182" s="51"/>
      <c r="L182" s="51"/>
      <c r="M182" s="51"/>
      <c r="N182" s="51"/>
      <c r="O182" s="51"/>
      <c r="P182" s="51"/>
      <c r="Q182" s="51"/>
      <c r="R182" s="51"/>
      <c r="S182" s="51"/>
      <c r="T182" s="51"/>
      <c r="U182" s="51"/>
      <c r="V182" s="51"/>
      <c r="W182" s="51"/>
      <c r="X182" s="51"/>
      <c r="Y182" s="51"/>
      <c r="Z182" s="51"/>
      <c r="AA182" s="51"/>
      <c r="AB182" s="51"/>
      <c r="AC182" s="51"/>
      <c r="AD182" s="51"/>
      <c r="AE182" s="51"/>
      <c r="AF182" s="51"/>
      <c r="AG182" s="51"/>
      <c r="AH182" s="51"/>
      <c r="AI182" s="51"/>
      <c r="AJ182" s="51"/>
    </row>
    <row r="183" spans="1:36" x14ac:dyDescent="0.2">
      <c r="A183" s="9"/>
      <c r="B183" s="50"/>
      <c r="C183" s="51"/>
      <c r="D183" s="51"/>
      <c r="E183" s="51"/>
      <c r="F183" s="51"/>
      <c r="G183" s="51"/>
      <c r="H183" s="51"/>
      <c r="I183" s="51"/>
      <c r="J183" s="51"/>
      <c r="K183" s="51"/>
      <c r="L183" s="51"/>
      <c r="M183" s="51"/>
      <c r="N183" s="51"/>
      <c r="O183" s="51"/>
      <c r="P183" s="51"/>
      <c r="Q183" s="51"/>
      <c r="R183" s="51"/>
      <c r="S183" s="51"/>
      <c r="T183" s="51"/>
      <c r="U183" s="51"/>
      <c r="V183" s="51"/>
      <c r="W183" s="51"/>
      <c r="X183" s="51"/>
      <c r="Y183" s="51"/>
      <c r="Z183" s="51"/>
      <c r="AA183" s="51"/>
      <c r="AB183" s="51"/>
      <c r="AC183" s="51"/>
      <c r="AD183" s="51"/>
      <c r="AE183" s="51"/>
      <c r="AF183" s="51"/>
      <c r="AG183" s="51"/>
      <c r="AH183" s="51"/>
      <c r="AI183" s="51"/>
      <c r="AJ183" s="51"/>
    </row>
    <row r="184" spans="1:36" x14ac:dyDescent="0.2">
      <c r="A184" s="9"/>
      <c r="B184" s="50"/>
      <c r="C184" s="51"/>
      <c r="D184" s="51"/>
      <c r="E184" s="51"/>
      <c r="F184" s="51"/>
      <c r="G184" s="51"/>
      <c r="H184" s="51"/>
      <c r="I184" s="51"/>
      <c r="J184" s="51"/>
      <c r="K184" s="51"/>
      <c r="L184" s="51"/>
      <c r="M184" s="51"/>
      <c r="N184" s="51"/>
      <c r="O184" s="51"/>
      <c r="P184" s="51"/>
      <c r="Q184" s="51"/>
      <c r="R184" s="51"/>
      <c r="S184" s="51"/>
      <c r="T184" s="51"/>
      <c r="U184" s="51"/>
      <c r="V184" s="51"/>
      <c r="W184" s="51"/>
      <c r="X184" s="51"/>
      <c r="Y184" s="51"/>
      <c r="Z184" s="51"/>
      <c r="AA184" s="51"/>
      <c r="AB184" s="51"/>
      <c r="AC184" s="51"/>
      <c r="AD184" s="51"/>
      <c r="AE184" s="51"/>
      <c r="AF184" s="51"/>
      <c r="AG184" s="51"/>
      <c r="AH184" s="51"/>
      <c r="AI184" s="51"/>
      <c r="AJ184" s="51"/>
    </row>
    <row r="185" spans="1:36" x14ac:dyDescent="0.2">
      <c r="A185" s="9"/>
      <c r="B185" s="50"/>
      <c r="C185" s="51"/>
      <c r="D185" s="51"/>
      <c r="E185" s="51"/>
      <c r="F185" s="51"/>
      <c r="G185" s="51"/>
      <c r="H185" s="51"/>
      <c r="I185" s="51"/>
      <c r="J185" s="51"/>
      <c r="K185" s="51"/>
      <c r="L185" s="51"/>
      <c r="M185" s="51"/>
      <c r="N185" s="51"/>
      <c r="O185" s="51"/>
      <c r="P185" s="51"/>
      <c r="Q185" s="51"/>
      <c r="R185" s="51"/>
      <c r="S185" s="51"/>
      <c r="T185" s="51"/>
      <c r="U185" s="51"/>
      <c r="V185" s="51"/>
      <c r="W185" s="51"/>
      <c r="X185" s="51"/>
      <c r="Y185" s="51"/>
      <c r="Z185" s="51"/>
      <c r="AA185" s="51"/>
      <c r="AB185" s="51"/>
      <c r="AC185" s="51"/>
      <c r="AD185" s="51"/>
      <c r="AE185" s="51"/>
      <c r="AF185" s="51"/>
      <c r="AG185" s="51"/>
      <c r="AH185" s="51"/>
      <c r="AI185" s="51"/>
      <c r="AJ185" s="51"/>
    </row>
    <row r="186" spans="1:36" x14ac:dyDescent="0.2">
      <c r="A186" s="9"/>
      <c r="B186" s="50"/>
      <c r="C186" s="51"/>
      <c r="D186" s="51"/>
      <c r="E186" s="51"/>
      <c r="F186" s="51"/>
      <c r="G186" s="51"/>
      <c r="H186" s="51"/>
      <c r="I186" s="51"/>
      <c r="J186" s="51"/>
      <c r="K186" s="51"/>
      <c r="L186" s="51"/>
      <c r="M186" s="51"/>
      <c r="N186" s="51"/>
      <c r="O186" s="51"/>
      <c r="P186" s="51"/>
      <c r="Q186" s="51"/>
      <c r="R186" s="51"/>
      <c r="S186" s="51"/>
      <c r="T186" s="51"/>
      <c r="U186" s="51"/>
      <c r="V186" s="51"/>
      <c r="W186" s="51"/>
      <c r="X186" s="51"/>
      <c r="Y186" s="51"/>
      <c r="Z186" s="51"/>
      <c r="AA186" s="51"/>
      <c r="AB186" s="51"/>
      <c r="AC186" s="51"/>
      <c r="AD186" s="51"/>
      <c r="AE186" s="51"/>
      <c r="AF186" s="51"/>
      <c r="AG186" s="51"/>
      <c r="AH186" s="51"/>
      <c r="AI186" s="51"/>
      <c r="AJ186" s="51"/>
    </row>
    <row r="187" spans="1:36" x14ac:dyDescent="0.2">
      <c r="A187" s="9"/>
      <c r="B187" s="50"/>
      <c r="C187" s="51"/>
      <c r="D187" s="51"/>
      <c r="E187" s="51"/>
      <c r="F187" s="51"/>
      <c r="G187" s="51"/>
      <c r="H187" s="51"/>
      <c r="I187" s="51"/>
      <c r="J187" s="51"/>
      <c r="K187" s="51"/>
      <c r="L187" s="51"/>
      <c r="M187" s="51"/>
      <c r="N187" s="51"/>
      <c r="O187" s="51"/>
      <c r="P187" s="51"/>
      <c r="Q187" s="51"/>
      <c r="R187" s="51"/>
      <c r="S187" s="51"/>
      <c r="T187" s="51"/>
      <c r="U187" s="51"/>
      <c r="V187" s="51"/>
      <c r="W187" s="51"/>
      <c r="X187" s="51"/>
      <c r="Y187" s="51"/>
      <c r="Z187" s="51"/>
      <c r="AA187" s="51"/>
      <c r="AB187" s="51"/>
      <c r="AC187" s="51"/>
      <c r="AD187" s="51"/>
      <c r="AE187" s="51"/>
      <c r="AF187" s="51"/>
      <c r="AG187" s="51"/>
      <c r="AH187" s="51"/>
      <c r="AI187" s="51"/>
      <c r="AJ187" s="51"/>
    </row>
    <row r="188" spans="1:36" x14ac:dyDescent="0.2">
      <c r="A188" s="9"/>
      <c r="B188" s="50"/>
      <c r="C188" s="51"/>
      <c r="D188" s="51"/>
      <c r="E188" s="51"/>
      <c r="F188" s="51"/>
      <c r="G188" s="51"/>
      <c r="H188" s="51"/>
      <c r="I188" s="51"/>
      <c r="J188" s="51"/>
      <c r="K188" s="51"/>
      <c r="L188" s="51"/>
      <c r="M188" s="51"/>
      <c r="N188" s="51"/>
      <c r="O188" s="51"/>
      <c r="P188" s="51"/>
      <c r="Q188" s="51"/>
      <c r="R188" s="51"/>
      <c r="S188" s="51"/>
      <c r="T188" s="51"/>
      <c r="U188" s="51"/>
      <c r="V188" s="51"/>
      <c r="W188" s="51"/>
      <c r="X188" s="51"/>
      <c r="Y188" s="51"/>
      <c r="Z188" s="51"/>
      <c r="AA188" s="51"/>
      <c r="AB188" s="51"/>
      <c r="AC188" s="51"/>
      <c r="AD188" s="51"/>
      <c r="AE188" s="51"/>
      <c r="AF188" s="51"/>
      <c r="AG188" s="51"/>
      <c r="AH188" s="51"/>
      <c r="AI188" s="51"/>
      <c r="AJ188" s="51"/>
    </row>
    <row r="189" spans="1:36" x14ac:dyDescent="0.2">
      <c r="A189" s="9"/>
      <c r="B189" s="50"/>
      <c r="C189" s="51"/>
      <c r="D189" s="51"/>
      <c r="E189" s="51"/>
      <c r="F189" s="51"/>
      <c r="G189" s="51"/>
      <c r="H189" s="51"/>
      <c r="I189" s="51"/>
      <c r="J189" s="51"/>
      <c r="K189" s="51"/>
      <c r="L189" s="51"/>
      <c r="M189" s="51"/>
      <c r="N189" s="51"/>
      <c r="O189" s="51"/>
      <c r="P189" s="51"/>
      <c r="Q189" s="51"/>
      <c r="R189" s="51"/>
      <c r="S189" s="51"/>
      <c r="T189" s="51"/>
      <c r="U189" s="51"/>
      <c r="V189" s="51"/>
      <c r="W189" s="51"/>
      <c r="X189" s="51"/>
      <c r="Y189" s="51"/>
      <c r="Z189" s="51"/>
      <c r="AA189" s="51"/>
      <c r="AB189" s="51"/>
      <c r="AC189" s="51"/>
      <c r="AD189" s="51"/>
      <c r="AE189" s="51"/>
      <c r="AF189" s="51"/>
      <c r="AG189" s="51"/>
      <c r="AH189" s="51"/>
      <c r="AI189" s="51"/>
      <c r="AJ189" s="51"/>
    </row>
    <row r="190" spans="1:36" x14ac:dyDescent="0.2">
      <c r="A190" s="9"/>
      <c r="B190" s="50"/>
      <c r="C190" s="51"/>
      <c r="D190" s="51"/>
      <c r="E190" s="51"/>
      <c r="F190" s="51"/>
      <c r="G190" s="51"/>
      <c r="H190" s="51"/>
      <c r="I190" s="51"/>
      <c r="J190" s="51"/>
      <c r="K190" s="51"/>
      <c r="L190" s="51"/>
      <c r="M190" s="51"/>
      <c r="N190" s="51"/>
      <c r="O190" s="51"/>
      <c r="P190" s="51"/>
      <c r="Q190" s="51"/>
      <c r="R190" s="51"/>
      <c r="S190" s="51"/>
      <c r="T190" s="51"/>
      <c r="U190" s="51"/>
      <c r="V190" s="51"/>
      <c r="W190" s="51"/>
      <c r="X190" s="51"/>
      <c r="Y190" s="51"/>
      <c r="Z190" s="51"/>
      <c r="AA190" s="51"/>
      <c r="AB190" s="51"/>
      <c r="AC190" s="51"/>
      <c r="AD190" s="51"/>
      <c r="AE190" s="51"/>
      <c r="AF190" s="51"/>
      <c r="AG190" s="51"/>
      <c r="AH190" s="51"/>
      <c r="AI190" s="51"/>
      <c r="AJ190" s="51"/>
    </row>
    <row r="191" spans="1:36" x14ac:dyDescent="0.2">
      <c r="A191" s="9"/>
      <c r="B191" s="50"/>
      <c r="C191" s="51"/>
      <c r="D191" s="51"/>
      <c r="E191" s="51"/>
      <c r="F191" s="51"/>
      <c r="G191" s="51"/>
      <c r="H191" s="51"/>
      <c r="I191" s="51"/>
      <c r="J191" s="51"/>
      <c r="K191" s="51"/>
      <c r="L191" s="51"/>
      <c r="M191" s="51"/>
      <c r="N191" s="51"/>
      <c r="O191" s="51"/>
      <c r="P191" s="51"/>
      <c r="Q191" s="51"/>
      <c r="R191" s="51"/>
      <c r="S191" s="51"/>
      <c r="T191" s="51"/>
      <c r="U191" s="51"/>
      <c r="V191" s="51"/>
      <c r="W191" s="51"/>
      <c r="X191" s="51"/>
      <c r="Y191" s="51"/>
      <c r="Z191" s="51"/>
      <c r="AA191" s="51"/>
      <c r="AB191" s="51"/>
      <c r="AC191" s="51"/>
      <c r="AD191" s="51"/>
      <c r="AE191" s="51"/>
      <c r="AF191" s="51"/>
      <c r="AG191" s="51"/>
      <c r="AH191" s="51"/>
      <c r="AI191" s="51"/>
      <c r="AJ191" s="51"/>
    </row>
    <row r="192" spans="1:36" x14ac:dyDescent="0.2">
      <c r="A192" s="9"/>
      <c r="B192" s="50"/>
      <c r="C192" s="51"/>
      <c r="D192" s="51"/>
      <c r="E192" s="51"/>
      <c r="F192" s="51"/>
      <c r="G192" s="51"/>
      <c r="H192" s="51"/>
      <c r="I192" s="51"/>
      <c r="J192" s="51"/>
      <c r="K192" s="51"/>
      <c r="L192" s="51"/>
      <c r="M192" s="51"/>
      <c r="N192" s="51"/>
      <c r="O192" s="51"/>
      <c r="P192" s="51"/>
      <c r="Q192" s="51"/>
      <c r="R192" s="51"/>
      <c r="S192" s="51"/>
      <c r="T192" s="51"/>
      <c r="U192" s="51"/>
      <c r="V192" s="51"/>
      <c r="W192" s="51"/>
      <c r="X192" s="51"/>
      <c r="Y192" s="51"/>
      <c r="Z192" s="51"/>
      <c r="AA192" s="51"/>
      <c r="AB192" s="51"/>
      <c r="AC192" s="51"/>
      <c r="AD192" s="51"/>
      <c r="AE192" s="51"/>
      <c r="AF192" s="51"/>
      <c r="AG192" s="51"/>
      <c r="AH192" s="51"/>
      <c r="AI192" s="51"/>
      <c r="AJ192" s="51"/>
    </row>
    <row r="193" spans="1:36" x14ac:dyDescent="0.2">
      <c r="A193" s="9"/>
      <c r="B193" s="50"/>
      <c r="C193" s="51"/>
      <c r="D193" s="51"/>
      <c r="E193" s="51"/>
      <c r="F193" s="51"/>
      <c r="G193" s="51"/>
      <c r="H193" s="51"/>
      <c r="I193" s="51"/>
      <c r="J193" s="51"/>
      <c r="K193" s="51"/>
      <c r="L193" s="51"/>
      <c r="M193" s="51"/>
      <c r="N193" s="51"/>
      <c r="O193" s="51"/>
      <c r="P193" s="51"/>
      <c r="Q193" s="51"/>
      <c r="R193" s="51"/>
      <c r="S193" s="51"/>
      <c r="T193" s="51"/>
      <c r="U193" s="51"/>
      <c r="V193" s="51"/>
      <c r="W193" s="51"/>
      <c r="X193" s="51"/>
      <c r="Y193" s="51"/>
      <c r="Z193" s="51"/>
      <c r="AA193" s="51"/>
      <c r="AB193" s="51"/>
      <c r="AC193" s="51"/>
      <c r="AD193" s="51"/>
      <c r="AE193" s="51"/>
      <c r="AF193" s="51"/>
      <c r="AG193" s="51"/>
      <c r="AH193" s="51"/>
      <c r="AI193" s="51"/>
      <c r="AJ193" s="51"/>
    </row>
    <row r="194" spans="1:36" x14ac:dyDescent="0.2">
      <c r="A194" s="9"/>
      <c r="B194" s="50"/>
      <c r="C194" s="51"/>
      <c r="D194" s="51"/>
      <c r="E194" s="51"/>
      <c r="F194" s="51"/>
      <c r="G194" s="51"/>
      <c r="H194" s="51"/>
      <c r="I194" s="51"/>
      <c r="J194" s="51"/>
      <c r="K194" s="51"/>
      <c r="L194" s="51"/>
      <c r="M194" s="51"/>
      <c r="N194" s="51"/>
      <c r="O194" s="51"/>
      <c r="P194" s="51"/>
      <c r="Q194" s="51"/>
      <c r="R194" s="51"/>
      <c r="S194" s="51"/>
      <c r="T194" s="51"/>
      <c r="U194" s="51"/>
      <c r="V194" s="51"/>
      <c r="W194" s="51"/>
      <c r="X194" s="51"/>
      <c r="Y194" s="51"/>
      <c r="Z194" s="51"/>
      <c r="AA194" s="51"/>
      <c r="AB194" s="51"/>
      <c r="AC194" s="51"/>
      <c r="AD194" s="51"/>
      <c r="AE194" s="51"/>
      <c r="AF194" s="51"/>
      <c r="AG194" s="51"/>
      <c r="AH194" s="51"/>
      <c r="AI194" s="51"/>
      <c r="AJ194" s="51"/>
    </row>
    <row r="195" spans="1:36" x14ac:dyDescent="0.2">
      <c r="A195" s="9"/>
      <c r="B195" s="50"/>
      <c r="C195" s="51"/>
      <c r="D195" s="51"/>
      <c r="E195" s="51"/>
      <c r="F195" s="51"/>
      <c r="G195" s="51"/>
      <c r="H195" s="51"/>
      <c r="I195" s="51"/>
      <c r="J195" s="51"/>
      <c r="K195" s="51"/>
      <c r="L195" s="51"/>
      <c r="M195" s="51"/>
      <c r="N195" s="51"/>
      <c r="O195" s="51"/>
      <c r="P195" s="51"/>
      <c r="Q195" s="51"/>
      <c r="R195" s="51"/>
      <c r="S195" s="51"/>
      <c r="T195" s="51"/>
      <c r="U195" s="51"/>
      <c r="V195" s="51"/>
      <c r="W195" s="51"/>
      <c r="X195" s="51"/>
      <c r="Y195" s="51"/>
      <c r="Z195" s="51"/>
      <c r="AA195" s="51"/>
      <c r="AB195" s="51"/>
      <c r="AC195" s="51"/>
      <c r="AD195" s="51"/>
      <c r="AE195" s="51"/>
      <c r="AF195" s="51"/>
      <c r="AG195" s="51"/>
      <c r="AH195" s="51"/>
      <c r="AI195" s="51"/>
      <c r="AJ195" s="51"/>
    </row>
    <row r="196" spans="1:36" x14ac:dyDescent="0.2">
      <c r="A196" s="9"/>
      <c r="B196" s="50"/>
      <c r="C196" s="51"/>
      <c r="D196" s="51"/>
      <c r="E196" s="51"/>
      <c r="F196" s="51"/>
      <c r="G196" s="51"/>
      <c r="H196" s="51"/>
      <c r="I196" s="51"/>
      <c r="J196" s="51"/>
      <c r="K196" s="51"/>
      <c r="L196" s="51"/>
      <c r="M196" s="51"/>
      <c r="N196" s="51"/>
      <c r="O196" s="51"/>
      <c r="P196" s="51"/>
      <c r="Q196" s="51"/>
      <c r="R196" s="51"/>
      <c r="S196" s="51"/>
      <c r="T196" s="51"/>
      <c r="U196" s="51"/>
      <c r="V196" s="51"/>
      <c r="W196" s="51"/>
      <c r="X196" s="51"/>
      <c r="Y196" s="51"/>
      <c r="Z196" s="51"/>
      <c r="AA196" s="51"/>
      <c r="AB196" s="51"/>
      <c r="AC196" s="51"/>
      <c r="AD196" s="51"/>
      <c r="AE196" s="51"/>
      <c r="AF196" s="51"/>
      <c r="AG196" s="51"/>
      <c r="AH196" s="51"/>
      <c r="AI196" s="51"/>
      <c r="AJ196" s="51"/>
    </row>
    <row r="197" spans="1:36" x14ac:dyDescent="0.2">
      <c r="A197" s="9"/>
      <c r="B197" s="50"/>
      <c r="C197" s="51"/>
      <c r="D197" s="51"/>
      <c r="E197" s="51"/>
      <c r="F197" s="51"/>
      <c r="G197" s="51"/>
      <c r="H197" s="51"/>
      <c r="I197" s="51"/>
      <c r="J197" s="51"/>
      <c r="K197" s="51"/>
      <c r="L197" s="51"/>
      <c r="M197" s="51"/>
      <c r="N197" s="51"/>
      <c r="O197" s="51"/>
      <c r="P197" s="51"/>
      <c r="Q197" s="51"/>
      <c r="R197" s="51"/>
      <c r="S197" s="51"/>
      <c r="T197" s="51"/>
      <c r="U197" s="51"/>
      <c r="V197" s="51"/>
      <c r="W197" s="51"/>
      <c r="X197" s="51"/>
      <c r="Y197" s="51"/>
      <c r="Z197" s="51"/>
      <c r="AA197" s="51"/>
      <c r="AB197" s="51"/>
      <c r="AC197" s="51"/>
      <c r="AD197" s="51"/>
      <c r="AE197" s="51"/>
      <c r="AF197" s="51"/>
      <c r="AG197" s="51"/>
      <c r="AH197" s="51"/>
      <c r="AI197" s="51"/>
      <c r="AJ197" s="51"/>
    </row>
    <row r="198" spans="1:36" x14ac:dyDescent="0.2">
      <c r="A198" s="9"/>
      <c r="B198" s="50"/>
      <c r="C198" s="51"/>
      <c r="D198" s="51"/>
      <c r="E198" s="51"/>
      <c r="F198" s="51"/>
      <c r="G198" s="51"/>
      <c r="H198" s="51"/>
      <c r="I198" s="51"/>
      <c r="J198" s="51"/>
      <c r="K198" s="51"/>
      <c r="L198" s="51"/>
      <c r="M198" s="51"/>
      <c r="N198" s="51"/>
      <c r="O198" s="51"/>
      <c r="P198" s="51"/>
      <c r="Q198" s="51"/>
      <c r="R198" s="51"/>
      <c r="S198" s="51"/>
      <c r="T198" s="51"/>
      <c r="U198" s="51"/>
      <c r="V198" s="51"/>
      <c r="W198" s="51"/>
      <c r="X198" s="51"/>
      <c r="Y198" s="51"/>
      <c r="Z198" s="51"/>
      <c r="AA198" s="51"/>
      <c r="AB198" s="51"/>
      <c r="AC198" s="51"/>
      <c r="AD198" s="51"/>
      <c r="AE198" s="51"/>
      <c r="AF198" s="51"/>
      <c r="AG198" s="51"/>
      <c r="AH198" s="51"/>
      <c r="AI198" s="51"/>
      <c r="AJ198" s="51"/>
    </row>
    <row r="199" spans="1:36" x14ac:dyDescent="0.2">
      <c r="A199" s="9"/>
      <c r="B199" s="50"/>
      <c r="C199" s="51"/>
      <c r="D199" s="51"/>
      <c r="E199" s="51"/>
      <c r="F199" s="51"/>
      <c r="G199" s="51"/>
      <c r="H199" s="51"/>
      <c r="I199" s="51"/>
      <c r="J199" s="51"/>
      <c r="K199" s="51"/>
      <c r="L199" s="51"/>
      <c r="M199" s="51"/>
      <c r="N199" s="51"/>
      <c r="O199" s="51"/>
      <c r="P199" s="51"/>
      <c r="Q199" s="51"/>
      <c r="R199" s="51"/>
      <c r="S199" s="51"/>
      <c r="T199" s="51"/>
      <c r="U199" s="51"/>
      <c r="V199" s="51"/>
      <c r="W199" s="51"/>
      <c r="X199" s="51"/>
      <c r="Y199" s="51"/>
      <c r="Z199" s="51"/>
      <c r="AA199" s="51"/>
      <c r="AB199" s="51"/>
      <c r="AC199" s="51"/>
      <c r="AD199" s="51"/>
      <c r="AE199" s="51"/>
      <c r="AF199" s="51"/>
      <c r="AG199" s="51"/>
      <c r="AH199" s="51"/>
      <c r="AI199" s="51"/>
      <c r="AJ199" s="51"/>
    </row>
    <row r="200" spans="1:36" x14ac:dyDescent="0.2">
      <c r="A200" s="9"/>
      <c r="B200" s="50"/>
      <c r="C200" s="51"/>
      <c r="D200" s="51"/>
      <c r="E200" s="51"/>
      <c r="F200" s="51"/>
      <c r="G200" s="51"/>
      <c r="H200" s="51"/>
      <c r="I200" s="51"/>
      <c r="J200" s="51"/>
      <c r="K200" s="51"/>
      <c r="L200" s="51"/>
      <c r="M200" s="51"/>
      <c r="N200" s="51"/>
      <c r="O200" s="51"/>
      <c r="P200" s="51"/>
      <c r="Q200" s="51"/>
      <c r="R200" s="51"/>
      <c r="S200" s="51"/>
      <c r="T200" s="51"/>
      <c r="U200" s="51"/>
      <c r="V200" s="51"/>
      <c r="W200" s="51"/>
      <c r="X200" s="51"/>
      <c r="Y200" s="51"/>
      <c r="Z200" s="51"/>
      <c r="AA200" s="51"/>
      <c r="AB200" s="51"/>
      <c r="AC200" s="51"/>
      <c r="AD200" s="51"/>
      <c r="AE200" s="51"/>
      <c r="AF200" s="51"/>
      <c r="AG200" s="51"/>
      <c r="AH200" s="51"/>
      <c r="AI200" s="51"/>
      <c r="AJ200" s="51"/>
    </row>
    <row r="201" spans="1:36" x14ac:dyDescent="0.2">
      <c r="A201" s="9"/>
      <c r="B201" s="50"/>
      <c r="C201" s="51"/>
      <c r="D201" s="51"/>
      <c r="E201" s="51"/>
      <c r="F201" s="51"/>
      <c r="G201" s="51"/>
      <c r="H201" s="51"/>
      <c r="I201" s="51"/>
      <c r="J201" s="51"/>
      <c r="K201" s="51"/>
      <c r="L201" s="51"/>
      <c r="M201" s="51"/>
      <c r="N201" s="51"/>
      <c r="O201" s="51"/>
      <c r="P201" s="51"/>
      <c r="Q201" s="51"/>
      <c r="R201" s="51"/>
      <c r="S201" s="51"/>
      <c r="T201" s="51"/>
      <c r="U201" s="51"/>
      <c r="V201" s="51"/>
      <c r="W201" s="51"/>
      <c r="X201" s="51"/>
      <c r="Y201" s="51"/>
      <c r="Z201" s="51"/>
      <c r="AA201" s="51"/>
      <c r="AB201" s="51"/>
      <c r="AC201" s="51"/>
      <c r="AD201" s="51"/>
      <c r="AE201" s="51"/>
      <c r="AF201" s="51"/>
      <c r="AG201" s="51"/>
      <c r="AH201" s="51"/>
      <c r="AI201" s="51"/>
      <c r="AJ201" s="51"/>
    </row>
    <row r="202" spans="1:36" x14ac:dyDescent="0.2">
      <c r="A202" s="9"/>
      <c r="B202" s="50"/>
      <c r="C202" s="51"/>
      <c r="D202" s="51"/>
      <c r="E202" s="51"/>
      <c r="F202" s="51"/>
      <c r="G202" s="51"/>
      <c r="H202" s="51"/>
      <c r="I202" s="51"/>
      <c r="J202" s="51"/>
      <c r="K202" s="51"/>
      <c r="L202" s="51"/>
      <c r="M202" s="51"/>
      <c r="N202" s="51"/>
      <c r="O202" s="51"/>
      <c r="P202" s="51"/>
      <c r="Q202" s="51"/>
      <c r="R202" s="51"/>
      <c r="S202" s="51"/>
      <c r="T202" s="51"/>
      <c r="U202" s="51"/>
      <c r="V202" s="51"/>
      <c r="W202" s="51"/>
      <c r="X202" s="51"/>
      <c r="Y202" s="51"/>
      <c r="Z202" s="51"/>
      <c r="AA202" s="51"/>
      <c r="AB202" s="51"/>
      <c r="AC202" s="51"/>
      <c r="AD202" s="51"/>
      <c r="AE202" s="51"/>
      <c r="AF202" s="51"/>
      <c r="AG202" s="51"/>
      <c r="AH202" s="51"/>
      <c r="AI202" s="51"/>
      <c r="AJ202" s="51"/>
    </row>
    <row r="203" spans="1:36" x14ac:dyDescent="0.2">
      <c r="A203" s="9"/>
      <c r="B203" s="50"/>
      <c r="C203" s="51"/>
      <c r="D203" s="51"/>
      <c r="E203" s="51"/>
      <c r="F203" s="51"/>
      <c r="G203" s="51"/>
      <c r="H203" s="51"/>
      <c r="I203" s="51"/>
      <c r="J203" s="51"/>
      <c r="K203" s="51"/>
      <c r="L203" s="51"/>
      <c r="M203" s="51"/>
      <c r="N203" s="51"/>
      <c r="O203" s="51"/>
      <c r="P203" s="51"/>
      <c r="Q203" s="51"/>
      <c r="R203" s="51"/>
      <c r="S203" s="51"/>
      <c r="T203" s="51"/>
      <c r="U203" s="51"/>
      <c r="V203" s="51"/>
      <c r="W203" s="51"/>
      <c r="X203" s="51"/>
      <c r="Y203" s="51"/>
      <c r="Z203" s="51"/>
      <c r="AA203" s="51"/>
      <c r="AB203" s="51"/>
      <c r="AC203" s="51"/>
      <c r="AD203" s="51"/>
      <c r="AE203" s="51"/>
      <c r="AF203" s="51"/>
      <c r="AG203" s="51"/>
      <c r="AH203" s="51"/>
      <c r="AI203" s="51"/>
      <c r="AJ203" s="51"/>
    </row>
    <row r="204" spans="1:36" x14ac:dyDescent="0.2">
      <c r="A204" s="9"/>
      <c r="B204" s="50"/>
      <c r="C204" s="51"/>
      <c r="D204" s="51"/>
      <c r="E204" s="51"/>
      <c r="F204" s="51"/>
      <c r="G204" s="51"/>
      <c r="H204" s="51"/>
      <c r="I204" s="51"/>
      <c r="J204" s="51"/>
      <c r="K204" s="51"/>
      <c r="L204" s="51"/>
      <c r="M204" s="51"/>
      <c r="N204" s="51"/>
      <c r="O204" s="51"/>
      <c r="P204" s="51"/>
      <c r="Q204" s="51"/>
      <c r="R204" s="51"/>
      <c r="S204" s="51"/>
      <c r="T204" s="51"/>
      <c r="U204" s="51"/>
      <c r="V204" s="51"/>
      <c r="W204" s="51"/>
      <c r="X204" s="51"/>
      <c r="Y204" s="51"/>
      <c r="Z204" s="51"/>
      <c r="AA204" s="51"/>
      <c r="AB204" s="51"/>
      <c r="AC204" s="51"/>
      <c r="AD204" s="51"/>
      <c r="AE204" s="51"/>
      <c r="AF204" s="51"/>
      <c r="AG204" s="51"/>
      <c r="AH204" s="51"/>
      <c r="AI204" s="51"/>
      <c r="AJ204" s="51"/>
    </row>
    <row r="205" spans="1:36" x14ac:dyDescent="0.2">
      <c r="A205" s="9"/>
      <c r="B205" s="50"/>
      <c r="C205" s="51"/>
      <c r="D205" s="51"/>
      <c r="E205" s="51"/>
      <c r="F205" s="51"/>
      <c r="G205" s="51"/>
      <c r="H205" s="51"/>
      <c r="I205" s="51"/>
      <c r="J205" s="51"/>
      <c r="K205" s="51"/>
      <c r="L205" s="51"/>
      <c r="M205" s="51"/>
      <c r="N205" s="51"/>
      <c r="O205" s="51"/>
      <c r="P205" s="51"/>
      <c r="Q205" s="51"/>
      <c r="R205" s="51"/>
      <c r="S205" s="51"/>
      <c r="T205" s="51"/>
      <c r="U205" s="51"/>
      <c r="V205" s="51"/>
      <c r="W205" s="51"/>
      <c r="X205" s="51"/>
      <c r="Y205" s="51"/>
      <c r="Z205" s="51"/>
      <c r="AA205" s="51"/>
      <c r="AB205" s="51"/>
      <c r="AC205" s="51"/>
      <c r="AD205" s="51"/>
      <c r="AE205" s="51"/>
      <c r="AF205" s="51"/>
      <c r="AG205" s="51"/>
      <c r="AH205" s="51"/>
      <c r="AI205" s="51"/>
      <c r="AJ205" s="51"/>
    </row>
    <row r="206" spans="1:36" x14ac:dyDescent="0.2">
      <c r="A206" s="9"/>
      <c r="B206" s="50"/>
      <c r="C206" s="51"/>
      <c r="D206" s="51"/>
      <c r="E206" s="51"/>
      <c r="F206" s="51"/>
      <c r="G206" s="51"/>
      <c r="H206" s="51"/>
      <c r="I206" s="51"/>
      <c r="J206" s="51"/>
      <c r="K206" s="51"/>
      <c r="L206" s="51"/>
      <c r="M206" s="51"/>
      <c r="N206" s="51"/>
      <c r="O206" s="51"/>
      <c r="P206" s="51"/>
      <c r="Q206" s="51"/>
      <c r="R206" s="51"/>
      <c r="S206" s="51"/>
      <c r="T206" s="51"/>
      <c r="U206" s="51"/>
      <c r="V206" s="51"/>
      <c r="W206" s="51"/>
      <c r="X206" s="51"/>
      <c r="Y206" s="51"/>
      <c r="Z206" s="51"/>
      <c r="AA206" s="51"/>
      <c r="AB206" s="51"/>
      <c r="AC206" s="51"/>
      <c r="AD206" s="51"/>
      <c r="AE206" s="51"/>
      <c r="AF206" s="51"/>
      <c r="AG206" s="51"/>
      <c r="AH206" s="51"/>
      <c r="AI206" s="51"/>
      <c r="AJ206" s="51"/>
    </row>
    <row r="207" spans="1:36" x14ac:dyDescent="0.2">
      <c r="A207" s="9"/>
      <c r="B207" s="50"/>
      <c r="C207" s="51"/>
      <c r="D207" s="51"/>
      <c r="E207" s="51"/>
      <c r="F207" s="51"/>
      <c r="G207" s="51"/>
      <c r="H207" s="51"/>
      <c r="I207" s="51"/>
      <c r="J207" s="51"/>
      <c r="K207" s="51"/>
      <c r="L207" s="51"/>
      <c r="M207" s="51"/>
      <c r="N207" s="51"/>
      <c r="O207" s="51"/>
      <c r="P207" s="51"/>
      <c r="Q207" s="51"/>
      <c r="R207" s="51"/>
      <c r="S207" s="51"/>
      <c r="T207" s="51"/>
      <c r="U207" s="51"/>
      <c r="V207" s="51"/>
      <c r="W207" s="51"/>
      <c r="X207" s="51"/>
      <c r="Y207" s="51"/>
      <c r="Z207" s="51"/>
      <c r="AA207" s="51"/>
      <c r="AB207" s="51"/>
      <c r="AC207" s="51"/>
      <c r="AD207" s="51"/>
      <c r="AE207" s="51"/>
      <c r="AF207" s="51"/>
      <c r="AG207" s="51"/>
      <c r="AH207" s="51"/>
      <c r="AI207" s="51"/>
      <c r="AJ207" s="51"/>
    </row>
    <row r="208" spans="1:36" x14ac:dyDescent="0.2">
      <c r="A208" s="9"/>
      <c r="B208" s="50"/>
      <c r="C208" s="51"/>
      <c r="D208" s="51"/>
      <c r="E208" s="51"/>
      <c r="F208" s="51"/>
      <c r="G208" s="51"/>
      <c r="H208" s="51"/>
      <c r="I208" s="51"/>
      <c r="J208" s="51"/>
      <c r="K208" s="51"/>
      <c r="L208" s="51"/>
      <c r="M208" s="51"/>
      <c r="N208" s="51"/>
      <c r="O208" s="51"/>
      <c r="P208" s="51"/>
      <c r="Q208" s="51"/>
      <c r="R208" s="51"/>
      <c r="S208" s="51"/>
      <c r="T208" s="51"/>
      <c r="U208" s="51"/>
      <c r="V208" s="51"/>
      <c r="W208" s="51"/>
      <c r="X208" s="51"/>
      <c r="Y208" s="51"/>
      <c r="Z208" s="51"/>
      <c r="AA208" s="51"/>
      <c r="AB208" s="51"/>
      <c r="AC208" s="51"/>
      <c r="AD208" s="51"/>
      <c r="AE208" s="51"/>
      <c r="AF208" s="51"/>
      <c r="AG208" s="51"/>
      <c r="AH208" s="51"/>
      <c r="AI208" s="51"/>
      <c r="AJ208" s="51"/>
    </row>
    <row r="209" spans="1:36" x14ac:dyDescent="0.2">
      <c r="A209" s="9"/>
      <c r="B209" s="50"/>
      <c r="C209" s="51"/>
      <c r="D209" s="51"/>
      <c r="E209" s="51"/>
      <c r="F209" s="51"/>
      <c r="G209" s="51"/>
      <c r="H209" s="51"/>
      <c r="I209" s="51"/>
      <c r="J209" s="51"/>
      <c r="K209" s="51"/>
      <c r="L209" s="51"/>
      <c r="M209" s="51"/>
      <c r="N209" s="51"/>
      <c r="O209" s="51"/>
      <c r="P209" s="51"/>
      <c r="Q209" s="51"/>
      <c r="R209" s="51"/>
      <c r="S209" s="51"/>
      <c r="T209" s="51"/>
      <c r="U209" s="51"/>
      <c r="V209" s="51"/>
      <c r="W209" s="51"/>
      <c r="X209" s="51"/>
      <c r="Y209" s="51"/>
      <c r="Z209" s="51"/>
      <c r="AA209" s="51"/>
      <c r="AB209" s="51"/>
      <c r="AC209" s="51"/>
      <c r="AD209" s="51"/>
      <c r="AE209" s="51"/>
      <c r="AF209" s="51"/>
      <c r="AG209" s="51"/>
      <c r="AH209" s="51"/>
      <c r="AI209" s="51"/>
      <c r="AJ209" s="51"/>
    </row>
    <row r="210" spans="1:36" x14ac:dyDescent="0.2">
      <c r="A210" s="9"/>
      <c r="B210" s="50"/>
      <c r="C210" s="51"/>
      <c r="D210" s="51"/>
      <c r="E210" s="51"/>
      <c r="F210" s="51"/>
      <c r="G210" s="51"/>
      <c r="H210" s="51"/>
      <c r="I210" s="51"/>
      <c r="J210" s="51"/>
      <c r="K210" s="51"/>
      <c r="L210" s="51"/>
      <c r="M210" s="51"/>
      <c r="N210" s="51"/>
      <c r="O210" s="51"/>
      <c r="P210" s="51"/>
      <c r="Q210" s="51"/>
      <c r="R210" s="51"/>
      <c r="S210" s="51"/>
      <c r="T210" s="51"/>
      <c r="U210" s="51"/>
      <c r="V210" s="51"/>
      <c r="W210" s="51"/>
      <c r="X210" s="51"/>
      <c r="Y210" s="51"/>
      <c r="Z210" s="51"/>
      <c r="AA210" s="51"/>
      <c r="AB210" s="51"/>
      <c r="AC210" s="51"/>
      <c r="AD210" s="51"/>
      <c r="AE210" s="51"/>
      <c r="AF210" s="51"/>
      <c r="AG210" s="51"/>
      <c r="AH210" s="51"/>
      <c r="AI210" s="51"/>
      <c r="AJ210" s="51"/>
    </row>
    <row r="211" spans="1:36" x14ac:dyDescent="0.2">
      <c r="A211" s="9"/>
      <c r="B211" s="50"/>
      <c r="C211" s="51"/>
      <c r="D211" s="51"/>
      <c r="E211" s="51"/>
      <c r="F211" s="51"/>
      <c r="G211" s="51"/>
      <c r="H211" s="51"/>
      <c r="I211" s="51"/>
      <c r="J211" s="51"/>
      <c r="K211" s="51"/>
      <c r="L211" s="51"/>
      <c r="M211" s="51"/>
      <c r="N211" s="51"/>
      <c r="O211" s="51"/>
      <c r="P211" s="51"/>
      <c r="Q211" s="51"/>
      <c r="R211" s="51"/>
      <c r="S211" s="51"/>
      <c r="T211" s="51"/>
      <c r="U211" s="51"/>
      <c r="V211" s="51"/>
      <c r="W211" s="51"/>
      <c r="X211" s="51"/>
      <c r="Y211" s="51"/>
      <c r="Z211" s="51"/>
      <c r="AA211" s="51"/>
      <c r="AB211" s="51"/>
      <c r="AC211" s="51"/>
      <c r="AD211" s="51"/>
      <c r="AE211" s="51"/>
      <c r="AF211" s="51"/>
      <c r="AG211" s="51"/>
      <c r="AH211" s="51"/>
      <c r="AI211" s="51"/>
      <c r="AJ211" s="51"/>
    </row>
    <row r="212" spans="1:36" x14ac:dyDescent="0.2">
      <c r="A212" s="9"/>
      <c r="B212" s="50"/>
      <c r="C212" s="51"/>
      <c r="D212" s="51"/>
      <c r="E212" s="51"/>
      <c r="F212" s="51"/>
      <c r="G212" s="51"/>
      <c r="H212" s="51"/>
      <c r="I212" s="51"/>
      <c r="J212" s="51"/>
      <c r="K212" s="51"/>
      <c r="L212" s="51"/>
      <c r="M212" s="51"/>
      <c r="N212" s="51"/>
      <c r="O212" s="51"/>
      <c r="P212" s="51"/>
      <c r="Q212" s="51"/>
      <c r="R212" s="51"/>
      <c r="S212" s="51"/>
      <c r="T212" s="51"/>
      <c r="U212" s="51"/>
      <c r="V212" s="51"/>
      <c r="W212" s="51"/>
      <c r="X212" s="51"/>
      <c r="Y212" s="51"/>
      <c r="Z212" s="51"/>
      <c r="AA212" s="51"/>
      <c r="AB212" s="51"/>
      <c r="AC212" s="51"/>
      <c r="AD212" s="51"/>
      <c r="AE212" s="51"/>
      <c r="AF212" s="51"/>
      <c r="AG212" s="51"/>
      <c r="AH212" s="51"/>
      <c r="AI212" s="51"/>
      <c r="AJ212" s="51"/>
    </row>
    <row r="213" spans="1:36" x14ac:dyDescent="0.2">
      <c r="A213" s="9"/>
      <c r="B213" s="50"/>
      <c r="C213" s="51"/>
      <c r="D213" s="51"/>
      <c r="E213" s="51"/>
      <c r="F213" s="51"/>
      <c r="G213" s="51"/>
      <c r="H213" s="51"/>
      <c r="I213" s="51"/>
      <c r="J213" s="51"/>
      <c r="K213" s="51"/>
      <c r="L213" s="51"/>
      <c r="M213" s="51"/>
      <c r="N213" s="51"/>
      <c r="O213" s="51"/>
      <c r="P213" s="51"/>
      <c r="Q213" s="51"/>
      <c r="R213" s="51"/>
      <c r="S213" s="51"/>
      <c r="T213" s="51"/>
      <c r="U213" s="51"/>
      <c r="V213" s="51"/>
      <c r="W213" s="51"/>
      <c r="X213" s="51"/>
      <c r="Y213" s="51"/>
      <c r="Z213" s="51"/>
      <c r="AA213" s="51"/>
      <c r="AB213" s="51"/>
      <c r="AC213" s="51"/>
      <c r="AD213" s="51"/>
      <c r="AE213" s="51"/>
      <c r="AF213" s="51"/>
      <c r="AG213" s="51"/>
      <c r="AH213" s="51"/>
      <c r="AI213" s="51"/>
      <c r="AJ213" s="51"/>
    </row>
    <row r="214" spans="1:36" x14ac:dyDescent="0.2">
      <c r="A214" s="9"/>
      <c r="B214" s="50"/>
      <c r="C214" s="51"/>
      <c r="D214" s="51"/>
      <c r="E214" s="51"/>
      <c r="F214" s="51"/>
      <c r="G214" s="51"/>
      <c r="H214" s="51"/>
      <c r="I214" s="51"/>
      <c r="J214" s="51"/>
      <c r="K214" s="51"/>
      <c r="L214" s="51"/>
      <c r="M214" s="51"/>
      <c r="N214" s="51"/>
      <c r="O214" s="51"/>
      <c r="P214" s="51"/>
      <c r="Q214" s="51"/>
      <c r="R214" s="51"/>
      <c r="S214" s="51"/>
      <c r="T214" s="51"/>
      <c r="U214" s="51"/>
      <c r="V214" s="51"/>
      <c r="W214" s="51"/>
      <c r="X214" s="51"/>
      <c r="Y214" s="51"/>
      <c r="Z214" s="51"/>
      <c r="AA214" s="51"/>
      <c r="AB214" s="51"/>
      <c r="AC214" s="51"/>
      <c r="AD214" s="51"/>
      <c r="AE214" s="51"/>
      <c r="AF214" s="51"/>
      <c r="AG214" s="51"/>
      <c r="AH214" s="51"/>
      <c r="AI214" s="51"/>
      <c r="AJ214" s="51"/>
    </row>
    <row r="215" spans="1:36" x14ac:dyDescent="0.2">
      <c r="A215" s="9"/>
      <c r="B215" s="50"/>
      <c r="C215" s="51"/>
      <c r="D215" s="51"/>
      <c r="E215" s="51"/>
      <c r="F215" s="51"/>
      <c r="G215" s="51"/>
      <c r="H215" s="51"/>
      <c r="I215" s="51"/>
      <c r="J215" s="51"/>
      <c r="K215" s="51"/>
      <c r="L215" s="51"/>
      <c r="M215" s="51"/>
      <c r="N215" s="51"/>
      <c r="O215" s="51"/>
      <c r="P215" s="51"/>
      <c r="Q215" s="51"/>
      <c r="R215" s="51"/>
      <c r="S215" s="51"/>
      <c r="T215" s="51"/>
      <c r="U215" s="51"/>
      <c r="V215" s="51"/>
      <c r="W215" s="51"/>
      <c r="X215" s="51"/>
      <c r="Y215" s="51"/>
      <c r="Z215" s="51"/>
      <c r="AA215" s="51"/>
      <c r="AB215" s="51"/>
      <c r="AC215" s="51"/>
      <c r="AD215" s="51"/>
      <c r="AE215" s="51"/>
      <c r="AF215" s="51"/>
      <c r="AG215" s="51"/>
      <c r="AH215" s="51"/>
      <c r="AI215" s="51"/>
      <c r="AJ215" s="51"/>
    </row>
    <row r="216" spans="1:36" x14ac:dyDescent="0.2">
      <c r="A216" s="9"/>
      <c r="B216" s="50"/>
      <c r="C216" s="51"/>
      <c r="D216" s="51"/>
      <c r="E216" s="51"/>
      <c r="F216" s="51"/>
      <c r="G216" s="51"/>
      <c r="H216" s="51"/>
      <c r="I216" s="51"/>
      <c r="J216" s="51"/>
      <c r="K216" s="51"/>
      <c r="L216" s="51"/>
      <c r="M216" s="51"/>
      <c r="N216" s="51"/>
      <c r="O216" s="51"/>
      <c r="P216" s="51"/>
      <c r="Q216" s="51"/>
      <c r="R216" s="51"/>
      <c r="S216" s="51"/>
      <c r="T216" s="51"/>
      <c r="U216" s="51"/>
      <c r="V216" s="51"/>
      <c r="W216" s="51"/>
      <c r="X216" s="51"/>
      <c r="Y216" s="51"/>
      <c r="Z216" s="51"/>
      <c r="AA216" s="51"/>
      <c r="AB216" s="51"/>
      <c r="AC216" s="51"/>
      <c r="AD216" s="51"/>
      <c r="AE216" s="51"/>
      <c r="AF216" s="51"/>
      <c r="AG216" s="51"/>
      <c r="AH216" s="51"/>
      <c r="AI216" s="51"/>
      <c r="AJ216" s="51"/>
    </row>
    <row r="217" spans="1:36" x14ac:dyDescent="0.2">
      <c r="A217" s="9"/>
      <c r="B217" s="50"/>
      <c r="C217" s="51"/>
      <c r="D217" s="51"/>
      <c r="E217" s="51"/>
      <c r="F217" s="51"/>
      <c r="G217" s="51"/>
      <c r="H217" s="51"/>
      <c r="I217" s="51"/>
      <c r="J217" s="51"/>
      <c r="K217" s="51"/>
      <c r="L217" s="51"/>
      <c r="M217" s="51"/>
      <c r="N217" s="51"/>
      <c r="O217" s="51"/>
      <c r="P217" s="51"/>
      <c r="Q217" s="51"/>
      <c r="R217" s="51"/>
      <c r="S217" s="51"/>
      <c r="T217" s="51"/>
      <c r="U217" s="51"/>
      <c r="V217" s="51"/>
      <c r="W217" s="51"/>
      <c r="X217" s="51"/>
      <c r="Y217" s="51"/>
      <c r="Z217" s="51"/>
      <c r="AA217" s="51"/>
      <c r="AB217" s="51"/>
      <c r="AC217" s="51"/>
      <c r="AD217" s="51"/>
      <c r="AE217" s="51"/>
      <c r="AF217" s="51"/>
      <c r="AG217" s="51"/>
      <c r="AH217" s="51"/>
      <c r="AI217" s="51"/>
      <c r="AJ217" s="51"/>
    </row>
    <row r="218" spans="1:36" x14ac:dyDescent="0.2">
      <c r="A218" s="9"/>
      <c r="B218" s="50"/>
      <c r="C218" s="51"/>
      <c r="D218" s="51"/>
      <c r="E218" s="51"/>
      <c r="F218" s="51"/>
      <c r="G218" s="51"/>
      <c r="H218" s="51"/>
      <c r="I218" s="51"/>
      <c r="J218" s="51"/>
      <c r="K218" s="51"/>
      <c r="L218" s="51"/>
      <c r="M218" s="51"/>
      <c r="N218" s="51"/>
      <c r="O218" s="51"/>
      <c r="P218" s="51"/>
      <c r="Q218" s="51"/>
      <c r="R218" s="51"/>
      <c r="S218" s="51"/>
      <c r="T218" s="51"/>
      <c r="U218" s="51"/>
      <c r="V218" s="51"/>
      <c r="W218" s="51"/>
      <c r="X218" s="51"/>
      <c r="Y218" s="51"/>
      <c r="Z218" s="51"/>
      <c r="AA218" s="51"/>
      <c r="AB218" s="51"/>
      <c r="AC218" s="51"/>
      <c r="AD218" s="51"/>
      <c r="AE218" s="51"/>
      <c r="AF218" s="51"/>
      <c r="AG218" s="51"/>
      <c r="AH218" s="51"/>
      <c r="AI218" s="51"/>
      <c r="AJ218" s="51"/>
    </row>
    <row r="219" spans="1:36" x14ac:dyDescent="0.2">
      <c r="A219" s="9"/>
      <c r="B219" s="50"/>
      <c r="C219" s="51"/>
      <c r="D219" s="51"/>
      <c r="E219" s="51"/>
      <c r="F219" s="51"/>
      <c r="G219" s="51"/>
      <c r="H219" s="51"/>
      <c r="I219" s="51"/>
      <c r="J219" s="51"/>
      <c r="K219" s="51"/>
      <c r="L219" s="51"/>
      <c r="M219" s="51"/>
      <c r="N219" s="51"/>
      <c r="O219" s="51"/>
      <c r="P219" s="51"/>
      <c r="Q219" s="51"/>
      <c r="R219" s="51"/>
      <c r="S219" s="51"/>
      <c r="T219" s="51"/>
      <c r="U219" s="51"/>
      <c r="V219" s="51"/>
      <c r="W219" s="51"/>
      <c r="X219" s="51"/>
      <c r="Y219" s="51"/>
      <c r="Z219" s="51"/>
      <c r="AA219" s="51"/>
      <c r="AB219" s="51"/>
      <c r="AC219" s="51"/>
      <c r="AD219" s="51"/>
      <c r="AE219" s="51"/>
      <c r="AF219" s="51"/>
      <c r="AG219" s="51"/>
      <c r="AH219" s="51"/>
      <c r="AI219" s="51"/>
      <c r="AJ219" s="51"/>
    </row>
    <row r="220" spans="1:36" x14ac:dyDescent="0.2">
      <c r="A220" s="9"/>
      <c r="B220" s="50"/>
      <c r="C220" s="51"/>
      <c r="D220" s="51"/>
      <c r="E220" s="51"/>
      <c r="F220" s="51"/>
      <c r="G220" s="51"/>
      <c r="H220" s="51"/>
      <c r="I220" s="51"/>
      <c r="J220" s="51"/>
      <c r="K220" s="51"/>
      <c r="L220" s="51"/>
      <c r="M220" s="51"/>
      <c r="N220" s="51"/>
      <c r="O220" s="51"/>
      <c r="P220" s="51"/>
      <c r="Q220" s="51"/>
      <c r="R220" s="51"/>
      <c r="S220" s="51"/>
      <c r="T220" s="51"/>
      <c r="U220" s="51"/>
      <c r="V220" s="51"/>
      <c r="W220" s="51"/>
      <c r="X220" s="51"/>
      <c r="Y220" s="51"/>
      <c r="Z220" s="51"/>
      <c r="AA220" s="51"/>
      <c r="AB220" s="51"/>
      <c r="AC220" s="51"/>
      <c r="AD220" s="51"/>
      <c r="AE220" s="51"/>
      <c r="AF220" s="51"/>
      <c r="AG220" s="51"/>
      <c r="AH220" s="51"/>
      <c r="AI220" s="51"/>
      <c r="AJ220" s="51"/>
    </row>
    <row r="221" spans="1:36" x14ac:dyDescent="0.2">
      <c r="A221" s="9"/>
      <c r="B221" s="50"/>
      <c r="C221" s="51"/>
      <c r="D221" s="51"/>
      <c r="E221" s="51"/>
      <c r="F221" s="51"/>
      <c r="G221" s="51"/>
      <c r="H221" s="51"/>
      <c r="I221" s="51"/>
      <c r="J221" s="51"/>
      <c r="K221" s="51"/>
      <c r="L221" s="51"/>
      <c r="M221" s="51"/>
      <c r="N221" s="51"/>
      <c r="O221" s="51"/>
      <c r="P221" s="51"/>
      <c r="Q221" s="51"/>
      <c r="R221" s="51"/>
      <c r="S221" s="51"/>
      <c r="T221" s="51"/>
      <c r="U221" s="51"/>
      <c r="V221" s="51"/>
      <c r="W221" s="51"/>
      <c r="X221" s="51"/>
      <c r="Y221" s="51"/>
      <c r="Z221" s="51"/>
      <c r="AA221" s="51"/>
      <c r="AB221" s="51"/>
      <c r="AC221" s="51"/>
      <c r="AD221" s="51"/>
      <c r="AE221" s="51"/>
      <c r="AF221" s="51"/>
      <c r="AG221" s="51"/>
      <c r="AH221" s="51"/>
      <c r="AI221" s="51"/>
      <c r="AJ221" s="51"/>
    </row>
    <row r="222" spans="1:36" x14ac:dyDescent="0.2">
      <c r="A222" s="9"/>
      <c r="B222" s="50"/>
      <c r="C222" s="51"/>
      <c r="D222" s="51"/>
      <c r="E222" s="51"/>
      <c r="F222" s="51"/>
      <c r="G222" s="51"/>
      <c r="H222" s="51"/>
      <c r="I222" s="51"/>
      <c r="J222" s="51"/>
      <c r="K222" s="51"/>
      <c r="L222" s="51"/>
      <c r="M222" s="51"/>
      <c r="N222" s="51"/>
      <c r="O222" s="51"/>
      <c r="P222" s="51"/>
      <c r="Q222" s="51"/>
      <c r="R222" s="51"/>
      <c r="S222" s="51"/>
      <c r="T222" s="51"/>
      <c r="U222" s="51"/>
      <c r="V222" s="51"/>
      <c r="W222" s="51"/>
      <c r="X222" s="51"/>
      <c r="Y222" s="51"/>
      <c r="Z222" s="51"/>
      <c r="AA222" s="51"/>
      <c r="AB222" s="51"/>
      <c r="AC222" s="51"/>
      <c r="AD222" s="51"/>
      <c r="AE222" s="51"/>
      <c r="AF222" s="51"/>
      <c r="AG222" s="51"/>
      <c r="AH222" s="51"/>
      <c r="AI222" s="51"/>
      <c r="AJ222" s="51"/>
    </row>
    <row r="223" spans="1:36" x14ac:dyDescent="0.2">
      <c r="A223" s="9"/>
      <c r="B223" s="50"/>
      <c r="C223" s="51"/>
      <c r="D223" s="51"/>
      <c r="E223" s="51"/>
      <c r="F223" s="51"/>
      <c r="G223" s="51"/>
      <c r="H223" s="51"/>
      <c r="I223" s="51"/>
      <c r="J223" s="51"/>
      <c r="K223" s="51"/>
      <c r="L223" s="51"/>
      <c r="M223" s="51"/>
      <c r="N223" s="51"/>
      <c r="O223" s="51"/>
      <c r="P223" s="51"/>
      <c r="Q223" s="51"/>
      <c r="R223" s="51"/>
      <c r="S223" s="51"/>
      <c r="T223" s="51"/>
      <c r="U223" s="51"/>
      <c r="V223" s="51"/>
      <c r="W223" s="51"/>
      <c r="X223" s="51"/>
      <c r="Y223" s="51"/>
      <c r="Z223" s="51"/>
      <c r="AA223" s="51"/>
      <c r="AB223" s="51"/>
      <c r="AC223" s="51"/>
      <c r="AD223" s="51"/>
      <c r="AE223" s="51"/>
      <c r="AF223" s="51"/>
      <c r="AG223" s="51"/>
      <c r="AH223" s="51"/>
      <c r="AI223" s="51"/>
      <c r="AJ223" s="51"/>
    </row>
    <row r="224" spans="1:36" x14ac:dyDescent="0.2">
      <c r="A224" s="9"/>
      <c r="B224" s="50"/>
      <c r="C224" s="51"/>
      <c r="D224" s="51"/>
      <c r="E224" s="51"/>
      <c r="F224" s="51"/>
      <c r="G224" s="51"/>
      <c r="H224" s="51"/>
      <c r="I224" s="51"/>
      <c r="J224" s="51"/>
      <c r="K224" s="51"/>
      <c r="L224" s="51"/>
      <c r="M224" s="51"/>
      <c r="N224" s="51"/>
      <c r="O224" s="51"/>
      <c r="P224" s="51"/>
      <c r="Q224" s="51"/>
      <c r="R224" s="51"/>
      <c r="S224" s="51"/>
      <c r="T224" s="51"/>
      <c r="U224" s="51"/>
      <c r="V224" s="51"/>
      <c r="W224" s="51"/>
      <c r="X224" s="51"/>
      <c r="Y224" s="51"/>
      <c r="Z224" s="51"/>
      <c r="AA224" s="51"/>
      <c r="AB224" s="51"/>
      <c r="AC224" s="51"/>
      <c r="AD224" s="51"/>
      <c r="AE224" s="51"/>
      <c r="AF224" s="51"/>
      <c r="AG224" s="51"/>
      <c r="AH224" s="51"/>
      <c r="AI224" s="51"/>
      <c r="AJ224" s="51"/>
    </row>
    <row r="225" spans="1:36" x14ac:dyDescent="0.2">
      <c r="A225" s="9"/>
      <c r="B225" s="50"/>
      <c r="C225" s="51"/>
      <c r="D225" s="51"/>
      <c r="E225" s="51"/>
      <c r="F225" s="51"/>
      <c r="G225" s="51"/>
      <c r="H225" s="51"/>
      <c r="I225" s="51"/>
      <c r="J225" s="51"/>
      <c r="K225" s="51"/>
      <c r="L225" s="51"/>
      <c r="M225" s="51"/>
      <c r="N225" s="51"/>
      <c r="O225" s="51"/>
      <c r="P225" s="51"/>
      <c r="Q225" s="51"/>
      <c r="R225" s="51"/>
      <c r="S225" s="51"/>
      <c r="T225" s="51"/>
      <c r="U225" s="51"/>
      <c r="V225" s="51"/>
      <c r="W225" s="51"/>
      <c r="X225" s="51"/>
      <c r="Y225" s="51"/>
      <c r="Z225" s="51"/>
      <c r="AA225" s="51"/>
      <c r="AB225" s="51"/>
      <c r="AC225" s="51"/>
      <c r="AD225" s="51"/>
      <c r="AE225" s="51"/>
      <c r="AF225" s="51"/>
      <c r="AG225" s="51"/>
      <c r="AH225" s="51"/>
      <c r="AI225" s="51"/>
      <c r="AJ225" s="51"/>
    </row>
    <row r="226" spans="1:36" x14ac:dyDescent="0.2">
      <c r="A226" s="9"/>
      <c r="B226" s="50"/>
      <c r="C226" s="51"/>
      <c r="D226" s="51"/>
      <c r="E226" s="51"/>
      <c r="F226" s="51"/>
      <c r="G226" s="51"/>
      <c r="H226" s="51"/>
      <c r="I226" s="51"/>
      <c r="J226" s="51"/>
      <c r="K226" s="51"/>
      <c r="L226" s="51"/>
      <c r="M226" s="51"/>
      <c r="N226" s="51"/>
      <c r="O226" s="51"/>
      <c r="P226" s="51"/>
      <c r="Q226" s="51"/>
      <c r="R226" s="51"/>
      <c r="S226" s="51"/>
      <c r="T226" s="51"/>
      <c r="U226" s="51"/>
      <c r="V226" s="51"/>
      <c r="W226" s="51"/>
      <c r="X226" s="51"/>
      <c r="Y226" s="51"/>
      <c r="Z226" s="51"/>
      <c r="AA226" s="51"/>
      <c r="AB226" s="51"/>
      <c r="AC226" s="51"/>
      <c r="AD226" s="51"/>
      <c r="AE226" s="51"/>
      <c r="AF226" s="51"/>
      <c r="AG226" s="51"/>
      <c r="AH226" s="51"/>
      <c r="AI226" s="51"/>
      <c r="AJ226" s="51"/>
    </row>
    <row r="227" spans="1:36" x14ac:dyDescent="0.2">
      <c r="A227" s="9"/>
      <c r="B227" s="50"/>
      <c r="C227" s="51"/>
      <c r="D227" s="51"/>
      <c r="E227" s="51"/>
      <c r="F227" s="51"/>
      <c r="G227" s="51"/>
      <c r="H227" s="51"/>
      <c r="I227" s="51"/>
      <c r="J227" s="51"/>
      <c r="K227" s="51"/>
      <c r="L227" s="51"/>
      <c r="M227" s="51"/>
      <c r="N227" s="51"/>
      <c r="O227" s="51"/>
      <c r="P227" s="51"/>
      <c r="Q227" s="51"/>
      <c r="R227" s="51"/>
      <c r="S227" s="51"/>
      <c r="T227" s="51"/>
      <c r="U227" s="51"/>
      <c r="V227" s="51"/>
      <c r="W227" s="51"/>
      <c r="X227" s="51"/>
      <c r="Y227" s="51"/>
      <c r="Z227" s="51"/>
      <c r="AA227" s="51"/>
      <c r="AB227" s="51"/>
      <c r="AC227" s="51"/>
      <c r="AD227" s="51"/>
      <c r="AE227" s="51"/>
      <c r="AF227" s="51"/>
      <c r="AG227" s="51"/>
      <c r="AH227" s="51"/>
      <c r="AI227" s="51"/>
      <c r="AJ227" s="51"/>
    </row>
    <row r="228" spans="1:36" x14ac:dyDescent="0.2">
      <c r="A228" s="9"/>
      <c r="B228" s="50"/>
      <c r="C228" s="51"/>
      <c r="D228" s="51"/>
      <c r="E228" s="51"/>
      <c r="F228" s="51"/>
      <c r="G228" s="51"/>
      <c r="H228" s="51"/>
      <c r="I228" s="51"/>
      <c r="J228" s="51"/>
      <c r="K228" s="51"/>
      <c r="L228" s="51"/>
      <c r="M228" s="51"/>
      <c r="N228" s="51"/>
      <c r="O228" s="51"/>
      <c r="P228" s="51"/>
      <c r="Q228" s="51"/>
      <c r="R228" s="51"/>
      <c r="S228" s="51"/>
      <c r="T228" s="51"/>
      <c r="U228" s="51"/>
      <c r="V228" s="51"/>
      <c r="W228" s="51"/>
      <c r="X228" s="51"/>
      <c r="Y228" s="51"/>
      <c r="Z228" s="51"/>
      <c r="AA228" s="51"/>
      <c r="AB228" s="51"/>
      <c r="AC228" s="51"/>
      <c r="AD228" s="51"/>
      <c r="AE228" s="51"/>
      <c r="AF228" s="51"/>
      <c r="AG228" s="51"/>
      <c r="AH228" s="51"/>
      <c r="AI228" s="51"/>
      <c r="AJ228" s="51"/>
    </row>
    <row r="229" spans="1:36" x14ac:dyDescent="0.2">
      <c r="A229" s="9"/>
      <c r="B229" s="50"/>
      <c r="C229" s="51"/>
      <c r="D229" s="51"/>
      <c r="E229" s="51"/>
      <c r="F229" s="51"/>
      <c r="G229" s="51"/>
      <c r="H229" s="51"/>
      <c r="I229" s="51"/>
      <c r="J229" s="51"/>
      <c r="K229" s="51"/>
      <c r="L229" s="51"/>
      <c r="M229" s="51"/>
      <c r="N229" s="51"/>
      <c r="O229" s="51"/>
      <c r="P229" s="51"/>
      <c r="Q229" s="51"/>
      <c r="R229" s="51"/>
      <c r="S229" s="51"/>
      <c r="T229" s="51"/>
      <c r="U229" s="51"/>
      <c r="V229" s="51"/>
      <c r="W229" s="51"/>
      <c r="X229" s="51"/>
      <c r="Y229" s="51"/>
      <c r="Z229" s="51"/>
      <c r="AA229" s="51"/>
      <c r="AB229" s="51"/>
      <c r="AC229" s="51"/>
      <c r="AD229" s="51"/>
      <c r="AE229" s="51"/>
      <c r="AF229" s="51"/>
      <c r="AG229" s="51"/>
      <c r="AH229" s="51"/>
      <c r="AI229" s="51"/>
      <c r="AJ229" s="51"/>
    </row>
    <row r="230" spans="1:36" x14ac:dyDescent="0.2">
      <c r="A230" s="9"/>
      <c r="B230" s="50"/>
      <c r="C230" s="51"/>
      <c r="D230" s="51"/>
      <c r="E230" s="51"/>
      <c r="F230" s="51"/>
      <c r="G230" s="51"/>
      <c r="H230" s="51"/>
      <c r="I230" s="51"/>
      <c r="J230" s="51"/>
      <c r="K230" s="51"/>
      <c r="L230" s="51"/>
      <c r="M230" s="51"/>
      <c r="N230" s="51"/>
      <c r="O230" s="51"/>
      <c r="P230" s="51"/>
      <c r="Q230" s="51"/>
      <c r="R230" s="51"/>
      <c r="S230" s="51"/>
      <c r="T230" s="51"/>
      <c r="U230" s="51"/>
      <c r="V230" s="51"/>
      <c r="W230" s="51"/>
      <c r="X230" s="51"/>
      <c r="Y230" s="51"/>
      <c r="Z230" s="51"/>
      <c r="AA230" s="51"/>
      <c r="AB230" s="51"/>
      <c r="AC230" s="51"/>
      <c r="AD230" s="51"/>
      <c r="AE230" s="51"/>
      <c r="AF230" s="51"/>
      <c r="AG230" s="51"/>
      <c r="AH230" s="51"/>
      <c r="AI230" s="51"/>
      <c r="AJ230" s="51"/>
    </row>
    <row r="231" spans="1:36" x14ac:dyDescent="0.2">
      <c r="A231" s="9"/>
      <c r="B231" s="50"/>
      <c r="C231" s="51"/>
      <c r="D231" s="51"/>
      <c r="E231" s="51"/>
      <c r="F231" s="51"/>
      <c r="G231" s="51"/>
      <c r="H231" s="51"/>
      <c r="I231" s="51"/>
      <c r="J231" s="51"/>
      <c r="K231" s="51"/>
      <c r="L231" s="51"/>
      <c r="M231" s="51"/>
      <c r="N231" s="51"/>
      <c r="O231" s="51"/>
      <c r="P231" s="51"/>
      <c r="Q231" s="51"/>
      <c r="R231" s="51"/>
      <c r="S231" s="51"/>
      <c r="T231" s="51"/>
      <c r="U231" s="51"/>
      <c r="V231" s="51"/>
      <c r="W231" s="51"/>
      <c r="X231" s="51"/>
      <c r="Y231" s="51"/>
      <c r="Z231" s="51"/>
      <c r="AA231" s="51"/>
      <c r="AB231" s="51"/>
      <c r="AC231" s="51"/>
      <c r="AD231" s="51"/>
      <c r="AE231" s="51"/>
      <c r="AF231" s="51"/>
      <c r="AG231" s="51"/>
      <c r="AH231" s="51"/>
      <c r="AI231" s="51"/>
      <c r="AJ231" s="51"/>
    </row>
    <row r="232" spans="1:36" x14ac:dyDescent="0.2">
      <c r="A232" s="9"/>
      <c r="B232" s="50"/>
      <c r="C232" s="51"/>
      <c r="D232" s="51"/>
      <c r="E232" s="51"/>
      <c r="F232" s="51"/>
      <c r="G232" s="51"/>
      <c r="H232" s="51"/>
      <c r="I232" s="51"/>
      <c r="J232" s="51"/>
      <c r="K232" s="51"/>
      <c r="L232" s="51"/>
      <c r="M232" s="51"/>
      <c r="N232" s="51"/>
      <c r="O232" s="51"/>
      <c r="P232" s="51"/>
      <c r="Q232" s="51"/>
      <c r="R232" s="51"/>
      <c r="S232" s="51"/>
      <c r="T232" s="51"/>
      <c r="U232" s="51"/>
      <c r="V232" s="51"/>
      <c r="W232" s="51"/>
      <c r="X232" s="51"/>
      <c r="Y232" s="51"/>
      <c r="Z232" s="51"/>
      <c r="AA232" s="51"/>
      <c r="AB232" s="51"/>
      <c r="AC232" s="51"/>
      <c r="AD232" s="51"/>
      <c r="AE232" s="51"/>
      <c r="AF232" s="51"/>
      <c r="AG232" s="51"/>
      <c r="AH232" s="51"/>
      <c r="AI232" s="51"/>
      <c r="AJ232" s="51"/>
    </row>
    <row r="233" spans="1:36" x14ac:dyDescent="0.2">
      <c r="A233" s="9"/>
      <c r="B233" s="50"/>
      <c r="C233" s="51"/>
      <c r="D233" s="51"/>
      <c r="E233" s="51"/>
      <c r="F233" s="51"/>
      <c r="G233" s="51"/>
      <c r="H233" s="51"/>
      <c r="I233" s="51"/>
      <c r="J233" s="51"/>
      <c r="K233" s="51"/>
      <c r="L233" s="51"/>
      <c r="M233" s="51"/>
      <c r="N233" s="51"/>
      <c r="O233" s="51"/>
      <c r="P233" s="51"/>
      <c r="Q233" s="51"/>
      <c r="R233" s="51"/>
      <c r="S233" s="51"/>
      <c r="T233" s="51"/>
      <c r="U233" s="51"/>
      <c r="V233" s="51"/>
      <c r="W233" s="51"/>
      <c r="X233" s="51"/>
      <c r="Y233" s="51"/>
      <c r="Z233" s="51"/>
      <c r="AA233" s="51"/>
      <c r="AB233" s="51"/>
      <c r="AC233" s="51"/>
      <c r="AD233" s="51"/>
      <c r="AE233" s="51"/>
      <c r="AF233" s="51"/>
      <c r="AG233" s="51"/>
      <c r="AH233" s="51"/>
      <c r="AI233" s="51"/>
      <c r="AJ233" s="51"/>
    </row>
    <row r="234" spans="1:36" x14ac:dyDescent="0.2">
      <c r="A234" s="9"/>
      <c r="B234" s="50"/>
      <c r="C234" s="51"/>
      <c r="D234" s="51"/>
      <c r="E234" s="51"/>
      <c r="F234" s="51"/>
      <c r="G234" s="51"/>
      <c r="H234" s="51"/>
      <c r="I234" s="51"/>
      <c r="J234" s="51"/>
      <c r="K234" s="51"/>
      <c r="L234" s="51"/>
      <c r="M234" s="51"/>
      <c r="N234" s="51"/>
      <c r="O234" s="51"/>
      <c r="P234" s="51"/>
      <c r="Q234" s="51"/>
      <c r="R234" s="51"/>
      <c r="S234" s="51"/>
      <c r="T234" s="51"/>
      <c r="U234" s="51"/>
      <c r="V234" s="51"/>
      <c r="W234" s="51"/>
      <c r="X234" s="51"/>
      <c r="Y234" s="51"/>
      <c r="Z234" s="51"/>
      <c r="AA234" s="51"/>
      <c r="AB234" s="51"/>
      <c r="AC234" s="51"/>
      <c r="AD234" s="51"/>
      <c r="AE234" s="51"/>
      <c r="AF234" s="51"/>
      <c r="AG234" s="51"/>
      <c r="AH234" s="51"/>
      <c r="AI234" s="51"/>
      <c r="AJ234" s="51"/>
    </row>
    <row r="235" spans="1:36" x14ac:dyDescent="0.2">
      <c r="A235" s="9"/>
      <c r="B235" s="50"/>
      <c r="C235" s="51"/>
      <c r="D235" s="51"/>
      <c r="E235" s="51"/>
      <c r="F235" s="51"/>
      <c r="G235" s="51"/>
      <c r="H235" s="51"/>
      <c r="I235" s="51"/>
      <c r="J235" s="51"/>
      <c r="K235" s="51"/>
      <c r="L235" s="51"/>
      <c r="M235" s="51"/>
      <c r="N235" s="51"/>
      <c r="O235" s="51"/>
      <c r="P235" s="51"/>
      <c r="Q235" s="51"/>
      <c r="R235" s="51"/>
      <c r="S235" s="51"/>
      <c r="T235" s="51"/>
      <c r="U235" s="51"/>
      <c r="V235" s="51"/>
      <c r="W235" s="51"/>
      <c r="X235" s="51"/>
      <c r="Y235" s="51"/>
      <c r="Z235" s="51"/>
      <c r="AA235" s="51"/>
      <c r="AB235" s="51"/>
      <c r="AC235" s="51"/>
      <c r="AD235" s="51"/>
      <c r="AE235" s="51"/>
      <c r="AF235" s="51"/>
      <c r="AG235" s="51"/>
      <c r="AH235" s="51"/>
      <c r="AI235" s="51"/>
      <c r="AJ235" s="51"/>
    </row>
    <row r="236" spans="1:36" x14ac:dyDescent="0.2">
      <c r="A236" s="9"/>
      <c r="B236" s="50"/>
      <c r="C236" s="51"/>
      <c r="D236" s="51"/>
      <c r="E236" s="51"/>
      <c r="F236" s="51"/>
      <c r="G236" s="51"/>
      <c r="H236" s="51"/>
      <c r="I236" s="51"/>
      <c r="J236" s="51"/>
      <c r="K236" s="51"/>
      <c r="L236" s="51"/>
      <c r="M236" s="51"/>
      <c r="N236" s="51"/>
      <c r="O236" s="51"/>
      <c r="P236" s="51"/>
      <c r="Q236" s="51"/>
      <c r="R236" s="51"/>
      <c r="S236" s="51"/>
      <c r="T236" s="51"/>
      <c r="U236" s="51"/>
      <c r="V236" s="51"/>
      <c r="W236" s="51"/>
      <c r="X236" s="51"/>
      <c r="Y236" s="51"/>
      <c r="Z236" s="51"/>
      <c r="AA236" s="51"/>
      <c r="AB236" s="51"/>
      <c r="AC236" s="51"/>
      <c r="AD236" s="51"/>
      <c r="AE236" s="51"/>
      <c r="AF236" s="51"/>
      <c r="AG236" s="51"/>
      <c r="AH236" s="51"/>
      <c r="AI236" s="51"/>
      <c r="AJ236" s="51"/>
    </row>
    <row r="237" spans="1:36" x14ac:dyDescent="0.2">
      <c r="A237" s="9"/>
      <c r="B237" s="50"/>
      <c r="C237" s="51"/>
      <c r="D237" s="51"/>
      <c r="E237" s="51"/>
      <c r="F237" s="51"/>
      <c r="G237" s="51"/>
      <c r="H237" s="51"/>
      <c r="I237" s="51"/>
      <c r="J237" s="51"/>
      <c r="K237" s="51"/>
      <c r="L237" s="51"/>
      <c r="M237" s="51"/>
      <c r="N237" s="51"/>
      <c r="O237" s="51"/>
      <c r="P237" s="51"/>
      <c r="Q237" s="51"/>
      <c r="R237" s="51"/>
      <c r="S237" s="51"/>
      <c r="T237" s="51"/>
      <c r="U237" s="51"/>
      <c r="V237" s="51"/>
      <c r="W237" s="51"/>
      <c r="X237" s="51"/>
      <c r="Y237" s="51"/>
      <c r="Z237" s="51"/>
      <c r="AA237" s="51"/>
      <c r="AB237" s="51"/>
      <c r="AC237" s="51"/>
      <c r="AD237" s="51"/>
      <c r="AE237" s="51"/>
      <c r="AF237" s="51"/>
      <c r="AG237" s="51"/>
      <c r="AH237" s="51"/>
      <c r="AI237" s="51"/>
      <c r="AJ237" s="51"/>
    </row>
    <row r="238" spans="1:36" x14ac:dyDescent="0.2">
      <c r="A238" s="9"/>
      <c r="B238" s="50"/>
      <c r="C238" s="51"/>
      <c r="D238" s="51"/>
      <c r="E238" s="51"/>
      <c r="F238" s="51"/>
      <c r="G238" s="51"/>
      <c r="H238" s="51"/>
      <c r="I238" s="51"/>
      <c r="J238" s="51"/>
      <c r="K238" s="51"/>
      <c r="L238" s="51"/>
      <c r="M238" s="51"/>
      <c r="N238" s="51"/>
      <c r="O238" s="51"/>
      <c r="P238" s="51"/>
      <c r="Q238" s="51"/>
      <c r="R238" s="51"/>
      <c r="S238" s="51"/>
      <c r="T238" s="51"/>
      <c r="U238" s="51"/>
      <c r="V238" s="51"/>
      <c r="W238" s="51"/>
      <c r="X238" s="51"/>
      <c r="Y238" s="51"/>
      <c r="Z238" s="51"/>
      <c r="AA238" s="51"/>
      <c r="AB238" s="51"/>
      <c r="AC238" s="51"/>
      <c r="AD238" s="51"/>
      <c r="AE238" s="51"/>
      <c r="AF238" s="51"/>
      <c r="AG238" s="51"/>
      <c r="AH238" s="51"/>
      <c r="AI238" s="51"/>
      <c r="AJ238" s="51"/>
    </row>
    <row r="239" spans="1:36" x14ac:dyDescent="0.2">
      <c r="A239" s="9"/>
      <c r="B239" s="50"/>
      <c r="C239" s="51"/>
      <c r="D239" s="51"/>
      <c r="E239" s="51"/>
      <c r="F239" s="51"/>
      <c r="G239" s="51"/>
      <c r="H239" s="51"/>
      <c r="I239" s="51"/>
      <c r="J239" s="51"/>
      <c r="K239" s="51"/>
      <c r="L239" s="51"/>
      <c r="M239" s="51"/>
      <c r="N239" s="51"/>
      <c r="O239" s="51"/>
      <c r="P239" s="51"/>
      <c r="Q239" s="51"/>
      <c r="R239" s="51"/>
      <c r="S239" s="51"/>
      <c r="T239" s="51"/>
      <c r="U239" s="51"/>
      <c r="V239" s="51"/>
      <c r="W239" s="51"/>
      <c r="X239" s="51"/>
      <c r="Y239" s="51"/>
      <c r="Z239" s="51"/>
      <c r="AA239" s="51"/>
      <c r="AB239" s="51"/>
      <c r="AC239" s="51"/>
      <c r="AD239" s="51"/>
      <c r="AE239" s="51"/>
      <c r="AF239" s="51"/>
      <c r="AG239" s="51"/>
      <c r="AH239" s="51"/>
      <c r="AI239" s="51"/>
      <c r="AJ239" s="51"/>
    </row>
    <row r="240" spans="1:36" x14ac:dyDescent="0.2">
      <c r="A240" s="9"/>
      <c r="B240" s="50"/>
      <c r="C240" s="51"/>
      <c r="D240" s="51"/>
      <c r="E240" s="51"/>
      <c r="F240" s="51"/>
      <c r="G240" s="51"/>
      <c r="H240" s="51"/>
      <c r="I240" s="51"/>
      <c r="J240" s="51"/>
      <c r="K240" s="51"/>
      <c r="L240" s="51"/>
      <c r="M240" s="51"/>
      <c r="N240" s="51"/>
      <c r="O240" s="51"/>
      <c r="P240" s="51"/>
      <c r="Q240" s="51"/>
      <c r="R240" s="51"/>
      <c r="S240" s="51"/>
      <c r="T240" s="51"/>
      <c r="U240" s="51"/>
      <c r="V240" s="51"/>
      <c r="W240" s="51"/>
      <c r="X240" s="51"/>
      <c r="Y240" s="51"/>
      <c r="Z240" s="51"/>
      <c r="AA240" s="51"/>
      <c r="AB240" s="51"/>
      <c r="AC240" s="51"/>
      <c r="AD240" s="51"/>
      <c r="AE240" s="51"/>
      <c r="AF240" s="51"/>
      <c r="AG240" s="51"/>
      <c r="AH240" s="51"/>
      <c r="AI240" s="51"/>
      <c r="AJ240" s="51"/>
    </row>
    <row r="241" spans="1:36" x14ac:dyDescent="0.2">
      <c r="A241" s="9"/>
      <c r="B241" s="50"/>
      <c r="C241" s="51"/>
      <c r="D241" s="51"/>
      <c r="E241" s="51"/>
      <c r="F241" s="51"/>
      <c r="G241" s="51"/>
      <c r="H241" s="51"/>
      <c r="I241" s="51"/>
      <c r="J241" s="51"/>
      <c r="K241" s="51"/>
      <c r="L241" s="51"/>
      <c r="M241" s="51"/>
      <c r="N241" s="51"/>
      <c r="O241" s="51"/>
      <c r="P241" s="51"/>
      <c r="Q241" s="51"/>
      <c r="R241" s="51"/>
      <c r="S241" s="51"/>
      <c r="T241" s="51"/>
      <c r="U241" s="51"/>
      <c r="V241" s="51"/>
      <c r="W241" s="51"/>
      <c r="X241" s="51"/>
      <c r="Y241" s="51"/>
      <c r="Z241" s="51"/>
      <c r="AA241" s="51"/>
      <c r="AB241" s="51"/>
      <c r="AC241" s="51"/>
      <c r="AD241" s="51"/>
      <c r="AE241" s="51"/>
      <c r="AF241" s="51"/>
      <c r="AG241" s="51"/>
      <c r="AH241" s="51"/>
      <c r="AI241" s="51"/>
      <c r="AJ241" s="51"/>
    </row>
    <row r="242" spans="1:36" x14ac:dyDescent="0.2">
      <c r="A242" s="9"/>
      <c r="B242" s="50"/>
      <c r="C242" s="51"/>
      <c r="D242" s="51"/>
      <c r="E242" s="51"/>
      <c r="F242" s="51"/>
      <c r="G242" s="51"/>
      <c r="H242" s="51"/>
      <c r="I242" s="51"/>
      <c r="J242" s="51"/>
      <c r="K242" s="51"/>
      <c r="L242" s="51"/>
      <c r="M242" s="51"/>
      <c r="N242" s="51"/>
      <c r="O242" s="51"/>
      <c r="P242" s="51"/>
      <c r="Q242" s="51"/>
      <c r="R242" s="51"/>
      <c r="S242" s="51"/>
      <c r="T242" s="51"/>
      <c r="U242" s="51"/>
      <c r="V242" s="51"/>
      <c r="W242" s="51"/>
      <c r="X242" s="51"/>
      <c r="Y242" s="51"/>
      <c r="Z242" s="51"/>
      <c r="AA242" s="51"/>
      <c r="AB242" s="51"/>
      <c r="AC242" s="51"/>
      <c r="AD242" s="51"/>
      <c r="AE242" s="51"/>
      <c r="AF242" s="51"/>
      <c r="AG242" s="51"/>
      <c r="AH242" s="51"/>
      <c r="AI242" s="51"/>
      <c r="AJ242" s="51"/>
    </row>
    <row r="243" spans="1:36" x14ac:dyDescent="0.2">
      <c r="A243" s="9"/>
      <c r="B243" s="50"/>
      <c r="C243" s="51"/>
      <c r="D243" s="51"/>
      <c r="E243" s="51"/>
      <c r="F243" s="51"/>
      <c r="G243" s="51"/>
      <c r="H243" s="51"/>
      <c r="I243" s="51"/>
      <c r="J243" s="51"/>
      <c r="K243" s="51"/>
      <c r="L243" s="51"/>
      <c r="M243" s="51"/>
      <c r="N243" s="51"/>
      <c r="O243" s="51"/>
      <c r="P243" s="51"/>
      <c r="Q243" s="51"/>
      <c r="R243" s="51"/>
      <c r="S243" s="51"/>
      <c r="T243" s="51"/>
      <c r="U243" s="51"/>
      <c r="V243" s="51"/>
      <c r="W243" s="51"/>
      <c r="X243" s="51"/>
      <c r="Y243" s="51"/>
      <c r="Z243" s="51"/>
      <c r="AA243" s="51"/>
      <c r="AB243" s="51"/>
      <c r="AC243" s="51"/>
      <c r="AD243" s="51"/>
      <c r="AE243" s="51"/>
      <c r="AF243" s="51"/>
      <c r="AG243" s="51"/>
      <c r="AH243" s="51"/>
      <c r="AI243" s="51"/>
      <c r="AJ243" s="51"/>
    </row>
    <row r="244" spans="1:36" x14ac:dyDescent="0.2">
      <c r="A244" s="9"/>
      <c r="B244" s="50"/>
      <c r="C244" s="51"/>
      <c r="D244" s="51"/>
      <c r="E244" s="51"/>
      <c r="F244" s="51"/>
      <c r="G244" s="51"/>
      <c r="H244" s="51"/>
      <c r="I244" s="51"/>
      <c r="J244" s="51"/>
      <c r="K244" s="51"/>
      <c r="L244" s="51"/>
      <c r="M244" s="51"/>
      <c r="N244" s="51"/>
      <c r="O244" s="51"/>
      <c r="P244" s="51"/>
      <c r="Q244" s="51"/>
      <c r="R244" s="51"/>
      <c r="S244" s="51"/>
      <c r="T244" s="51"/>
      <c r="U244" s="51"/>
      <c r="V244" s="51"/>
      <c r="W244" s="51"/>
      <c r="X244" s="51"/>
      <c r="Y244" s="51"/>
      <c r="Z244" s="51"/>
      <c r="AA244" s="51"/>
      <c r="AB244" s="51"/>
      <c r="AC244" s="51"/>
      <c r="AD244" s="51"/>
      <c r="AE244" s="51"/>
      <c r="AF244" s="51"/>
      <c r="AG244" s="51"/>
      <c r="AH244" s="51"/>
      <c r="AI244" s="51"/>
      <c r="AJ244" s="51"/>
    </row>
    <row r="245" spans="1:36" x14ac:dyDescent="0.2">
      <c r="A245" s="9"/>
      <c r="B245" s="50"/>
      <c r="C245" s="51"/>
      <c r="D245" s="51"/>
      <c r="E245" s="51"/>
      <c r="F245" s="51"/>
      <c r="G245" s="51"/>
      <c r="H245" s="51"/>
      <c r="I245" s="51"/>
      <c r="J245" s="51"/>
      <c r="K245" s="51"/>
      <c r="L245" s="51"/>
      <c r="M245" s="51"/>
      <c r="N245" s="51"/>
      <c r="O245" s="51"/>
      <c r="P245" s="51"/>
      <c r="Q245" s="51"/>
      <c r="R245" s="51"/>
      <c r="S245" s="51"/>
      <c r="T245" s="51"/>
      <c r="U245" s="51"/>
      <c r="V245" s="51"/>
      <c r="W245" s="51"/>
      <c r="X245" s="51"/>
      <c r="Y245" s="51"/>
      <c r="Z245" s="51"/>
      <c r="AA245" s="51"/>
      <c r="AB245" s="51"/>
      <c r="AC245" s="51"/>
      <c r="AD245" s="51"/>
      <c r="AE245" s="51"/>
      <c r="AF245" s="51"/>
      <c r="AG245" s="51"/>
      <c r="AH245" s="51"/>
      <c r="AI245" s="51"/>
      <c r="AJ245" s="51"/>
    </row>
    <row r="246" spans="1:36" x14ac:dyDescent="0.2">
      <c r="A246" s="9"/>
      <c r="B246" s="50"/>
      <c r="C246" s="51"/>
      <c r="D246" s="51"/>
      <c r="E246" s="51"/>
      <c r="F246" s="51"/>
      <c r="G246" s="51"/>
      <c r="H246" s="51"/>
      <c r="I246" s="51"/>
      <c r="J246" s="51"/>
      <c r="K246" s="51"/>
      <c r="L246" s="51"/>
      <c r="M246" s="51"/>
      <c r="N246" s="51"/>
      <c r="O246" s="51"/>
      <c r="P246" s="51"/>
      <c r="Q246" s="51"/>
      <c r="R246" s="51"/>
      <c r="S246" s="51"/>
      <c r="T246" s="51"/>
      <c r="U246" s="51"/>
      <c r="V246" s="51"/>
      <c r="W246" s="51"/>
      <c r="X246" s="51"/>
      <c r="Y246" s="51"/>
      <c r="Z246" s="51"/>
      <c r="AA246" s="51"/>
      <c r="AB246" s="51"/>
      <c r="AC246" s="51"/>
      <c r="AD246" s="51"/>
      <c r="AE246" s="51"/>
      <c r="AF246" s="51"/>
      <c r="AG246" s="51"/>
      <c r="AH246" s="51"/>
      <c r="AI246" s="51"/>
      <c r="AJ246" s="51"/>
    </row>
    <row r="247" spans="1:36" x14ac:dyDescent="0.2">
      <c r="A247" s="9"/>
      <c r="B247" s="50"/>
      <c r="C247" s="51"/>
      <c r="D247" s="51"/>
      <c r="E247" s="51"/>
      <c r="F247" s="51"/>
      <c r="G247" s="51"/>
      <c r="H247" s="51"/>
      <c r="I247" s="51"/>
      <c r="J247" s="51"/>
      <c r="K247" s="51"/>
      <c r="L247" s="51"/>
      <c r="M247" s="51"/>
      <c r="N247" s="51"/>
      <c r="O247" s="51"/>
      <c r="P247" s="51"/>
      <c r="Q247" s="51"/>
      <c r="R247" s="51"/>
      <c r="S247" s="51"/>
      <c r="T247" s="51"/>
      <c r="U247" s="51"/>
      <c r="V247" s="51"/>
      <c r="W247" s="51"/>
      <c r="X247" s="51"/>
      <c r="Y247" s="51"/>
      <c r="Z247" s="51"/>
      <c r="AA247" s="51"/>
      <c r="AB247" s="51"/>
      <c r="AC247" s="51"/>
      <c r="AD247" s="51"/>
      <c r="AE247" s="51"/>
      <c r="AF247" s="51"/>
      <c r="AG247" s="51"/>
      <c r="AH247" s="51"/>
      <c r="AI247" s="51"/>
      <c r="AJ247" s="51"/>
    </row>
    <row r="248" spans="1:36" x14ac:dyDescent="0.2">
      <c r="A248" s="9"/>
      <c r="B248" s="50"/>
      <c r="C248" s="51"/>
      <c r="D248" s="51"/>
      <c r="E248" s="51"/>
      <c r="F248" s="51"/>
      <c r="G248" s="51"/>
      <c r="H248" s="51"/>
      <c r="I248" s="51"/>
      <c r="J248" s="51"/>
      <c r="K248" s="51"/>
      <c r="L248" s="51"/>
      <c r="M248" s="51"/>
      <c r="N248" s="51"/>
      <c r="O248" s="51"/>
      <c r="P248" s="51"/>
      <c r="Q248" s="51"/>
      <c r="R248" s="51"/>
      <c r="S248" s="51"/>
      <c r="T248" s="51"/>
      <c r="U248" s="51"/>
      <c r="V248" s="51"/>
      <c r="W248" s="51"/>
      <c r="X248" s="51"/>
      <c r="Y248" s="51"/>
      <c r="Z248" s="51"/>
      <c r="AA248" s="51"/>
      <c r="AB248" s="51"/>
      <c r="AC248" s="51"/>
      <c r="AD248" s="51"/>
      <c r="AE248" s="51"/>
      <c r="AF248" s="51"/>
      <c r="AG248" s="51"/>
      <c r="AH248" s="51"/>
      <c r="AI248" s="51"/>
      <c r="AJ248" s="51"/>
    </row>
    <row r="249" spans="1:36" x14ac:dyDescent="0.2">
      <c r="A249" s="9"/>
      <c r="B249" s="50"/>
      <c r="C249" s="51"/>
      <c r="D249" s="51"/>
      <c r="E249" s="51"/>
      <c r="F249" s="51"/>
      <c r="G249" s="51"/>
      <c r="H249" s="51"/>
      <c r="I249" s="51"/>
      <c r="J249" s="51"/>
      <c r="K249" s="51"/>
      <c r="L249" s="51"/>
      <c r="M249" s="51"/>
      <c r="N249" s="51"/>
      <c r="O249" s="51"/>
      <c r="P249" s="51"/>
      <c r="Q249" s="51"/>
      <c r="R249" s="51"/>
      <c r="S249" s="51"/>
      <c r="T249" s="51"/>
      <c r="U249" s="51"/>
      <c r="V249" s="51"/>
      <c r="W249" s="51"/>
      <c r="X249" s="51"/>
      <c r="Y249" s="51"/>
      <c r="Z249" s="51"/>
      <c r="AA249" s="51"/>
      <c r="AB249" s="51"/>
      <c r="AC249" s="51"/>
      <c r="AD249" s="51"/>
      <c r="AE249" s="51"/>
      <c r="AF249" s="51"/>
      <c r="AG249" s="51"/>
      <c r="AH249" s="51"/>
      <c r="AI249" s="51"/>
      <c r="AJ249" s="51"/>
    </row>
    <row r="250" spans="1:36" x14ac:dyDescent="0.2">
      <c r="A250" s="9"/>
      <c r="B250" s="50"/>
      <c r="C250" s="51"/>
      <c r="D250" s="51"/>
      <c r="E250" s="51"/>
      <c r="F250" s="51"/>
      <c r="G250" s="51"/>
      <c r="H250" s="51"/>
      <c r="I250" s="51"/>
      <c r="J250" s="51"/>
      <c r="K250" s="51"/>
      <c r="L250" s="51"/>
      <c r="M250" s="51"/>
      <c r="N250" s="51"/>
      <c r="O250" s="51"/>
      <c r="P250" s="51"/>
      <c r="Q250" s="51"/>
      <c r="R250" s="51"/>
      <c r="S250" s="51"/>
      <c r="T250" s="51"/>
      <c r="U250" s="51"/>
      <c r="V250" s="51"/>
      <c r="W250" s="51"/>
      <c r="X250" s="51"/>
      <c r="Y250" s="51"/>
      <c r="Z250" s="51"/>
      <c r="AA250" s="51"/>
      <c r="AB250" s="51"/>
      <c r="AC250" s="51"/>
      <c r="AD250" s="51"/>
      <c r="AE250" s="51"/>
      <c r="AF250" s="51"/>
      <c r="AG250" s="51"/>
      <c r="AH250" s="51"/>
      <c r="AI250" s="51"/>
      <c r="AJ250" s="51"/>
    </row>
    <row r="251" spans="1:36" x14ac:dyDescent="0.2">
      <c r="A251" s="9"/>
      <c r="B251" s="50"/>
      <c r="C251" s="51"/>
      <c r="D251" s="51"/>
      <c r="E251" s="51"/>
      <c r="F251" s="51"/>
      <c r="G251" s="51"/>
      <c r="H251" s="51"/>
      <c r="I251" s="51"/>
      <c r="J251" s="51"/>
      <c r="K251" s="51"/>
      <c r="L251" s="51"/>
      <c r="M251" s="51"/>
      <c r="N251" s="51"/>
      <c r="O251" s="51"/>
      <c r="P251" s="51"/>
      <c r="Q251" s="51"/>
      <c r="R251" s="51"/>
      <c r="S251" s="51"/>
      <c r="T251" s="51"/>
      <c r="U251" s="51"/>
      <c r="V251" s="51"/>
      <c r="W251" s="51"/>
      <c r="X251" s="51"/>
      <c r="Y251" s="51"/>
      <c r="Z251" s="51"/>
      <c r="AA251" s="51"/>
      <c r="AB251" s="51"/>
      <c r="AC251" s="51"/>
      <c r="AD251" s="51"/>
      <c r="AE251" s="51"/>
      <c r="AF251" s="51"/>
      <c r="AG251" s="51"/>
      <c r="AH251" s="51"/>
      <c r="AI251" s="51"/>
      <c r="AJ251" s="51"/>
    </row>
    <row r="252" spans="1:36" x14ac:dyDescent="0.2">
      <c r="A252" s="9"/>
      <c r="B252" s="50"/>
      <c r="C252" s="51"/>
      <c r="D252" s="51"/>
      <c r="E252" s="51"/>
      <c r="F252" s="51"/>
      <c r="G252" s="51"/>
      <c r="H252" s="51"/>
      <c r="I252" s="51"/>
      <c r="J252" s="51"/>
      <c r="K252" s="51"/>
      <c r="L252" s="51"/>
      <c r="M252" s="51"/>
      <c r="N252" s="51"/>
      <c r="O252" s="51"/>
      <c r="P252" s="51"/>
      <c r="Q252" s="51"/>
      <c r="R252" s="51"/>
      <c r="S252" s="51"/>
      <c r="T252" s="51"/>
      <c r="U252" s="51"/>
      <c r="V252" s="51"/>
      <c r="W252" s="51"/>
      <c r="X252" s="51"/>
      <c r="Y252" s="51"/>
      <c r="Z252" s="51"/>
      <c r="AA252" s="51"/>
      <c r="AB252" s="51"/>
      <c r="AC252" s="51"/>
      <c r="AD252" s="51"/>
      <c r="AE252" s="51"/>
      <c r="AF252" s="51"/>
      <c r="AG252" s="51"/>
      <c r="AH252" s="51"/>
      <c r="AI252" s="51"/>
      <c r="AJ252" s="51"/>
    </row>
    <row r="253" spans="1:36" x14ac:dyDescent="0.2">
      <c r="A253" s="9"/>
      <c r="B253" s="50"/>
      <c r="C253" s="51"/>
      <c r="D253" s="51"/>
      <c r="E253" s="51"/>
      <c r="F253" s="51"/>
      <c r="G253" s="51"/>
      <c r="H253" s="51"/>
      <c r="I253" s="51"/>
      <c r="J253" s="51"/>
      <c r="K253" s="51"/>
      <c r="L253" s="51"/>
      <c r="M253" s="51"/>
      <c r="N253" s="51"/>
      <c r="O253" s="51"/>
      <c r="P253" s="51"/>
      <c r="Q253" s="51"/>
      <c r="R253" s="51"/>
      <c r="S253" s="51"/>
      <c r="T253" s="51"/>
      <c r="U253" s="51"/>
      <c r="V253" s="51"/>
      <c r="W253" s="51"/>
      <c r="X253" s="51"/>
      <c r="Y253" s="51"/>
      <c r="Z253" s="51"/>
      <c r="AA253" s="51"/>
      <c r="AB253" s="51"/>
      <c r="AC253" s="51"/>
      <c r="AD253" s="51"/>
      <c r="AE253" s="51"/>
      <c r="AF253" s="51"/>
      <c r="AG253" s="51"/>
      <c r="AH253" s="51"/>
      <c r="AI253" s="51"/>
      <c r="AJ253" s="51"/>
    </row>
    <row r="254" spans="1:36" x14ac:dyDescent="0.2">
      <c r="A254" s="9"/>
      <c r="B254" s="50"/>
      <c r="C254" s="51"/>
      <c r="D254" s="51"/>
      <c r="E254" s="51"/>
      <c r="F254" s="51"/>
      <c r="G254" s="51"/>
      <c r="H254" s="51"/>
      <c r="I254" s="51"/>
      <c r="J254" s="51"/>
      <c r="K254" s="51"/>
      <c r="L254" s="51"/>
      <c r="M254" s="51"/>
      <c r="N254" s="51"/>
      <c r="O254" s="51"/>
      <c r="P254" s="51"/>
      <c r="Q254" s="51"/>
      <c r="R254" s="51"/>
      <c r="S254" s="51"/>
      <c r="T254" s="51"/>
      <c r="U254" s="51"/>
      <c r="V254" s="51"/>
      <c r="W254" s="51"/>
      <c r="X254" s="51"/>
      <c r="Y254" s="51"/>
      <c r="Z254" s="51"/>
      <c r="AA254" s="51"/>
      <c r="AB254" s="51"/>
      <c r="AC254" s="51"/>
      <c r="AD254" s="51"/>
      <c r="AE254" s="51"/>
      <c r="AF254" s="51"/>
      <c r="AG254" s="51"/>
      <c r="AH254" s="51"/>
      <c r="AI254" s="51"/>
      <c r="AJ254" s="51"/>
    </row>
    <row r="255" spans="1:36" x14ac:dyDescent="0.2">
      <c r="A255" s="9"/>
      <c r="B255" s="50"/>
      <c r="C255" s="51"/>
      <c r="D255" s="51"/>
      <c r="E255" s="51"/>
      <c r="F255" s="51"/>
      <c r="G255" s="51"/>
      <c r="H255" s="51"/>
      <c r="I255" s="51"/>
      <c r="J255" s="51"/>
      <c r="K255" s="51"/>
      <c r="L255" s="51"/>
      <c r="M255" s="51"/>
      <c r="N255" s="51"/>
      <c r="O255" s="51"/>
      <c r="P255" s="51"/>
      <c r="Q255" s="51"/>
      <c r="R255" s="51"/>
      <c r="S255" s="51"/>
      <c r="T255" s="51"/>
      <c r="U255" s="51"/>
      <c r="V255" s="51"/>
      <c r="W255" s="51"/>
      <c r="X255" s="51"/>
      <c r="Y255" s="51"/>
      <c r="Z255" s="51"/>
      <c r="AA255" s="51"/>
      <c r="AB255" s="51"/>
      <c r="AC255" s="51"/>
      <c r="AD255" s="51"/>
      <c r="AE255" s="51"/>
      <c r="AF255" s="51"/>
      <c r="AG255" s="51"/>
      <c r="AH255" s="51"/>
      <c r="AI255" s="51"/>
      <c r="AJ255" s="51"/>
    </row>
    <row r="256" spans="1:36" x14ac:dyDescent="0.2">
      <c r="A256" s="9"/>
      <c r="B256" s="50"/>
      <c r="C256" s="51"/>
      <c r="D256" s="51"/>
      <c r="E256" s="51"/>
      <c r="F256" s="51"/>
      <c r="G256" s="51"/>
      <c r="H256" s="51"/>
      <c r="I256" s="51"/>
      <c r="J256" s="51"/>
      <c r="K256" s="51"/>
      <c r="L256" s="51"/>
      <c r="M256" s="51"/>
      <c r="N256" s="51"/>
      <c r="O256" s="51"/>
      <c r="P256" s="51"/>
      <c r="Q256" s="51"/>
      <c r="R256" s="51"/>
      <c r="S256" s="51"/>
      <c r="T256" s="51"/>
      <c r="U256" s="51"/>
      <c r="V256" s="51"/>
      <c r="W256" s="51"/>
      <c r="X256" s="51"/>
      <c r="Y256" s="51"/>
      <c r="Z256" s="51"/>
      <c r="AA256" s="51"/>
      <c r="AB256" s="51"/>
      <c r="AC256" s="51"/>
      <c r="AD256" s="51"/>
      <c r="AE256" s="51"/>
      <c r="AF256" s="51"/>
      <c r="AG256" s="51"/>
      <c r="AH256" s="51"/>
      <c r="AI256" s="51"/>
      <c r="AJ256" s="51"/>
    </row>
    <row r="257" spans="1:36" x14ac:dyDescent="0.2">
      <c r="A257" s="9"/>
      <c r="B257" s="50"/>
      <c r="C257" s="51"/>
      <c r="D257" s="51"/>
      <c r="E257" s="51"/>
      <c r="F257" s="51"/>
      <c r="G257" s="51"/>
      <c r="H257" s="51"/>
      <c r="I257" s="51"/>
      <c r="J257" s="51"/>
      <c r="K257" s="51"/>
      <c r="L257" s="51"/>
      <c r="M257" s="51"/>
      <c r="N257" s="51"/>
      <c r="O257" s="51"/>
      <c r="P257" s="51"/>
      <c r="Q257" s="51"/>
      <c r="R257" s="51"/>
      <c r="S257" s="51"/>
      <c r="T257" s="51"/>
      <c r="U257" s="51"/>
      <c r="V257" s="51"/>
      <c r="W257" s="51"/>
      <c r="X257" s="51"/>
      <c r="Y257" s="51"/>
      <c r="Z257" s="51"/>
      <c r="AA257" s="51"/>
      <c r="AB257" s="51"/>
      <c r="AC257" s="51"/>
      <c r="AD257" s="51"/>
      <c r="AE257" s="51"/>
      <c r="AF257" s="51"/>
      <c r="AG257" s="51"/>
      <c r="AH257" s="51"/>
      <c r="AI257" s="51"/>
      <c r="AJ257" s="51"/>
    </row>
    <row r="258" spans="1:36" x14ac:dyDescent="0.2">
      <c r="A258" s="9"/>
      <c r="B258" s="50"/>
      <c r="C258" s="51"/>
      <c r="D258" s="51"/>
      <c r="E258" s="51"/>
      <c r="F258" s="51"/>
      <c r="G258" s="51"/>
      <c r="H258" s="51"/>
      <c r="I258" s="51"/>
      <c r="J258" s="51"/>
      <c r="K258" s="51"/>
      <c r="L258" s="51"/>
      <c r="M258" s="51"/>
      <c r="N258" s="51"/>
      <c r="O258" s="51"/>
      <c r="P258" s="51"/>
      <c r="Q258" s="51"/>
      <c r="R258" s="51"/>
      <c r="S258" s="51"/>
      <c r="T258" s="51"/>
      <c r="U258" s="51"/>
      <c r="V258" s="51"/>
      <c r="W258" s="51"/>
      <c r="X258" s="51"/>
      <c r="Y258" s="51"/>
      <c r="Z258" s="51"/>
      <c r="AA258" s="51"/>
      <c r="AB258" s="51"/>
      <c r="AC258" s="51"/>
      <c r="AD258" s="51"/>
      <c r="AE258" s="51"/>
      <c r="AF258" s="51"/>
      <c r="AG258" s="51"/>
      <c r="AH258" s="51"/>
      <c r="AI258" s="51"/>
      <c r="AJ258" s="51"/>
    </row>
    <row r="259" spans="1:36" x14ac:dyDescent="0.2">
      <c r="A259" s="9"/>
      <c r="B259" s="50"/>
      <c r="C259" s="51"/>
      <c r="D259" s="51"/>
      <c r="E259" s="51"/>
      <c r="F259" s="51"/>
      <c r="G259" s="51"/>
      <c r="H259" s="51"/>
      <c r="I259" s="51"/>
      <c r="J259" s="51"/>
      <c r="K259" s="51"/>
      <c r="L259" s="51"/>
      <c r="M259" s="51"/>
      <c r="N259" s="51"/>
      <c r="O259" s="51"/>
      <c r="P259" s="51"/>
      <c r="Q259" s="51"/>
      <c r="R259" s="51"/>
      <c r="S259" s="51"/>
      <c r="T259" s="51"/>
      <c r="U259" s="51"/>
      <c r="V259" s="51"/>
      <c r="W259" s="51"/>
      <c r="X259" s="51"/>
      <c r="Y259" s="51"/>
      <c r="Z259" s="51"/>
      <c r="AA259" s="51"/>
      <c r="AB259" s="51"/>
      <c r="AC259" s="51"/>
      <c r="AD259" s="51"/>
      <c r="AE259" s="51"/>
      <c r="AF259" s="51"/>
      <c r="AG259" s="51"/>
      <c r="AH259" s="51"/>
      <c r="AI259" s="51"/>
      <c r="AJ259" s="51"/>
    </row>
    <row r="260" spans="1:36" x14ac:dyDescent="0.2">
      <c r="A260" s="9"/>
      <c r="B260" s="50"/>
      <c r="C260" s="51"/>
      <c r="D260" s="51"/>
      <c r="E260" s="51"/>
      <c r="F260" s="51"/>
      <c r="G260" s="51"/>
      <c r="H260" s="51"/>
      <c r="I260" s="51"/>
      <c r="J260" s="51"/>
      <c r="K260" s="51"/>
      <c r="L260" s="51"/>
      <c r="M260" s="51"/>
      <c r="N260" s="51"/>
      <c r="O260" s="51"/>
      <c r="P260" s="51"/>
      <c r="Q260" s="51"/>
      <c r="R260" s="51"/>
      <c r="S260" s="51"/>
      <c r="T260" s="51"/>
      <c r="U260" s="51"/>
      <c r="V260" s="51"/>
      <c r="W260" s="51"/>
      <c r="X260" s="51"/>
      <c r="Y260" s="51"/>
      <c r="Z260" s="51"/>
      <c r="AA260" s="51"/>
      <c r="AB260" s="51"/>
      <c r="AC260" s="51"/>
      <c r="AD260" s="51"/>
      <c r="AE260" s="51"/>
      <c r="AF260" s="51"/>
      <c r="AG260" s="51"/>
      <c r="AH260" s="51"/>
      <c r="AI260" s="51"/>
      <c r="AJ260" s="51"/>
    </row>
    <row r="261" spans="1:36" x14ac:dyDescent="0.2">
      <c r="A261" s="9"/>
      <c r="B261" s="50"/>
      <c r="C261" s="51"/>
      <c r="D261" s="51"/>
      <c r="E261" s="51"/>
      <c r="F261" s="51"/>
      <c r="G261" s="51"/>
      <c r="H261" s="51"/>
      <c r="I261" s="51"/>
      <c r="J261" s="51"/>
      <c r="K261" s="51"/>
      <c r="L261" s="51"/>
      <c r="M261" s="51"/>
      <c r="N261" s="51"/>
      <c r="O261" s="51"/>
      <c r="P261" s="51"/>
      <c r="Q261" s="51"/>
      <c r="R261" s="51"/>
      <c r="S261" s="51"/>
      <c r="T261" s="51"/>
      <c r="U261" s="51"/>
      <c r="V261" s="51"/>
      <c r="W261" s="51"/>
      <c r="X261" s="51"/>
      <c r="Y261" s="51"/>
      <c r="Z261" s="51"/>
      <c r="AA261" s="51"/>
      <c r="AB261" s="51"/>
      <c r="AC261" s="51"/>
      <c r="AD261" s="51"/>
      <c r="AE261" s="51"/>
      <c r="AF261" s="51"/>
      <c r="AG261" s="51"/>
      <c r="AH261" s="51"/>
      <c r="AI261" s="51"/>
      <c r="AJ261" s="51"/>
    </row>
    <row r="262" spans="1:36" x14ac:dyDescent="0.2">
      <c r="A262" s="9"/>
      <c r="B262" s="50"/>
      <c r="C262" s="51"/>
      <c r="D262" s="51"/>
      <c r="E262" s="51"/>
      <c r="F262" s="51"/>
      <c r="G262" s="51"/>
      <c r="H262" s="51"/>
      <c r="I262" s="51"/>
      <c r="J262" s="51"/>
      <c r="K262" s="51"/>
      <c r="L262" s="51"/>
      <c r="M262" s="51"/>
      <c r="N262" s="51"/>
      <c r="O262" s="51"/>
      <c r="P262" s="51"/>
      <c r="Q262" s="51"/>
      <c r="R262" s="51"/>
      <c r="S262" s="51"/>
      <c r="T262" s="51"/>
      <c r="U262" s="51"/>
      <c r="V262" s="51"/>
      <c r="W262" s="51"/>
      <c r="X262" s="51"/>
      <c r="Y262" s="51"/>
      <c r="Z262" s="51"/>
      <c r="AA262" s="51"/>
      <c r="AB262" s="51"/>
      <c r="AC262" s="51"/>
      <c r="AD262" s="51"/>
      <c r="AE262" s="51"/>
      <c r="AF262" s="51"/>
      <c r="AG262" s="51"/>
      <c r="AH262" s="51"/>
      <c r="AI262" s="51"/>
      <c r="AJ262" s="51"/>
    </row>
    <row r="263" spans="1:36" x14ac:dyDescent="0.2">
      <c r="A263" s="9"/>
      <c r="B263" s="50"/>
      <c r="C263" s="51"/>
      <c r="D263" s="51"/>
      <c r="E263" s="51"/>
      <c r="F263" s="51"/>
      <c r="G263" s="51"/>
      <c r="H263" s="51"/>
      <c r="I263" s="51"/>
      <c r="J263" s="51"/>
      <c r="K263" s="51"/>
      <c r="L263" s="51"/>
      <c r="M263" s="51"/>
      <c r="N263" s="51"/>
      <c r="O263" s="51"/>
      <c r="P263" s="51"/>
      <c r="Q263" s="51"/>
      <c r="R263" s="51"/>
      <c r="S263" s="51"/>
      <c r="T263" s="51"/>
      <c r="U263" s="51"/>
      <c r="V263" s="51"/>
      <c r="W263" s="51"/>
      <c r="X263" s="51"/>
      <c r="Y263" s="51"/>
      <c r="Z263" s="51"/>
      <c r="AA263" s="51"/>
      <c r="AB263" s="51"/>
      <c r="AC263" s="51"/>
      <c r="AD263" s="51"/>
      <c r="AE263" s="51"/>
      <c r="AF263" s="51"/>
      <c r="AG263" s="51"/>
      <c r="AH263" s="51"/>
      <c r="AI263" s="51"/>
      <c r="AJ263" s="51"/>
    </row>
    <row r="264" spans="1:36" x14ac:dyDescent="0.2">
      <c r="A264" s="9"/>
      <c r="B264" s="50"/>
      <c r="C264" s="51"/>
      <c r="D264" s="51"/>
      <c r="E264" s="51"/>
      <c r="F264" s="51"/>
      <c r="G264" s="51"/>
      <c r="H264" s="51"/>
      <c r="I264" s="51"/>
      <c r="J264" s="51"/>
      <c r="K264" s="51"/>
      <c r="L264" s="51"/>
      <c r="M264" s="51"/>
      <c r="N264" s="51"/>
      <c r="O264" s="51"/>
      <c r="P264" s="51"/>
      <c r="Q264" s="51"/>
      <c r="R264" s="51"/>
      <c r="S264" s="51"/>
      <c r="T264" s="51"/>
      <c r="U264" s="51"/>
      <c r="V264" s="51"/>
      <c r="W264" s="51"/>
      <c r="X264" s="51"/>
      <c r="Y264" s="51"/>
      <c r="Z264" s="51"/>
      <c r="AA264" s="51"/>
      <c r="AB264" s="51"/>
      <c r="AC264" s="51"/>
      <c r="AD264" s="51"/>
      <c r="AE264" s="51"/>
      <c r="AF264" s="51"/>
      <c r="AG264" s="51"/>
      <c r="AH264" s="51"/>
      <c r="AI264" s="51"/>
      <c r="AJ264" s="51"/>
    </row>
    <row r="265" spans="1:36" x14ac:dyDescent="0.2">
      <c r="A265" s="9"/>
      <c r="B265" s="50"/>
      <c r="C265" s="51"/>
      <c r="D265" s="51"/>
      <c r="E265" s="51"/>
      <c r="F265" s="51"/>
      <c r="G265" s="51"/>
      <c r="H265" s="51"/>
      <c r="I265" s="51"/>
      <c r="J265" s="51"/>
      <c r="K265" s="51"/>
      <c r="L265" s="51"/>
      <c r="M265" s="51"/>
      <c r="N265" s="51"/>
      <c r="O265" s="51"/>
      <c r="P265" s="51"/>
      <c r="Q265" s="51"/>
      <c r="R265" s="51"/>
      <c r="S265" s="51"/>
      <c r="T265" s="51"/>
      <c r="U265" s="51"/>
      <c r="V265" s="51"/>
      <c r="W265" s="51"/>
      <c r="X265" s="51"/>
      <c r="Y265" s="51"/>
      <c r="Z265" s="51"/>
      <c r="AA265" s="51"/>
      <c r="AB265" s="51"/>
      <c r="AC265" s="51"/>
      <c r="AD265" s="51"/>
      <c r="AE265" s="51"/>
      <c r="AF265" s="51"/>
      <c r="AG265" s="51"/>
      <c r="AH265" s="51"/>
      <c r="AI265" s="51"/>
      <c r="AJ265" s="51"/>
    </row>
    <row r="266" spans="1:36" x14ac:dyDescent="0.2">
      <c r="A266" s="9"/>
      <c r="B266" s="50"/>
      <c r="C266" s="51"/>
      <c r="D266" s="51"/>
      <c r="E266" s="51"/>
      <c r="F266" s="51"/>
      <c r="G266" s="51"/>
      <c r="H266" s="51"/>
      <c r="I266" s="51"/>
      <c r="J266" s="51"/>
      <c r="K266" s="51"/>
      <c r="L266" s="51"/>
      <c r="M266" s="51"/>
      <c r="N266" s="51"/>
      <c r="O266" s="51"/>
      <c r="P266" s="51"/>
      <c r="Q266" s="51"/>
      <c r="R266" s="51"/>
      <c r="S266" s="51"/>
      <c r="T266" s="51"/>
      <c r="U266" s="51"/>
      <c r="V266" s="51"/>
      <c r="W266" s="51"/>
      <c r="X266" s="51"/>
      <c r="Y266" s="51"/>
      <c r="Z266" s="51"/>
      <c r="AA266" s="51"/>
      <c r="AB266" s="51"/>
      <c r="AC266" s="51"/>
      <c r="AD266" s="51"/>
      <c r="AE266" s="51"/>
      <c r="AF266" s="51"/>
      <c r="AG266" s="51"/>
      <c r="AH266" s="51"/>
      <c r="AI266" s="51"/>
      <c r="AJ266" s="51"/>
    </row>
    <row r="267" spans="1:36" x14ac:dyDescent="0.2">
      <c r="A267" s="9"/>
      <c r="B267" s="50"/>
      <c r="C267" s="51"/>
      <c r="D267" s="51"/>
      <c r="E267" s="51"/>
      <c r="F267" s="51"/>
      <c r="G267" s="51"/>
      <c r="H267" s="51"/>
      <c r="I267" s="51"/>
      <c r="J267" s="51"/>
      <c r="K267" s="51"/>
      <c r="L267" s="51"/>
      <c r="M267" s="51"/>
      <c r="N267" s="51"/>
      <c r="O267" s="51"/>
      <c r="P267" s="51"/>
      <c r="Q267" s="51"/>
      <c r="R267" s="51"/>
      <c r="S267" s="51"/>
      <c r="T267" s="51"/>
      <c r="U267" s="51"/>
      <c r="V267" s="51"/>
      <c r="W267" s="51"/>
      <c r="X267" s="51"/>
      <c r="Y267" s="51"/>
      <c r="Z267" s="51"/>
      <c r="AA267" s="51"/>
      <c r="AB267" s="51"/>
      <c r="AC267" s="51"/>
      <c r="AD267" s="51"/>
      <c r="AE267" s="51"/>
      <c r="AF267" s="51"/>
      <c r="AG267" s="51"/>
      <c r="AH267" s="51"/>
      <c r="AI267" s="51"/>
      <c r="AJ267" s="51"/>
    </row>
    <row r="268" spans="1:36" x14ac:dyDescent="0.2">
      <c r="A268" s="9"/>
      <c r="B268" s="50"/>
      <c r="C268" s="51"/>
      <c r="D268" s="51"/>
      <c r="E268" s="51"/>
      <c r="F268" s="51"/>
      <c r="G268" s="51"/>
      <c r="H268" s="51"/>
      <c r="I268" s="51"/>
      <c r="J268" s="51"/>
      <c r="K268" s="51"/>
      <c r="L268" s="51"/>
      <c r="M268" s="51"/>
      <c r="N268" s="51"/>
      <c r="O268" s="51"/>
      <c r="P268" s="51"/>
      <c r="Q268" s="51"/>
      <c r="R268" s="51"/>
      <c r="S268" s="51"/>
      <c r="T268" s="51"/>
      <c r="U268" s="51"/>
      <c r="V268" s="51"/>
      <c r="W268" s="51"/>
      <c r="X268" s="51"/>
      <c r="Y268" s="51"/>
      <c r="Z268" s="51"/>
      <c r="AA268" s="51"/>
      <c r="AB268" s="51"/>
      <c r="AC268" s="51"/>
      <c r="AD268" s="51"/>
      <c r="AE268" s="51"/>
      <c r="AF268" s="51"/>
      <c r="AG268" s="51"/>
      <c r="AH268" s="51"/>
      <c r="AI268" s="51"/>
      <c r="AJ268" s="51"/>
    </row>
    <row r="269" spans="1:36" x14ac:dyDescent="0.2">
      <c r="A269" s="9"/>
      <c r="B269" s="50"/>
      <c r="C269" s="51"/>
      <c r="D269" s="51"/>
      <c r="E269" s="51"/>
      <c r="F269" s="51"/>
      <c r="G269" s="51"/>
      <c r="H269" s="51"/>
      <c r="I269" s="51"/>
      <c r="J269" s="51"/>
      <c r="K269" s="51"/>
      <c r="L269" s="51"/>
      <c r="M269" s="51"/>
      <c r="N269" s="51"/>
      <c r="O269" s="51"/>
      <c r="P269" s="51"/>
      <c r="Q269" s="51"/>
      <c r="R269" s="51"/>
      <c r="S269" s="51"/>
      <c r="T269" s="51"/>
      <c r="U269" s="51"/>
      <c r="V269" s="51"/>
      <c r="W269" s="51"/>
      <c r="X269" s="51"/>
      <c r="Y269" s="51"/>
      <c r="Z269" s="51"/>
      <c r="AA269" s="51"/>
      <c r="AB269" s="51"/>
      <c r="AC269" s="51"/>
      <c r="AD269" s="51"/>
      <c r="AE269" s="51"/>
      <c r="AF269" s="51"/>
      <c r="AG269" s="51"/>
      <c r="AH269" s="51"/>
      <c r="AI269" s="51"/>
      <c r="AJ269" s="51"/>
    </row>
    <row r="270" spans="1:36" x14ac:dyDescent="0.2">
      <c r="A270" s="9"/>
      <c r="B270" s="50"/>
      <c r="C270" s="51"/>
      <c r="D270" s="51"/>
      <c r="E270" s="51"/>
      <c r="F270" s="51"/>
      <c r="G270" s="51"/>
      <c r="H270" s="51"/>
      <c r="I270" s="51"/>
      <c r="J270" s="51"/>
      <c r="K270" s="51"/>
      <c r="L270" s="51"/>
      <c r="M270" s="51"/>
      <c r="N270" s="51"/>
      <c r="O270" s="51"/>
      <c r="P270" s="51"/>
      <c r="Q270" s="51"/>
      <c r="R270" s="51"/>
      <c r="S270" s="51"/>
      <c r="T270" s="51"/>
      <c r="U270" s="51"/>
      <c r="V270" s="51"/>
      <c r="W270" s="51"/>
      <c r="X270" s="51"/>
      <c r="Y270" s="51"/>
      <c r="Z270" s="51"/>
      <c r="AA270" s="51"/>
      <c r="AB270" s="51"/>
      <c r="AC270" s="51"/>
      <c r="AD270" s="51"/>
      <c r="AE270" s="51"/>
      <c r="AF270" s="51"/>
      <c r="AG270" s="51"/>
      <c r="AH270" s="51"/>
      <c r="AI270" s="51"/>
      <c r="AJ270" s="51"/>
    </row>
    <row r="271" spans="1:36" x14ac:dyDescent="0.2">
      <c r="A271" s="9"/>
      <c r="B271" s="50"/>
      <c r="C271" s="51"/>
      <c r="D271" s="51"/>
      <c r="E271" s="51"/>
      <c r="F271" s="51"/>
      <c r="G271" s="51"/>
      <c r="H271" s="51"/>
      <c r="I271" s="51"/>
      <c r="J271" s="51"/>
      <c r="K271" s="51"/>
      <c r="L271" s="51"/>
      <c r="M271" s="51"/>
      <c r="N271" s="51"/>
      <c r="O271" s="51"/>
      <c r="P271" s="51"/>
      <c r="Q271" s="51"/>
      <c r="R271" s="51"/>
      <c r="S271" s="51"/>
      <c r="T271" s="51"/>
      <c r="U271" s="51"/>
      <c r="V271" s="51"/>
      <c r="W271" s="51"/>
      <c r="X271" s="51"/>
      <c r="Y271" s="51"/>
      <c r="Z271" s="51"/>
      <c r="AA271" s="51"/>
      <c r="AB271" s="51"/>
      <c r="AC271" s="51"/>
      <c r="AD271" s="51"/>
      <c r="AE271" s="51"/>
      <c r="AF271" s="51"/>
      <c r="AG271" s="51"/>
      <c r="AH271" s="51"/>
      <c r="AI271" s="51"/>
      <c r="AJ271" s="51"/>
    </row>
    <row r="272" spans="1:36" x14ac:dyDescent="0.2">
      <c r="A272" s="9"/>
      <c r="B272" s="50"/>
      <c r="C272" s="51"/>
      <c r="D272" s="51"/>
      <c r="E272" s="51"/>
      <c r="F272" s="51"/>
      <c r="G272" s="51"/>
      <c r="H272" s="51"/>
      <c r="I272" s="51"/>
      <c r="J272" s="51"/>
      <c r="K272" s="51"/>
      <c r="L272" s="51"/>
      <c r="M272" s="51"/>
      <c r="N272" s="51"/>
      <c r="O272" s="51"/>
      <c r="P272" s="51"/>
      <c r="Q272" s="51"/>
      <c r="R272" s="51"/>
      <c r="S272" s="51"/>
      <c r="T272" s="51"/>
      <c r="U272" s="51"/>
      <c r="V272" s="51"/>
      <c r="W272" s="51"/>
      <c r="X272" s="51"/>
      <c r="Y272" s="51"/>
      <c r="Z272" s="51"/>
      <c r="AA272" s="51"/>
      <c r="AB272" s="51"/>
      <c r="AC272" s="51"/>
      <c r="AD272" s="51"/>
      <c r="AE272" s="51"/>
      <c r="AF272" s="51"/>
      <c r="AG272" s="51"/>
      <c r="AH272" s="51"/>
      <c r="AI272" s="51"/>
      <c r="AJ272" s="51"/>
    </row>
    <row r="273" spans="1:36" x14ac:dyDescent="0.2">
      <c r="A273" s="9"/>
      <c r="B273" s="50"/>
      <c r="C273" s="51"/>
      <c r="D273" s="51"/>
      <c r="E273" s="51"/>
      <c r="F273" s="51"/>
      <c r="G273" s="51"/>
      <c r="H273" s="51"/>
      <c r="I273" s="51"/>
      <c r="J273" s="51"/>
      <c r="K273" s="51"/>
      <c r="L273" s="51"/>
      <c r="M273" s="51"/>
      <c r="N273" s="51"/>
      <c r="O273" s="51"/>
      <c r="P273" s="51"/>
      <c r="Q273" s="51"/>
      <c r="R273" s="51"/>
      <c r="S273" s="51"/>
      <c r="T273" s="51"/>
      <c r="U273" s="51"/>
      <c r="V273" s="51"/>
      <c r="W273" s="51"/>
      <c r="X273" s="51"/>
      <c r="Y273" s="51"/>
      <c r="Z273" s="51"/>
      <c r="AA273" s="51"/>
      <c r="AB273" s="51"/>
      <c r="AC273" s="51"/>
      <c r="AD273" s="51"/>
      <c r="AE273" s="51"/>
      <c r="AF273" s="51"/>
      <c r="AG273" s="51"/>
      <c r="AH273" s="51"/>
      <c r="AI273" s="51"/>
      <c r="AJ273" s="51"/>
    </row>
    <row r="274" spans="1:36" x14ac:dyDescent="0.2">
      <c r="A274" s="9"/>
      <c r="B274" s="50"/>
      <c r="C274" s="51"/>
      <c r="D274" s="51"/>
      <c r="E274" s="51"/>
      <c r="F274" s="51"/>
      <c r="G274" s="51"/>
      <c r="H274" s="51"/>
      <c r="I274" s="51"/>
      <c r="J274" s="51"/>
      <c r="K274" s="51"/>
      <c r="L274" s="51"/>
      <c r="M274" s="51"/>
      <c r="N274" s="51"/>
      <c r="O274" s="51"/>
      <c r="P274" s="51"/>
      <c r="Q274" s="51"/>
      <c r="R274" s="51"/>
      <c r="S274" s="51"/>
      <c r="T274" s="51"/>
      <c r="U274" s="51"/>
      <c r="V274" s="51"/>
      <c r="W274" s="51"/>
      <c r="X274" s="51"/>
      <c r="Y274" s="51"/>
      <c r="Z274" s="51"/>
      <c r="AA274" s="51"/>
      <c r="AB274" s="51"/>
      <c r="AC274" s="51"/>
      <c r="AD274" s="51"/>
      <c r="AE274" s="51"/>
      <c r="AF274" s="51"/>
      <c r="AG274" s="51"/>
      <c r="AH274" s="51"/>
      <c r="AI274" s="51"/>
      <c r="AJ274" s="51"/>
    </row>
    <row r="275" spans="1:36" x14ac:dyDescent="0.2">
      <c r="A275" s="9"/>
      <c r="B275" s="50"/>
      <c r="C275" s="51"/>
      <c r="D275" s="51"/>
      <c r="E275" s="51"/>
      <c r="F275" s="51"/>
      <c r="G275" s="51"/>
      <c r="H275" s="51"/>
      <c r="I275" s="51"/>
      <c r="J275" s="51"/>
      <c r="K275" s="51"/>
      <c r="L275" s="51"/>
      <c r="M275" s="51"/>
      <c r="N275" s="51"/>
      <c r="O275" s="51"/>
      <c r="P275" s="51"/>
      <c r="Q275" s="51"/>
      <c r="R275" s="51"/>
      <c r="S275" s="51"/>
      <c r="T275" s="51"/>
      <c r="U275" s="51"/>
      <c r="V275" s="51"/>
      <c r="W275" s="51"/>
      <c r="X275" s="51"/>
      <c r="Y275" s="51"/>
      <c r="Z275" s="51"/>
      <c r="AA275" s="51"/>
      <c r="AB275" s="51"/>
      <c r="AC275" s="51"/>
      <c r="AD275" s="51"/>
      <c r="AE275" s="51"/>
      <c r="AF275" s="51"/>
      <c r="AG275" s="51"/>
      <c r="AH275" s="51"/>
      <c r="AI275" s="51"/>
      <c r="AJ275" s="51"/>
    </row>
    <row r="276" spans="1:36" x14ac:dyDescent="0.2">
      <c r="A276" s="9"/>
      <c r="B276" s="50"/>
      <c r="C276" s="51"/>
      <c r="D276" s="51"/>
      <c r="E276" s="51"/>
      <c r="F276" s="51"/>
      <c r="G276" s="51"/>
      <c r="H276" s="51"/>
      <c r="I276" s="51"/>
      <c r="J276" s="51"/>
      <c r="K276" s="51"/>
      <c r="L276" s="51"/>
      <c r="M276" s="51"/>
      <c r="N276" s="51"/>
      <c r="O276" s="51"/>
      <c r="P276" s="51"/>
      <c r="Q276" s="51"/>
      <c r="R276" s="51"/>
      <c r="S276" s="51"/>
      <c r="T276" s="51"/>
      <c r="U276" s="51"/>
      <c r="V276" s="51"/>
      <c r="W276" s="51"/>
      <c r="X276" s="51"/>
      <c r="Y276" s="51"/>
      <c r="Z276" s="51"/>
      <c r="AA276" s="51"/>
      <c r="AB276" s="51"/>
      <c r="AC276" s="51"/>
      <c r="AD276" s="51"/>
      <c r="AE276" s="51"/>
      <c r="AF276" s="51"/>
      <c r="AG276" s="51"/>
      <c r="AH276" s="51"/>
      <c r="AI276" s="51"/>
      <c r="AJ276" s="51"/>
    </row>
    <row r="277" spans="1:36" x14ac:dyDescent="0.2">
      <c r="A277" s="9"/>
      <c r="B277" s="52"/>
      <c r="C277" s="53"/>
      <c r="D277" s="53"/>
      <c r="E277" s="53"/>
      <c r="F277" s="53"/>
      <c r="G277" s="53"/>
      <c r="H277" s="53"/>
      <c r="I277" s="53"/>
      <c r="J277" s="53"/>
      <c r="K277" s="53"/>
      <c r="L277" s="53"/>
      <c r="M277" s="53"/>
      <c r="N277" s="53"/>
      <c r="O277" s="53"/>
      <c r="P277" s="53"/>
      <c r="Q277" s="53"/>
      <c r="R277" s="53"/>
      <c r="S277" s="53"/>
      <c r="T277" s="53"/>
      <c r="U277" s="53"/>
      <c r="V277" s="53"/>
      <c r="W277" s="53"/>
      <c r="X277" s="53"/>
      <c r="Y277" s="53"/>
      <c r="Z277" s="53"/>
      <c r="AA277" s="53"/>
      <c r="AB277" s="53"/>
      <c r="AC277" s="53"/>
      <c r="AD277" s="53"/>
      <c r="AE277" s="53"/>
      <c r="AF277" s="53"/>
      <c r="AG277" s="53"/>
      <c r="AH277" s="53"/>
      <c r="AI277" s="53"/>
      <c r="AJ277" s="53"/>
    </row>
    <row r="278" spans="1:36" s="1" customFormat="1" x14ac:dyDescent="0.2">
      <c r="A278" s="10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  <c r="AA278" s="7"/>
      <c r="AB278" s="7"/>
      <c r="AC278" s="7"/>
      <c r="AD278" s="7"/>
      <c r="AE278" s="7"/>
      <c r="AF278" s="7"/>
      <c r="AG278" s="7"/>
      <c r="AH278" s="7"/>
      <c r="AI278" s="7"/>
      <c r="AJ278" s="7"/>
    </row>
    <row r="279" spans="1:36" s="1" customFormat="1" x14ac:dyDescent="0.2">
      <c r="A279" s="10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  <c r="AA279" s="7"/>
      <c r="AB279" s="7"/>
      <c r="AC279" s="7"/>
      <c r="AD279" s="7"/>
      <c r="AE279" s="7"/>
      <c r="AF279" s="7"/>
      <c r="AG279" s="7"/>
      <c r="AH279" s="7"/>
      <c r="AI279" s="7"/>
      <c r="AJ279" s="7"/>
    </row>
    <row r="280" spans="1:36" s="1" customFormat="1" x14ac:dyDescent="0.2">
      <c r="A280" s="10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  <c r="AA280" s="7"/>
      <c r="AB280" s="7"/>
      <c r="AC280" s="7"/>
      <c r="AD280" s="7"/>
      <c r="AE280" s="7"/>
      <c r="AF280" s="7"/>
      <c r="AG280" s="7"/>
      <c r="AH280" s="7"/>
      <c r="AI280" s="7"/>
      <c r="AJ280" s="7"/>
    </row>
    <row r="281" spans="1:36" s="1" customFormat="1" x14ac:dyDescent="0.2">
      <c r="A281" s="10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  <c r="AA281" s="7"/>
      <c r="AB281" s="7"/>
      <c r="AC281" s="7"/>
      <c r="AD281" s="7"/>
      <c r="AE281" s="7"/>
      <c r="AF281" s="7"/>
      <c r="AG281" s="7"/>
      <c r="AH281" s="7"/>
      <c r="AI281" s="7"/>
      <c r="AJ281" s="7"/>
    </row>
    <row r="282" spans="1:36" s="1" customFormat="1" x14ac:dyDescent="0.2">
      <c r="A282" s="10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  <c r="AA282" s="7"/>
      <c r="AB282" s="7"/>
      <c r="AC282" s="7"/>
      <c r="AD282" s="7"/>
      <c r="AE282" s="7"/>
      <c r="AF282" s="7"/>
      <c r="AG282" s="7"/>
      <c r="AH282" s="7"/>
      <c r="AI282" s="7"/>
      <c r="AJ282" s="7"/>
    </row>
    <row r="283" spans="1:36" s="1" customFormat="1" x14ac:dyDescent="0.2">
      <c r="A283" s="10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  <c r="AA283" s="7"/>
      <c r="AB283" s="7"/>
      <c r="AC283" s="7"/>
      <c r="AD283" s="7"/>
      <c r="AE283" s="7"/>
      <c r="AF283" s="7"/>
      <c r="AG283" s="7"/>
      <c r="AH283" s="7"/>
      <c r="AI283" s="7"/>
      <c r="AJ283" s="7"/>
    </row>
    <row r="284" spans="1:36" s="1" customFormat="1" x14ac:dyDescent="0.2">
      <c r="A284" s="10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  <c r="AA284" s="7"/>
      <c r="AB284" s="7"/>
      <c r="AC284" s="7"/>
      <c r="AD284" s="7"/>
      <c r="AE284" s="7"/>
      <c r="AF284" s="7"/>
      <c r="AG284" s="7"/>
      <c r="AH284" s="7"/>
      <c r="AI284" s="7"/>
      <c r="AJ284" s="7"/>
    </row>
    <row r="285" spans="1:36" s="1" customFormat="1" x14ac:dyDescent="0.2">
      <c r="A285" s="10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  <c r="AA285" s="7"/>
      <c r="AB285" s="7"/>
      <c r="AC285" s="7"/>
      <c r="AD285" s="7"/>
      <c r="AE285" s="7"/>
      <c r="AF285" s="7"/>
      <c r="AG285" s="7"/>
      <c r="AH285" s="7"/>
      <c r="AI285" s="7"/>
      <c r="AJ285" s="7"/>
    </row>
    <row r="286" spans="1:36" s="1" customFormat="1" x14ac:dyDescent="0.2">
      <c r="A286" s="10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  <c r="AA286" s="7"/>
      <c r="AB286" s="7"/>
      <c r="AC286" s="7"/>
      <c r="AD286" s="7"/>
      <c r="AE286" s="7"/>
      <c r="AF286" s="7"/>
      <c r="AG286" s="7"/>
      <c r="AH286" s="7"/>
      <c r="AI286" s="7"/>
      <c r="AJ286" s="7"/>
    </row>
    <row r="287" spans="1:36" s="1" customFormat="1" x14ac:dyDescent="0.2">
      <c r="A287" s="10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  <c r="AA287" s="7"/>
      <c r="AB287" s="7"/>
      <c r="AC287" s="7"/>
      <c r="AD287" s="7"/>
      <c r="AE287" s="7"/>
      <c r="AF287" s="7"/>
      <c r="AG287" s="7"/>
      <c r="AH287" s="7"/>
      <c r="AI287" s="7"/>
      <c r="AJ287" s="7"/>
    </row>
    <row r="288" spans="1:36" s="1" customFormat="1" x14ac:dyDescent="0.2">
      <c r="A288" s="10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  <c r="AA288" s="7"/>
      <c r="AB288" s="7"/>
      <c r="AC288" s="7"/>
      <c r="AD288" s="7"/>
      <c r="AE288" s="7"/>
      <c r="AF288" s="7"/>
      <c r="AG288" s="7"/>
      <c r="AH288" s="7"/>
      <c r="AI288" s="7"/>
      <c r="AJ288" s="7"/>
    </row>
    <row r="289" spans="1:36" s="1" customFormat="1" x14ac:dyDescent="0.2">
      <c r="A289" s="10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  <c r="AA289" s="7"/>
      <c r="AB289" s="7"/>
      <c r="AC289" s="7"/>
      <c r="AD289" s="7"/>
      <c r="AE289" s="7"/>
      <c r="AF289" s="7"/>
      <c r="AG289" s="7"/>
      <c r="AH289" s="7"/>
      <c r="AI289" s="7"/>
      <c r="AJ289" s="7"/>
    </row>
    <row r="290" spans="1:36" s="1" customFormat="1" x14ac:dyDescent="0.2">
      <c r="A290" s="10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  <c r="AA290" s="7"/>
      <c r="AB290" s="7"/>
      <c r="AC290" s="7"/>
      <c r="AD290" s="7"/>
      <c r="AE290" s="7"/>
      <c r="AF290" s="7"/>
      <c r="AG290" s="7"/>
      <c r="AH290" s="7"/>
      <c r="AI290" s="7"/>
      <c r="AJ290" s="7"/>
    </row>
    <row r="291" spans="1:36" s="1" customFormat="1" x14ac:dyDescent="0.2">
      <c r="A291" s="10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  <c r="AA291" s="7"/>
      <c r="AB291" s="7"/>
      <c r="AC291" s="7"/>
      <c r="AD291" s="7"/>
      <c r="AE291" s="7"/>
      <c r="AF291" s="7"/>
      <c r="AG291" s="7"/>
      <c r="AH291" s="7"/>
      <c r="AI291" s="7"/>
      <c r="AJ291" s="7"/>
    </row>
    <row r="292" spans="1:36" s="1" customFormat="1" x14ac:dyDescent="0.2">
      <c r="A292" s="10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  <c r="AA292" s="7"/>
      <c r="AB292" s="7"/>
      <c r="AC292" s="7"/>
      <c r="AD292" s="7"/>
      <c r="AE292" s="7"/>
      <c r="AF292" s="7"/>
      <c r="AG292" s="7"/>
      <c r="AH292" s="7"/>
      <c r="AI292" s="7"/>
      <c r="AJ292" s="7"/>
    </row>
    <row r="293" spans="1:36" s="1" customFormat="1" x14ac:dyDescent="0.2">
      <c r="A293" s="10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  <c r="AA293" s="7"/>
      <c r="AB293" s="7"/>
      <c r="AC293" s="7"/>
      <c r="AD293" s="7"/>
      <c r="AE293" s="7"/>
      <c r="AF293" s="7"/>
      <c r="AG293" s="7"/>
      <c r="AH293" s="7"/>
      <c r="AI293" s="7"/>
      <c r="AJ293" s="7"/>
    </row>
    <row r="294" spans="1:36" s="1" customFormat="1" x14ac:dyDescent="0.2">
      <c r="A294" s="10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  <c r="AA294" s="7"/>
      <c r="AB294" s="7"/>
      <c r="AC294" s="7"/>
      <c r="AD294" s="7"/>
      <c r="AE294" s="7"/>
      <c r="AF294" s="7"/>
      <c r="AG294" s="7"/>
      <c r="AH294" s="7"/>
      <c r="AI294" s="7"/>
      <c r="AJ294" s="7"/>
    </row>
    <row r="295" spans="1:36" s="1" customFormat="1" x14ac:dyDescent="0.2">
      <c r="A295" s="10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  <c r="AA295" s="7"/>
      <c r="AB295" s="7"/>
      <c r="AC295" s="7"/>
      <c r="AD295" s="7"/>
      <c r="AE295" s="7"/>
      <c r="AF295" s="7"/>
      <c r="AG295" s="7"/>
      <c r="AH295" s="7"/>
      <c r="AI295" s="7"/>
      <c r="AJ295" s="7"/>
    </row>
    <row r="296" spans="1:36" s="1" customFormat="1" x14ac:dyDescent="0.2">
      <c r="A296" s="10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  <c r="AA296" s="7"/>
      <c r="AB296" s="7"/>
      <c r="AC296" s="7"/>
      <c r="AD296" s="7"/>
      <c r="AE296" s="7"/>
      <c r="AF296" s="7"/>
      <c r="AG296" s="7"/>
      <c r="AH296" s="7"/>
      <c r="AI296" s="7"/>
      <c r="AJ296" s="7"/>
    </row>
    <row r="297" spans="1:36" s="1" customFormat="1" x14ac:dyDescent="0.2">
      <c r="A297" s="10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  <c r="AA297" s="7"/>
      <c r="AB297" s="7"/>
      <c r="AC297" s="7"/>
      <c r="AD297" s="7"/>
      <c r="AE297" s="7"/>
      <c r="AF297" s="7"/>
      <c r="AG297" s="7"/>
      <c r="AH297" s="7"/>
      <c r="AI297" s="7"/>
      <c r="AJ297" s="7"/>
    </row>
    <row r="298" spans="1:36" s="1" customFormat="1" x14ac:dyDescent="0.2">
      <c r="A298" s="10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  <c r="AA298" s="7"/>
      <c r="AB298" s="7"/>
      <c r="AC298" s="7"/>
      <c r="AD298" s="7"/>
      <c r="AE298" s="7"/>
      <c r="AF298" s="7"/>
      <c r="AG298" s="7"/>
      <c r="AH298" s="7"/>
      <c r="AI298" s="7"/>
      <c r="AJ298" s="7"/>
    </row>
    <row r="299" spans="1:36" s="1" customFormat="1" x14ac:dyDescent="0.2">
      <c r="A299" s="10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  <c r="AA299" s="7"/>
      <c r="AB299" s="7"/>
      <c r="AC299" s="7"/>
      <c r="AD299" s="7"/>
      <c r="AE299" s="7"/>
      <c r="AF299" s="7"/>
      <c r="AG299" s="7"/>
      <c r="AH299" s="7"/>
      <c r="AI299" s="7"/>
      <c r="AJ299" s="7"/>
    </row>
    <row r="300" spans="1:36" s="1" customFormat="1" x14ac:dyDescent="0.2">
      <c r="A300" s="10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  <c r="AA300" s="7"/>
      <c r="AB300" s="7"/>
      <c r="AC300" s="7"/>
      <c r="AD300" s="7"/>
      <c r="AE300" s="7"/>
      <c r="AF300" s="7"/>
      <c r="AG300" s="7"/>
      <c r="AH300" s="7"/>
      <c r="AI300" s="7"/>
      <c r="AJ300" s="7"/>
    </row>
    <row r="301" spans="1:36" s="1" customFormat="1" x14ac:dyDescent="0.2">
      <c r="A301" s="10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  <c r="AA301" s="7"/>
      <c r="AB301" s="7"/>
      <c r="AC301" s="7"/>
      <c r="AD301" s="7"/>
      <c r="AE301" s="7"/>
      <c r="AF301" s="7"/>
      <c r="AG301" s="7"/>
      <c r="AH301" s="7"/>
      <c r="AI301" s="7"/>
      <c r="AJ301" s="7"/>
    </row>
    <row r="302" spans="1:36" s="1" customFormat="1" x14ac:dyDescent="0.2">
      <c r="A302" s="10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  <c r="AA302" s="7"/>
      <c r="AB302" s="7"/>
      <c r="AC302" s="7"/>
      <c r="AD302" s="7"/>
      <c r="AE302" s="7"/>
      <c r="AF302" s="7"/>
      <c r="AG302" s="7"/>
      <c r="AH302" s="7"/>
      <c r="AI302" s="7"/>
      <c r="AJ302" s="7"/>
    </row>
    <row r="303" spans="1:36" s="1" customFormat="1" x14ac:dyDescent="0.2">
      <c r="A303" s="10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  <c r="AA303" s="7"/>
      <c r="AB303" s="7"/>
      <c r="AC303" s="7"/>
      <c r="AD303" s="7"/>
      <c r="AE303" s="7"/>
      <c r="AF303" s="7"/>
      <c r="AG303" s="7"/>
      <c r="AH303" s="7"/>
      <c r="AI303" s="7"/>
      <c r="AJ303" s="7"/>
    </row>
    <row r="304" spans="1:36" s="1" customFormat="1" x14ac:dyDescent="0.2">
      <c r="A304" s="10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  <c r="AA304" s="7"/>
      <c r="AB304" s="7"/>
      <c r="AC304" s="7"/>
      <c r="AD304" s="7"/>
      <c r="AE304" s="7"/>
      <c r="AF304" s="7"/>
      <c r="AG304" s="7"/>
      <c r="AH304" s="7"/>
      <c r="AI304" s="7"/>
      <c r="AJ304" s="7"/>
    </row>
    <row r="305" spans="1:36" s="1" customFormat="1" x14ac:dyDescent="0.2">
      <c r="A305" s="10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  <c r="AA305" s="7"/>
      <c r="AB305" s="7"/>
      <c r="AC305" s="7"/>
      <c r="AD305" s="7"/>
      <c r="AE305" s="7"/>
      <c r="AF305" s="7"/>
      <c r="AG305" s="7"/>
      <c r="AH305" s="7"/>
      <c r="AI305" s="7"/>
      <c r="AJ305" s="7"/>
    </row>
    <row r="306" spans="1:36" s="1" customFormat="1" x14ac:dyDescent="0.2">
      <c r="A306" s="10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  <c r="AA306" s="7"/>
      <c r="AB306" s="7"/>
      <c r="AC306" s="7"/>
      <c r="AD306" s="7"/>
      <c r="AE306" s="7"/>
      <c r="AF306" s="7"/>
      <c r="AG306" s="7"/>
      <c r="AH306" s="7"/>
      <c r="AI306" s="7"/>
      <c r="AJ306" s="7"/>
    </row>
    <row r="307" spans="1:36" s="1" customFormat="1" x14ac:dyDescent="0.2">
      <c r="A307" s="10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  <c r="AA307" s="7"/>
      <c r="AB307" s="7"/>
      <c r="AC307" s="7"/>
      <c r="AD307" s="7"/>
      <c r="AE307" s="7"/>
      <c r="AF307" s="7"/>
      <c r="AG307" s="7"/>
      <c r="AH307" s="7"/>
      <c r="AI307" s="7"/>
      <c r="AJ307" s="7"/>
    </row>
    <row r="308" spans="1:36" s="1" customFormat="1" x14ac:dyDescent="0.2">
      <c r="A308" s="10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  <c r="AA308" s="7"/>
      <c r="AB308" s="7"/>
      <c r="AC308" s="7"/>
      <c r="AD308" s="7"/>
      <c r="AE308" s="7"/>
      <c r="AF308" s="7"/>
      <c r="AG308" s="7"/>
      <c r="AH308" s="7"/>
      <c r="AI308" s="7"/>
      <c r="AJ308" s="7"/>
    </row>
    <row r="309" spans="1:36" s="1" customFormat="1" x14ac:dyDescent="0.2">
      <c r="A309" s="10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  <c r="AA309" s="7"/>
      <c r="AB309" s="7"/>
      <c r="AC309" s="7"/>
      <c r="AD309" s="7"/>
      <c r="AE309" s="7"/>
      <c r="AF309" s="7"/>
      <c r="AG309" s="7"/>
      <c r="AH309" s="7"/>
      <c r="AI309" s="7"/>
      <c r="AJ309" s="7"/>
    </row>
    <row r="310" spans="1:36" s="1" customFormat="1" x14ac:dyDescent="0.2">
      <c r="A310" s="10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  <c r="AA310" s="7"/>
      <c r="AB310" s="7"/>
      <c r="AC310" s="7"/>
      <c r="AD310" s="7"/>
      <c r="AE310" s="7"/>
      <c r="AF310" s="7"/>
      <c r="AG310" s="7"/>
      <c r="AH310" s="7"/>
      <c r="AI310" s="7"/>
      <c r="AJ310" s="7"/>
    </row>
    <row r="311" spans="1:36" s="1" customFormat="1" x14ac:dyDescent="0.2">
      <c r="A311" s="10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  <c r="AA311" s="7"/>
      <c r="AB311" s="7"/>
      <c r="AC311" s="7"/>
      <c r="AD311" s="7"/>
      <c r="AE311" s="7"/>
      <c r="AF311" s="7"/>
      <c r="AG311" s="7"/>
      <c r="AH311" s="7"/>
      <c r="AI311" s="7"/>
      <c r="AJ311" s="7"/>
    </row>
    <row r="312" spans="1:36" s="1" customFormat="1" x14ac:dyDescent="0.2">
      <c r="A312" s="10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  <c r="AA312" s="7"/>
      <c r="AB312" s="7"/>
      <c r="AC312" s="7"/>
      <c r="AD312" s="7"/>
      <c r="AE312" s="7"/>
      <c r="AF312" s="7"/>
      <c r="AG312" s="7"/>
      <c r="AH312" s="7"/>
      <c r="AI312" s="7"/>
      <c r="AJ312" s="7"/>
    </row>
    <row r="313" spans="1:36" s="1" customFormat="1" x14ac:dyDescent="0.2">
      <c r="A313" s="10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  <c r="AA313" s="7"/>
      <c r="AB313" s="7"/>
      <c r="AC313" s="7"/>
      <c r="AD313" s="7"/>
      <c r="AE313" s="7"/>
      <c r="AF313" s="7"/>
      <c r="AG313" s="7"/>
      <c r="AH313" s="7"/>
      <c r="AI313" s="7"/>
      <c r="AJ313" s="7"/>
    </row>
    <row r="314" spans="1:36" s="1" customFormat="1" x14ac:dyDescent="0.2">
      <c r="A314" s="10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  <c r="AA314" s="7"/>
      <c r="AB314" s="7"/>
      <c r="AC314" s="7"/>
      <c r="AD314" s="7"/>
      <c r="AE314" s="7"/>
      <c r="AF314" s="7"/>
      <c r="AG314" s="7"/>
      <c r="AH314" s="7"/>
      <c r="AI314" s="7"/>
      <c r="AJ314" s="7"/>
    </row>
    <row r="315" spans="1:36" s="1" customFormat="1" x14ac:dyDescent="0.2">
      <c r="A315" s="10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  <c r="AA315" s="7"/>
      <c r="AB315" s="7"/>
      <c r="AC315" s="7"/>
      <c r="AD315" s="7"/>
      <c r="AE315" s="7"/>
      <c r="AF315" s="7"/>
      <c r="AG315" s="7"/>
      <c r="AH315" s="7"/>
      <c r="AI315" s="7"/>
      <c r="AJ315" s="7"/>
    </row>
    <row r="316" spans="1:36" s="1" customFormat="1" x14ac:dyDescent="0.2">
      <c r="A316" s="10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  <c r="AA316" s="7"/>
      <c r="AB316" s="7"/>
      <c r="AC316" s="7"/>
      <c r="AD316" s="7"/>
      <c r="AE316" s="7"/>
      <c r="AF316" s="7"/>
      <c r="AG316" s="7"/>
      <c r="AH316" s="7"/>
      <c r="AI316" s="7"/>
      <c r="AJ316" s="7"/>
    </row>
    <row r="317" spans="1:36" s="1" customFormat="1" x14ac:dyDescent="0.2">
      <c r="A317" s="10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  <c r="AA317" s="7"/>
      <c r="AB317" s="7"/>
      <c r="AC317" s="7"/>
      <c r="AD317" s="7"/>
      <c r="AE317" s="7"/>
      <c r="AF317" s="7"/>
      <c r="AG317" s="7"/>
      <c r="AH317" s="7"/>
      <c r="AI317" s="7"/>
      <c r="AJ317" s="7"/>
    </row>
    <row r="318" spans="1:36" s="1" customFormat="1" x14ac:dyDescent="0.2">
      <c r="A318" s="10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  <c r="AA318" s="7"/>
      <c r="AB318" s="7"/>
      <c r="AC318" s="7"/>
      <c r="AD318" s="7"/>
      <c r="AE318" s="7"/>
      <c r="AF318" s="7"/>
      <c r="AG318" s="7"/>
      <c r="AH318" s="7"/>
      <c r="AI318" s="7"/>
      <c r="AJ318" s="7"/>
    </row>
    <row r="319" spans="1:36" s="1" customFormat="1" x14ac:dyDescent="0.2">
      <c r="A319" s="10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  <c r="AA319" s="7"/>
      <c r="AB319" s="7"/>
      <c r="AC319" s="7"/>
      <c r="AD319" s="7"/>
      <c r="AE319" s="7"/>
      <c r="AF319" s="7"/>
      <c r="AG319" s="7"/>
      <c r="AH319" s="7"/>
      <c r="AI319" s="7"/>
      <c r="AJ319" s="7"/>
    </row>
    <row r="320" spans="1:36" s="1" customFormat="1" x14ac:dyDescent="0.2">
      <c r="A320" s="10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  <c r="AA320" s="7"/>
      <c r="AB320" s="7"/>
      <c r="AC320" s="7"/>
      <c r="AD320" s="7"/>
      <c r="AE320" s="7"/>
      <c r="AF320" s="7"/>
      <c r="AG320" s="7"/>
      <c r="AH320" s="7"/>
      <c r="AI320" s="7"/>
      <c r="AJ320" s="7"/>
    </row>
    <row r="321" spans="1:36" s="1" customFormat="1" x14ac:dyDescent="0.2">
      <c r="A321" s="10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  <c r="AA321" s="7"/>
      <c r="AB321" s="7"/>
      <c r="AC321" s="7"/>
      <c r="AD321" s="7"/>
      <c r="AE321" s="7"/>
      <c r="AF321" s="7"/>
      <c r="AG321" s="7"/>
      <c r="AH321" s="7"/>
      <c r="AI321" s="7"/>
      <c r="AJ321" s="7"/>
    </row>
    <row r="322" spans="1:36" s="1" customFormat="1" x14ac:dyDescent="0.2">
      <c r="A322" s="10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  <c r="AA322" s="7"/>
      <c r="AB322" s="7"/>
      <c r="AC322" s="7"/>
      <c r="AD322" s="7"/>
      <c r="AE322" s="7"/>
      <c r="AF322" s="7"/>
      <c r="AG322" s="7"/>
      <c r="AH322" s="7"/>
      <c r="AI322" s="7"/>
      <c r="AJ322" s="7"/>
    </row>
    <row r="323" spans="1:36" s="1" customFormat="1" x14ac:dyDescent="0.2">
      <c r="A323" s="10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  <c r="AA323" s="7"/>
      <c r="AB323" s="7"/>
      <c r="AC323" s="7"/>
      <c r="AD323" s="7"/>
      <c r="AE323" s="7"/>
      <c r="AF323" s="7"/>
      <c r="AG323" s="7"/>
      <c r="AH323" s="7"/>
      <c r="AI323" s="7"/>
      <c r="AJ323" s="7"/>
    </row>
    <row r="324" spans="1:36" s="1" customFormat="1" x14ac:dyDescent="0.2">
      <c r="A324" s="10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  <c r="AA324" s="7"/>
      <c r="AB324" s="7"/>
      <c r="AC324" s="7"/>
      <c r="AD324" s="7"/>
      <c r="AE324" s="7"/>
      <c r="AF324" s="7"/>
      <c r="AG324" s="7"/>
      <c r="AH324" s="7"/>
      <c r="AI324" s="7"/>
      <c r="AJ324" s="7"/>
    </row>
    <row r="325" spans="1:36" s="1" customFormat="1" x14ac:dyDescent="0.2">
      <c r="A325" s="10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  <c r="AA325" s="7"/>
      <c r="AB325" s="7"/>
      <c r="AC325" s="7"/>
      <c r="AD325" s="7"/>
      <c r="AE325" s="7"/>
      <c r="AF325" s="7"/>
      <c r="AG325" s="7"/>
      <c r="AH325" s="7"/>
      <c r="AI325" s="7"/>
      <c r="AJ325" s="7"/>
    </row>
    <row r="326" spans="1:36" s="1" customFormat="1" x14ac:dyDescent="0.2">
      <c r="A326" s="10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  <c r="AA326" s="7"/>
      <c r="AB326" s="7"/>
      <c r="AC326" s="7"/>
      <c r="AD326" s="7"/>
      <c r="AE326" s="7"/>
      <c r="AF326" s="7"/>
      <c r="AG326" s="7"/>
      <c r="AH326" s="7"/>
      <c r="AI326" s="7"/>
      <c r="AJ326" s="7"/>
    </row>
    <row r="327" spans="1:36" s="1" customFormat="1" x14ac:dyDescent="0.2">
      <c r="A327" s="10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  <c r="AA327" s="7"/>
      <c r="AB327" s="7"/>
      <c r="AC327" s="7"/>
      <c r="AD327" s="7"/>
      <c r="AE327" s="7"/>
      <c r="AF327" s="7"/>
      <c r="AG327" s="7"/>
      <c r="AH327" s="7"/>
      <c r="AI327" s="7"/>
      <c r="AJ327" s="7"/>
    </row>
    <row r="328" spans="1:36" s="1" customFormat="1" x14ac:dyDescent="0.2">
      <c r="A328" s="10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  <c r="AA328" s="7"/>
      <c r="AB328" s="7"/>
      <c r="AC328" s="7"/>
      <c r="AD328" s="7"/>
      <c r="AE328" s="7"/>
      <c r="AF328" s="7"/>
      <c r="AG328" s="7"/>
      <c r="AH328" s="7"/>
      <c r="AI328" s="7"/>
      <c r="AJ328" s="7"/>
    </row>
    <row r="329" spans="1:36" s="1" customFormat="1" x14ac:dyDescent="0.2">
      <c r="A329" s="10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  <c r="AA329" s="7"/>
      <c r="AB329" s="7"/>
      <c r="AC329" s="7"/>
      <c r="AD329" s="7"/>
      <c r="AE329" s="7"/>
      <c r="AF329" s="7"/>
      <c r="AG329" s="7"/>
      <c r="AH329" s="7"/>
      <c r="AI329" s="7"/>
      <c r="AJ329" s="7"/>
    </row>
    <row r="330" spans="1:36" s="1" customFormat="1" x14ac:dyDescent="0.2">
      <c r="A330" s="10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  <c r="AA330" s="7"/>
      <c r="AB330" s="7"/>
      <c r="AC330" s="7"/>
      <c r="AD330" s="7"/>
      <c r="AE330" s="7"/>
      <c r="AF330" s="7"/>
      <c r="AG330" s="7"/>
      <c r="AH330" s="7"/>
      <c r="AI330" s="7"/>
      <c r="AJ330" s="7"/>
    </row>
    <row r="331" spans="1:36" s="1" customFormat="1" x14ac:dyDescent="0.2">
      <c r="A331" s="10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  <c r="AA331" s="7"/>
      <c r="AB331" s="7"/>
      <c r="AC331" s="7"/>
      <c r="AD331" s="7"/>
      <c r="AE331" s="7"/>
      <c r="AF331" s="7"/>
      <c r="AG331" s="7"/>
      <c r="AH331" s="7"/>
      <c r="AI331" s="7"/>
      <c r="AJ331" s="7"/>
    </row>
    <row r="332" spans="1:36" s="1" customFormat="1" x14ac:dyDescent="0.2">
      <c r="A332" s="10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  <c r="AA332" s="7"/>
      <c r="AB332" s="7"/>
      <c r="AC332" s="7"/>
      <c r="AD332" s="7"/>
      <c r="AE332" s="7"/>
      <c r="AF332" s="7"/>
      <c r="AG332" s="7"/>
      <c r="AH332" s="7"/>
      <c r="AI332" s="7"/>
      <c r="AJ332" s="7"/>
    </row>
    <row r="333" spans="1:36" s="1" customFormat="1" x14ac:dyDescent="0.2">
      <c r="A333" s="10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  <c r="AA333" s="7"/>
      <c r="AB333" s="7"/>
      <c r="AC333" s="7"/>
      <c r="AD333" s="7"/>
      <c r="AE333" s="7"/>
      <c r="AF333" s="7"/>
      <c r="AG333" s="7"/>
      <c r="AH333" s="7"/>
      <c r="AI333" s="7"/>
      <c r="AJ333" s="7"/>
    </row>
    <row r="334" spans="1:36" s="1" customFormat="1" x14ac:dyDescent="0.2">
      <c r="A334" s="10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  <c r="AA334" s="7"/>
      <c r="AB334" s="7"/>
      <c r="AC334" s="7"/>
      <c r="AD334" s="7"/>
      <c r="AE334" s="7"/>
      <c r="AF334" s="7"/>
      <c r="AG334" s="7"/>
      <c r="AH334" s="7"/>
      <c r="AI334" s="7"/>
      <c r="AJ334" s="7"/>
    </row>
    <row r="335" spans="1:36" s="1" customFormat="1" x14ac:dyDescent="0.2">
      <c r="A335" s="10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  <c r="AA335" s="7"/>
      <c r="AB335" s="7"/>
      <c r="AC335" s="7"/>
      <c r="AD335" s="7"/>
      <c r="AE335" s="7"/>
      <c r="AF335" s="7"/>
      <c r="AG335" s="7"/>
      <c r="AH335" s="7"/>
      <c r="AI335" s="7"/>
      <c r="AJ335" s="7"/>
    </row>
    <row r="336" spans="1:36" s="1" customFormat="1" x14ac:dyDescent="0.2">
      <c r="A336" s="10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  <c r="AA336" s="7"/>
      <c r="AB336" s="7"/>
      <c r="AC336" s="7"/>
      <c r="AD336" s="7"/>
      <c r="AE336" s="7"/>
      <c r="AF336" s="7"/>
      <c r="AG336" s="7"/>
      <c r="AH336" s="7"/>
      <c r="AI336" s="7"/>
      <c r="AJ336" s="7"/>
    </row>
    <row r="337" spans="1:36" s="1" customFormat="1" x14ac:dyDescent="0.2">
      <c r="A337" s="10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  <c r="AA337" s="7"/>
      <c r="AB337" s="7"/>
      <c r="AC337" s="7"/>
      <c r="AD337" s="7"/>
      <c r="AE337" s="7"/>
      <c r="AF337" s="7"/>
      <c r="AG337" s="7"/>
      <c r="AH337" s="7"/>
      <c r="AI337" s="7"/>
      <c r="AJ337" s="7"/>
    </row>
    <row r="338" spans="1:36" s="1" customFormat="1" x14ac:dyDescent="0.2">
      <c r="A338" s="10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  <c r="AA338" s="7"/>
      <c r="AB338" s="7"/>
      <c r="AC338" s="7"/>
      <c r="AD338" s="7"/>
      <c r="AE338" s="7"/>
      <c r="AF338" s="7"/>
      <c r="AG338" s="7"/>
      <c r="AH338" s="7"/>
      <c r="AI338" s="7"/>
      <c r="AJ338" s="7"/>
    </row>
    <row r="339" spans="1:36" s="1" customFormat="1" x14ac:dyDescent="0.2">
      <c r="A339" s="10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  <c r="AA339" s="7"/>
      <c r="AB339" s="7"/>
      <c r="AC339" s="7"/>
      <c r="AD339" s="7"/>
      <c r="AE339" s="7"/>
      <c r="AF339" s="7"/>
      <c r="AG339" s="7"/>
      <c r="AH339" s="7"/>
      <c r="AI339" s="7"/>
      <c r="AJ339" s="7"/>
    </row>
    <row r="340" spans="1:36" s="1" customFormat="1" x14ac:dyDescent="0.2">
      <c r="A340" s="10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  <c r="AA340" s="7"/>
      <c r="AB340" s="7"/>
      <c r="AC340" s="7"/>
      <c r="AD340" s="7"/>
      <c r="AE340" s="7"/>
      <c r="AF340" s="7"/>
      <c r="AG340" s="7"/>
      <c r="AH340" s="7"/>
      <c r="AI340" s="7"/>
      <c r="AJ340" s="7"/>
    </row>
    <row r="341" spans="1:36" s="1" customFormat="1" x14ac:dyDescent="0.2">
      <c r="A341" s="10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  <c r="AA341" s="7"/>
      <c r="AB341" s="7"/>
      <c r="AC341" s="7"/>
      <c r="AD341" s="7"/>
      <c r="AE341" s="7"/>
      <c r="AF341" s="7"/>
      <c r="AG341" s="7"/>
      <c r="AH341" s="7"/>
      <c r="AI341" s="7"/>
      <c r="AJ341" s="7"/>
    </row>
    <row r="342" spans="1:36" s="1" customFormat="1" x14ac:dyDescent="0.2">
      <c r="A342" s="10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  <c r="AA342" s="7"/>
      <c r="AB342" s="7"/>
      <c r="AC342" s="7"/>
      <c r="AD342" s="7"/>
      <c r="AE342" s="7"/>
      <c r="AF342" s="7"/>
      <c r="AG342" s="7"/>
      <c r="AH342" s="7"/>
      <c r="AI342" s="7"/>
      <c r="AJ342" s="7"/>
    </row>
    <row r="343" spans="1:36" s="1" customFormat="1" x14ac:dyDescent="0.2">
      <c r="A343" s="10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  <c r="AA343" s="7"/>
      <c r="AB343" s="7"/>
      <c r="AC343" s="7"/>
      <c r="AD343" s="7"/>
      <c r="AE343" s="7"/>
      <c r="AF343" s="7"/>
      <c r="AG343" s="7"/>
      <c r="AH343" s="7"/>
      <c r="AI343" s="7"/>
      <c r="AJ343" s="7"/>
    </row>
    <row r="344" spans="1:36" s="1" customFormat="1" x14ac:dyDescent="0.2">
      <c r="A344" s="10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  <c r="AA344" s="7"/>
      <c r="AB344" s="7"/>
      <c r="AC344" s="7"/>
      <c r="AD344" s="7"/>
      <c r="AE344" s="7"/>
      <c r="AF344" s="7"/>
      <c r="AG344" s="7"/>
      <c r="AH344" s="7"/>
      <c r="AI344" s="7"/>
      <c r="AJ344" s="7"/>
    </row>
    <row r="345" spans="1:36" s="1" customFormat="1" x14ac:dyDescent="0.2">
      <c r="A345" s="10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  <c r="AA345" s="7"/>
      <c r="AB345" s="7"/>
      <c r="AC345" s="7"/>
      <c r="AD345" s="7"/>
      <c r="AE345" s="7"/>
      <c r="AF345" s="7"/>
      <c r="AG345" s="7"/>
      <c r="AH345" s="7"/>
      <c r="AI345" s="7"/>
      <c r="AJ345" s="7"/>
    </row>
    <row r="346" spans="1:36" s="1" customFormat="1" x14ac:dyDescent="0.2">
      <c r="A346" s="10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  <c r="AA346" s="7"/>
      <c r="AB346" s="7"/>
      <c r="AC346" s="7"/>
      <c r="AD346" s="7"/>
      <c r="AE346" s="7"/>
      <c r="AF346" s="7"/>
      <c r="AG346" s="7"/>
      <c r="AH346" s="7"/>
      <c r="AI346" s="7"/>
      <c r="AJ346" s="7"/>
    </row>
    <row r="347" spans="1:36" s="1" customFormat="1" x14ac:dyDescent="0.2">
      <c r="A347" s="10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  <c r="AA347" s="7"/>
      <c r="AB347" s="7"/>
      <c r="AC347" s="7"/>
      <c r="AD347" s="7"/>
      <c r="AE347" s="7"/>
      <c r="AF347" s="7"/>
      <c r="AG347" s="7"/>
      <c r="AH347" s="7"/>
      <c r="AI347" s="7"/>
      <c r="AJ347" s="7"/>
    </row>
    <row r="348" spans="1:36" s="1" customFormat="1" x14ac:dyDescent="0.2">
      <c r="A348" s="10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  <c r="AA348" s="7"/>
      <c r="AB348" s="7"/>
      <c r="AC348" s="7"/>
      <c r="AD348" s="7"/>
      <c r="AE348" s="7"/>
      <c r="AF348" s="7"/>
      <c r="AG348" s="7"/>
      <c r="AH348" s="7"/>
      <c r="AI348" s="7"/>
      <c r="AJ348" s="7"/>
    </row>
    <row r="349" spans="1:36" s="1" customFormat="1" x14ac:dyDescent="0.2">
      <c r="A349" s="10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  <c r="AA349" s="7"/>
      <c r="AB349" s="7"/>
      <c r="AC349" s="7"/>
      <c r="AD349" s="7"/>
      <c r="AE349" s="7"/>
      <c r="AF349" s="7"/>
      <c r="AG349" s="7"/>
      <c r="AH349" s="7"/>
      <c r="AI349" s="7"/>
      <c r="AJ349" s="7"/>
    </row>
    <row r="350" spans="1:36" s="1" customFormat="1" x14ac:dyDescent="0.2">
      <c r="A350" s="10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  <c r="AA350" s="7"/>
      <c r="AB350" s="7"/>
      <c r="AC350" s="7"/>
      <c r="AD350" s="7"/>
      <c r="AE350" s="7"/>
      <c r="AF350" s="7"/>
      <c r="AG350" s="7"/>
      <c r="AH350" s="7"/>
      <c r="AI350" s="7"/>
      <c r="AJ350" s="7"/>
    </row>
    <row r="351" spans="1:36" s="1" customFormat="1" x14ac:dyDescent="0.2">
      <c r="A351" s="10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  <c r="AA351" s="7"/>
      <c r="AB351" s="7"/>
      <c r="AC351" s="7"/>
      <c r="AD351" s="7"/>
      <c r="AE351" s="7"/>
      <c r="AF351" s="7"/>
      <c r="AG351" s="7"/>
      <c r="AH351" s="7"/>
      <c r="AI351" s="7"/>
      <c r="AJ351" s="7"/>
    </row>
    <row r="352" spans="1:36" s="1" customFormat="1" x14ac:dyDescent="0.2">
      <c r="A352" s="10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  <c r="AA352" s="7"/>
      <c r="AB352" s="7"/>
      <c r="AC352" s="7"/>
      <c r="AD352" s="7"/>
      <c r="AE352" s="7"/>
      <c r="AF352" s="7"/>
      <c r="AG352" s="7"/>
      <c r="AH352" s="7"/>
      <c r="AI352" s="7"/>
      <c r="AJ352" s="7"/>
    </row>
    <row r="353" spans="1:36" s="1" customFormat="1" x14ac:dyDescent="0.2">
      <c r="A353" s="10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  <c r="AA353" s="7"/>
      <c r="AB353" s="7"/>
      <c r="AC353" s="7"/>
      <c r="AD353" s="7"/>
      <c r="AE353" s="7"/>
      <c r="AF353" s="7"/>
      <c r="AG353" s="7"/>
      <c r="AH353" s="7"/>
      <c r="AI353" s="7"/>
      <c r="AJ353" s="7"/>
    </row>
    <row r="354" spans="1:36" s="1" customFormat="1" x14ac:dyDescent="0.2">
      <c r="A354" s="10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  <c r="AA354" s="7"/>
      <c r="AB354" s="7"/>
      <c r="AC354" s="7"/>
      <c r="AD354" s="7"/>
      <c r="AE354" s="7"/>
      <c r="AF354" s="7"/>
      <c r="AG354" s="7"/>
      <c r="AH354" s="7"/>
      <c r="AI354" s="7"/>
      <c r="AJ354" s="7"/>
    </row>
    <row r="355" spans="1:36" s="1" customFormat="1" x14ac:dyDescent="0.2">
      <c r="A355" s="10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  <c r="AA355" s="7"/>
      <c r="AB355" s="7"/>
      <c r="AC355" s="7"/>
      <c r="AD355" s="7"/>
      <c r="AE355" s="7"/>
      <c r="AF355" s="7"/>
      <c r="AG355" s="7"/>
      <c r="AH355" s="7"/>
      <c r="AI355" s="7"/>
      <c r="AJ355" s="7"/>
    </row>
    <row r="356" spans="1:36" s="1" customFormat="1" x14ac:dyDescent="0.2">
      <c r="A356" s="10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  <c r="AA356" s="7"/>
      <c r="AB356" s="7"/>
      <c r="AC356" s="7"/>
      <c r="AD356" s="7"/>
      <c r="AE356" s="7"/>
      <c r="AF356" s="7"/>
      <c r="AG356" s="7"/>
      <c r="AH356" s="7"/>
      <c r="AI356" s="7"/>
      <c r="AJ356" s="7"/>
    </row>
    <row r="357" spans="1:36" s="1" customFormat="1" x14ac:dyDescent="0.2">
      <c r="A357" s="10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  <c r="AA357" s="7"/>
      <c r="AB357" s="7"/>
      <c r="AC357" s="7"/>
      <c r="AD357" s="7"/>
      <c r="AE357" s="7"/>
      <c r="AF357" s="7"/>
      <c r="AG357" s="7"/>
      <c r="AH357" s="7"/>
      <c r="AI357" s="7"/>
      <c r="AJ357" s="7"/>
    </row>
    <row r="358" spans="1:36" s="1" customFormat="1" x14ac:dyDescent="0.2">
      <c r="A358" s="10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  <c r="AA358" s="7"/>
      <c r="AB358" s="7"/>
      <c r="AC358" s="7"/>
      <c r="AD358" s="7"/>
      <c r="AE358" s="7"/>
      <c r="AF358" s="7"/>
      <c r="AG358" s="7"/>
      <c r="AH358" s="7"/>
      <c r="AI358" s="7"/>
      <c r="AJ358" s="7"/>
    </row>
    <row r="359" spans="1:36" s="1" customFormat="1" x14ac:dyDescent="0.2">
      <c r="A359" s="10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  <c r="AA359" s="7"/>
      <c r="AB359" s="7"/>
      <c r="AC359" s="7"/>
      <c r="AD359" s="7"/>
      <c r="AE359" s="7"/>
      <c r="AF359" s="7"/>
      <c r="AG359" s="7"/>
      <c r="AH359" s="7"/>
      <c r="AI359" s="7"/>
      <c r="AJ359" s="7"/>
    </row>
    <row r="360" spans="1:36" s="1" customFormat="1" x14ac:dyDescent="0.2">
      <c r="A360" s="10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  <c r="AA360" s="7"/>
      <c r="AB360" s="7"/>
      <c r="AC360" s="7"/>
      <c r="AD360" s="7"/>
      <c r="AE360" s="7"/>
      <c r="AF360" s="7"/>
      <c r="AG360" s="7"/>
      <c r="AH360" s="7"/>
      <c r="AI360" s="7"/>
      <c r="AJ360" s="7"/>
    </row>
    <row r="361" spans="1:36" s="1" customFormat="1" x14ac:dyDescent="0.2">
      <c r="A361" s="10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  <c r="AA361" s="7"/>
      <c r="AB361" s="7"/>
      <c r="AC361" s="7"/>
      <c r="AD361" s="7"/>
      <c r="AE361" s="7"/>
      <c r="AF361" s="7"/>
      <c r="AG361" s="7"/>
      <c r="AH361" s="7"/>
      <c r="AI361" s="7"/>
      <c r="AJ361" s="7"/>
    </row>
    <row r="362" spans="1:36" s="1" customFormat="1" x14ac:dyDescent="0.2">
      <c r="A362" s="10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  <c r="AA362" s="7"/>
      <c r="AB362" s="7"/>
      <c r="AC362" s="7"/>
      <c r="AD362" s="7"/>
      <c r="AE362" s="7"/>
      <c r="AF362" s="7"/>
      <c r="AG362" s="7"/>
      <c r="AH362" s="7"/>
      <c r="AI362" s="7"/>
      <c r="AJ362" s="7"/>
    </row>
    <row r="363" spans="1:36" s="1" customFormat="1" x14ac:dyDescent="0.2">
      <c r="A363" s="10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  <c r="AA363" s="7"/>
      <c r="AB363" s="7"/>
      <c r="AC363" s="7"/>
      <c r="AD363" s="7"/>
      <c r="AE363" s="7"/>
      <c r="AF363" s="7"/>
      <c r="AG363" s="7"/>
      <c r="AH363" s="7"/>
      <c r="AI363" s="7"/>
      <c r="AJ363" s="7"/>
    </row>
    <row r="364" spans="1:36" s="1" customFormat="1" x14ac:dyDescent="0.2">
      <c r="A364" s="10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  <c r="AA364" s="7"/>
      <c r="AB364" s="7"/>
      <c r="AC364" s="7"/>
      <c r="AD364" s="7"/>
      <c r="AE364" s="7"/>
      <c r="AF364" s="7"/>
      <c r="AG364" s="7"/>
      <c r="AH364" s="7"/>
      <c r="AI364" s="7"/>
      <c r="AJ364" s="7"/>
    </row>
    <row r="365" spans="1:36" s="1" customFormat="1" x14ac:dyDescent="0.2">
      <c r="A365" s="10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  <c r="AA365" s="7"/>
      <c r="AB365" s="7"/>
      <c r="AC365" s="7"/>
      <c r="AD365" s="7"/>
      <c r="AE365" s="7"/>
      <c r="AF365" s="7"/>
      <c r="AG365" s="7"/>
      <c r="AH365" s="7"/>
      <c r="AI365" s="7"/>
      <c r="AJ365" s="7"/>
    </row>
    <row r="366" spans="1:36" s="1" customFormat="1" x14ac:dyDescent="0.2">
      <c r="A366" s="10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  <c r="AA366" s="7"/>
      <c r="AB366" s="7"/>
      <c r="AC366" s="7"/>
      <c r="AD366" s="7"/>
      <c r="AE366" s="7"/>
      <c r="AF366" s="7"/>
      <c r="AG366" s="7"/>
      <c r="AH366" s="7"/>
      <c r="AI366" s="7"/>
      <c r="AJ366" s="7"/>
    </row>
    <row r="367" spans="1:36" s="1" customFormat="1" x14ac:dyDescent="0.2">
      <c r="A367" s="10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</row>
    <row r="368" spans="1:36" s="1" customFormat="1" x14ac:dyDescent="0.2">
      <c r="A368" s="10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  <c r="AA368" s="7"/>
      <c r="AB368" s="7"/>
      <c r="AC368" s="7"/>
      <c r="AD368" s="7"/>
      <c r="AE368" s="7"/>
      <c r="AF368" s="7"/>
      <c r="AG368" s="7"/>
      <c r="AH368" s="7"/>
      <c r="AI368" s="7"/>
      <c r="AJ368" s="7"/>
    </row>
    <row r="369" spans="1:36" s="1" customFormat="1" x14ac:dyDescent="0.2">
      <c r="A369" s="10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  <c r="AA369" s="7"/>
      <c r="AB369" s="7"/>
      <c r="AC369" s="7"/>
      <c r="AD369" s="7"/>
      <c r="AE369" s="7"/>
      <c r="AF369" s="7"/>
      <c r="AG369" s="7"/>
      <c r="AH369" s="7"/>
      <c r="AI369" s="7"/>
      <c r="AJ369" s="7"/>
    </row>
    <row r="370" spans="1:36" s="1" customFormat="1" x14ac:dyDescent="0.2">
      <c r="A370" s="10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  <c r="AA370" s="7"/>
      <c r="AB370" s="7"/>
      <c r="AC370" s="7"/>
      <c r="AD370" s="7"/>
      <c r="AE370" s="7"/>
      <c r="AF370" s="7"/>
      <c r="AG370" s="7"/>
      <c r="AH370" s="7"/>
      <c r="AI370" s="7"/>
      <c r="AJ370" s="7"/>
    </row>
    <row r="371" spans="1:36" s="1" customFormat="1" x14ac:dyDescent="0.2">
      <c r="A371" s="10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  <c r="AA371" s="7"/>
      <c r="AB371" s="7"/>
      <c r="AC371" s="7"/>
      <c r="AD371" s="7"/>
      <c r="AE371" s="7"/>
      <c r="AF371" s="7"/>
      <c r="AG371" s="7"/>
      <c r="AH371" s="7"/>
      <c r="AI371" s="7"/>
      <c r="AJ371" s="7"/>
    </row>
    <row r="372" spans="1:36" s="1" customFormat="1" x14ac:dyDescent="0.2">
      <c r="A372" s="10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  <c r="AA372" s="7"/>
      <c r="AB372" s="7"/>
      <c r="AC372" s="7"/>
      <c r="AD372" s="7"/>
      <c r="AE372" s="7"/>
      <c r="AF372" s="7"/>
      <c r="AG372" s="7"/>
      <c r="AH372" s="7"/>
      <c r="AI372" s="7"/>
      <c r="AJ372" s="7"/>
    </row>
    <row r="373" spans="1:36" s="1" customFormat="1" x14ac:dyDescent="0.2">
      <c r="A373" s="10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  <c r="AA373" s="7"/>
      <c r="AB373" s="7"/>
      <c r="AC373" s="7"/>
      <c r="AD373" s="7"/>
      <c r="AE373" s="7"/>
      <c r="AF373" s="7"/>
      <c r="AG373" s="7"/>
      <c r="AH373" s="7"/>
      <c r="AI373" s="7"/>
      <c r="AJ373" s="7"/>
    </row>
    <row r="374" spans="1:36" s="1" customFormat="1" x14ac:dyDescent="0.2">
      <c r="A374" s="10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  <c r="AA374" s="7"/>
      <c r="AB374" s="7"/>
      <c r="AC374" s="7"/>
      <c r="AD374" s="7"/>
      <c r="AE374" s="7"/>
      <c r="AF374" s="7"/>
      <c r="AG374" s="7"/>
      <c r="AH374" s="7"/>
      <c r="AI374" s="7"/>
      <c r="AJ374" s="7"/>
    </row>
    <row r="375" spans="1:36" s="1" customFormat="1" x14ac:dyDescent="0.2">
      <c r="A375" s="10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  <c r="AA375" s="7"/>
      <c r="AB375" s="7"/>
      <c r="AC375" s="7"/>
      <c r="AD375" s="7"/>
      <c r="AE375" s="7"/>
      <c r="AF375" s="7"/>
      <c r="AG375" s="7"/>
      <c r="AH375" s="7"/>
      <c r="AI375" s="7"/>
      <c r="AJ375" s="7"/>
    </row>
    <row r="376" spans="1:36" s="1" customFormat="1" x14ac:dyDescent="0.2">
      <c r="A376" s="10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  <c r="AA376" s="7"/>
      <c r="AB376" s="7"/>
      <c r="AC376" s="7"/>
      <c r="AD376" s="7"/>
      <c r="AE376" s="7"/>
      <c r="AF376" s="7"/>
      <c r="AG376" s="7"/>
      <c r="AH376" s="7"/>
      <c r="AI376" s="7"/>
      <c r="AJ376" s="7"/>
    </row>
    <row r="377" spans="1:36" s="1" customFormat="1" x14ac:dyDescent="0.2">
      <c r="A377" s="10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  <c r="AA377" s="7"/>
      <c r="AB377" s="7"/>
      <c r="AC377" s="7"/>
      <c r="AD377" s="7"/>
      <c r="AE377" s="7"/>
      <c r="AF377" s="7"/>
      <c r="AG377" s="7"/>
      <c r="AH377" s="7"/>
      <c r="AI377" s="7"/>
      <c r="AJ377" s="7"/>
    </row>
    <row r="378" spans="1:36" s="1" customFormat="1" x14ac:dyDescent="0.2">
      <c r="A378" s="10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  <c r="AA378" s="7"/>
      <c r="AB378" s="7"/>
      <c r="AC378" s="7"/>
      <c r="AD378" s="7"/>
      <c r="AE378" s="7"/>
      <c r="AF378" s="7"/>
      <c r="AG378" s="7"/>
      <c r="AH378" s="7"/>
      <c r="AI378" s="7"/>
      <c r="AJ378" s="7"/>
    </row>
    <row r="379" spans="1:36" s="1" customFormat="1" x14ac:dyDescent="0.2">
      <c r="A379" s="10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  <c r="AA379" s="7"/>
      <c r="AB379" s="7"/>
      <c r="AC379" s="7"/>
      <c r="AD379" s="7"/>
      <c r="AE379" s="7"/>
      <c r="AF379" s="7"/>
      <c r="AG379" s="7"/>
      <c r="AH379" s="7"/>
      <c r="AI379" s="7"/>
      <c r="AJ379" s="7"/>
    </row>
    <row r="380" spans="1:36" s="1" customFormat="1" x14ac:dyDescent="0.2">
      <c r="A380" s="10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  <c r="AA380" s="7"/>
      <c r="AB380" s="7"/>
      <c r="AC380" s="7"/>
      <c r="AD380" s="7"/>
      <c r="AE380" s="7"/>
      <c r="AF380" s="7"/>
      <c r="AG380" s="7"/>
      <c r="AH380" s="7"/>
      <c r="AI380" s="7"/>
      <c r="AJ380" s="7"/>
    </row>
    <row r="381" spans="1:36" s="1" customFormat="1" x14ac:dyDescent="0.2">
      <c r="A381" s="10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  <c r="AA381" s="7"/>
      <c r="AB381" s="7"/>
      <c r="AC381" s="7"/>
      <c r="AD381" s="7"/>
      <c r="AE381" s="7"/>
      <c r="AF381" s="7"/>
      <c r="AG381" s="7"/>
      <c r="AH381" s="7"/>
      <c r="AI381" s="7"/>
      <c r="AJ381" s="7"/>
    </row>
    <row r="382" spans="1:36" s="1" customFormat="1" x14ac:dyDescent="0.2">
      <c r="A382" s="10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  <c r="AA382" s="7"/>
      <c r="AB382" s="7"/>
      <c r="AC382" s="7"/>
      <c r="AD382" s="7"/>
      <c r="AE382" s="7"/>
      <c r="AF382" s="7"/>
      <c r="AG382" s="7"/>
      <c r="AH382" s="7"/>
      <c r="AI382" s="7"/>
      <c r="AJ382" s="7"/>
    </row>
    <row r="383" spans="1:36" s="1" customFormat="1" x14ac:dyDescent="0.2">
      <c r="A383" s="10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  <c r="AA383" s="7"/>
      <c r="AB383" s="7"/>
      <c r="AC383" s="7"/>
      <c r="AD383" s="7"/>
      <c r="AE383" s="7"/>
      <c r="AF383" s="7"/>
      <c r="AG383" s="7"/>
      <c r="AH383" s="7"/>
      <c r="AI383" s="7"/>
      <c r="AJ383" s="7"/>
    </row>
    <row r="384" spans="1:36" s="1" customFormat="1" x14ac:dyDescent="0.2">
      <c r="A384" s="10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  <c r="AA384" s="7"/>
      <c r="AB384" s="7"/>
      <c r="AC384" s="7"/>
      <c r="AD384" s="7"/>
      <c r="AE384" s="7"/>
      <c r="AF384" s="7"/>
      <c r="AG384" s="7"/>
      <c r="AH384" s="7"/>
      <c r="AI384" s="7"/>
      <c r="AJ384" s="7"/>
    </row>
    <row r="385" spans="1:36" s="1" customFormat="1" x14ac:dyDescent="0.2">
      <c r="A385" s="10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  <c r="AA385" s="7"/>
      <c r="AB385" s="7"/>
      <c r="AC385" s="7"/>
      <c r="AD385" s="7"/>
      <c r="AE385" s="7"/>
      <c r="AF385" s="7"/>
      <c r="AG385" s="7"/>
      <c r="AH385" s="7"/>
      <c r="AI385" s="7"/>
      <c r="AJ385" s="7"/>
    </row>
    <row r="386" spans="1:36" s="1" customFormat="1" x14ac:dyDescent="0.2">
      <c r="A386" s="10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  <c r="AA386" s="7"/>
      <c r="AB386" s="7"/>
      <c r="AC386" s="7"/>
      <c r="AD386" s="7"/>
      <c r="AE386" s="7"/>
      <c r="AF386" s="7"/>
      <c r="AG386" s="7"/>
      <c r="AH386" s="7"/>
      <c r="AI386" s="7"/>
      <c r="AJ386" s="7"/>
    </row>
    <row r="387" spans="1:36" s="1" customFormat="1" x14ac:dyDescent="0.2">
      <c r="A387" s="10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  <c r="AA387" s="7"/>
      <c r="AB387" s="7"/>
      <c r="AC387" s="7"/>
      <c r="AD387" s="7"/>
      <c r="AE387" s="7"/>
      <c r="AF387" s="7"/>
      <c r="AG387" s="7"/>
      <c r="AH387" s="7"/>
      <c r="AI387" s="7"/>
      <c r="AJ387" s="7"/>
    </row>
    <row r="388" spans="1:36" s="1" customFormat="1" x14ac:dyDescent="0.2">
      <c r="A388" s="10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  <c r="AA388" s="7"/>
      <c r="AB388" s="7"/>
      <c r="AC388" s="7"/>
      <c r="AD388" s="7"/>
      <c r="AE388" s="7"/>
      <c r="AF388" s="7"/>
      <c r="AG388" s="7"/>
      <c r="AH388" s="7"/>
      <c r="AI388" s="7"/>
      <c r="AJ388" s="7"/>
    </row>
    <row r="389" spans="1:36" s="1" customFormat="1" x14ac:dyDescent="0.2">
      <c r="A389" s="10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  <c r="AA389" s="7"/>
      <c r="AB389" s="7"/>
      <c r="AC389" s="7"/>
      <c r="AD389" s="7"/>
      <c r="AE389" s="7"/>
      <c r="AF389" s="7"/>
      <c r="AG389" s="7"/>
      <c r="AH389" s="7"/>
      <c r="AI389" s="7"/>
      <c r="AJ389" s="7"/>
    </row>
    <row r="390" spans="1:36" s="1" customFormat="1" x14ac:dyDescent="0.2">
      <c r="A390" s="10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  <c r="AA390" s="7"/>
      <c r="AB390" s="7"/>
      <c r="AC390" s="7"/>
      <c r="AD390" s="7"/>
      <c r="AE390" s="7"/>
      <c r="AF390" s="7"/>
      <c r="AG390" s="7"/>
      <c r="AH390" s="7"/>
      <c r="AI390" s="7"/>
      <c r="AJ390" s="7"/>
    </row>
    <row r="391" spans="1:36" s="1" customFormat="1" x14ac:dyDescent="0.2">
      <c r="A391" s="10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  <c r="AA391" s="7"/>
      <c r="AB391" s="7"/>
      <c r="AC391" s="7"/>
      <c r="AD391" s="7"/>
      <c r="AE391" s="7"/>
      <c r="AF391" s="7"/>
      <c r="AG391" s="7"/>
      <c r="AH391" s="7"/>
      <c r="AI391" s="7"/>
      <c r="AJ391" s="7"/>
    </row>
    <row r="392" spans="1:36" s="1" customFormat="1" x14ac:dyDescent="0.2">
      <c r="A392" s="10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  <c r="AA392" s="7"/>
      <c r="AB392" s="7"/>
      <c r="AC392" s="7"/>
      <c r="AD392" s="7"/>
      <c r="AE392" s="7"/>
      <c r="AF392" s="7"/>
      <c r="AG392" s="7"/>
      <c r="AH392" s="7"/>
      <c r="AI392" s="7"/>
      <c r="AJ392" s="7"/>
    </row>
    <row r="393" spans="1:36" s="1" customFormat="1" x14ac:dyDescent="0.2">
      <c r="A393" s="10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  <c r="AA393" s="7"/>
      <c r="AB393" s="7"/>
      <c r="AC393" s="7"/>
      <c r="AD393" s="7"/>
      <c r="AE393" s="7"/>
      <c r="AF393" s="7"/>
      <c r="AG393" s="7"/>
      <c r="AH393" s="7"/>
      <c r="AI393" s="7"/>
      <c r="AJ393" s="7"/>
    </row>
    <row r="394" spans="1:36" s="1" customFormat="1" x14ac:dyDescent="0.2">
      <c r="A394" s="10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  <c r="AA394" s="7"/>
      <c r="AB394" s="7"/>
      <c r="AC394" s="7"/>
      <c r="AD394" s="7"/>
      <c r="AE394" s="7"/>
      <c r="AF394" s="7"/>
      <c r="AG394" s="7"/>
      <c r="AH394" s="7"/>
      <c r="AI394" s="7"/>
      <c r="AJ394" s="7"/>
    </row>
    <row r="395" spans="1:36" s="1" customFormat="1" x14ac:dyDescent="0.2">
      <c r="A395" s="10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  <c r="AA395" s="7"/>
      <c r="AB395" s="7"/>
      <c r="AC395" s="7"/>
      <c r="AD395" s="7"/>
      <c r="AE395" s="7"/>
      <c r="AF395" s="7"/>
      <c r="AG395" s="7"/>
      <c r="AH395" s="7"/>
      <c r="AI395" s="7"/>
      <c r="AJ395" s="7"/>
    </row>
    <row r="396" spans="1:36" s="1" customFormat="1" x14ac:dyDescent="0.2">
      <c r="A396" s="10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  <c r="AA396" s="7"/>
      <c r="AB396" s="7"/>
      <c r="AC396" s="7"/>
      <c r="AD396" s="7"/>
      <c r="AE396" s="7"/>
      <c r="AF396" s="7"/>
      <c r="AG396" s="7"/>
      <c r="AH396" s="7"/>
      <c r="AI396" s="7"/>
      <c r="AJ396" s="7"/>
    </row>
    <row r="397" spans="1:36" s="1" customFormat="1" x14ac:dyDescent="0.2">
      <c r="A397" s="10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  <c r="AA397" s="7"/>
      <c r="AB397" s="7"/>
      <c r="AC397" s="7"/>
      <c r="AD397" s="7"/>
      <c r="AE397" s="7"/>
      <c r="AF397" s="7"/>
      <c r="AG397" s="7"/>
      <c r="AH397" s="7"/>
      <c r="AI397" s="7"/>
      <c r="AJ397" s="7"/>
    </row>
    <row r="398" spans="1:36" s="1" customFormat="1" x14ac:dyDescent="0.2">
      <c r="A398" s="10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  <c r="AA398" s="7"/>
      <c r="AB398" s="7"/>
      <c r="AC398" s="7"/>
      <c r="AD398" s="7"/>
      <c r="AE398" s="7"/>
      <c r="AF398" s="7"/>
      <c r="AG398" s="7"/>
      <c r="AH398" s="7"/>
      <c r="AI398" s="7"/>
      <c r="AJ398" s="7"/>
    </row>
    <row r="399" spans="1:36" s="1" customFormat="1" x14ac:dyDescent="0.2">
      <c r="A399" s="10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  <c r="AA399" s="7"/>
      <c r="AB399" s="7"/>
      <c r="AC399" s="7"/>
      <c r="AD399" s="7"/>
      <c r="AE399" s="7"/>
      <c r="AF399" s="7"/>
      <c r="AG399" s="7"/>
      <c r="AH399" s="7"/>
      <c r="AI399" s="7"/>
      <c r="AJ399" s="7"/>
    </row>
    <row r="400" spans="1:36" s="1" customFormat="1" x14ac:dyDescent="0.2">
      <c r="A400" s="10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  <c r="AA400" s="7"/>
      <c r="AB400" s="7"/>
      <c r="AC400" s="7"/>
      <c r="AD400" s="7"/>
      <c r="AE400" s="7"/>
      <c r="AF400" s="7"/>
      <c r="AG400" s="7"/>
      <c r="AH400" s="7"/>
      <c r="AI400" s="7"/>
      <c r="AJ400" s="7"/>
    </row>
    <row r="401" spans="1:36" s="1" customFormat="1" x14ac:dyDescent="0.2">
      <c r="A401" s="10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  <c r="AA401" s="7"/>
      <c r="AB401" s="7"/>
      <c r="AC401" s="7"/>
      <c r="AD401" s="7"/>
      <c r="AE401" s="7"/>
      <c r="AF401" s="7"/>
      <c r="AG401" s="7"/>
      <c r="AH401" s="7"/>
      <c r="AI401" s="7"/>
      <c r="AJ401" s="7"/>
    </row>
    <row r="402" spans="1:36" s="1" customFormat="1" x14ac:dyDescent="0.2">
      <c r="A402" s="10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  <c r="AA402" s="7"/>
      <c r="AB402" s="7"/>
      <c r="AC402" s="7"/>
      <c r="AD402" s="7"/>
      <c r="AE402" s="7"/>
      <c r="AF402" s="7"/>
      <c r="AG402" s="7"/>
      <c r="AH402" s="7"/>
      <c r="AI402" s="7"/>
      <c r="AJ402" s="7"/>
    </row>
    <row r="403" spans="1:36" s="1" customFormat="1" x14ac:dyDescent="0.2">
      <c r="A403" s="10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  <c r="AA403" s="7"/>
      <c r="AB403" s="7"/>
      <c r="AC403" s="7"/>
      <c r="AD403" s="7"/>
      <c r="AE403" s="7"/>
      <c r="AF403" s="7"/>
      <c r="AG403" s="7"/>
      <c r="AH403" s="7"/>
      <c r="AI403" s="7"/>
      <c r="AJ403" s="7"/>
    </row>
    <row r="404" spans="1:36" s="1" customFormat="1" x14ac:dyDescent="0.2">
      <c r="A404" s="10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  <c r="AA404" s="7"/>
      <c r="AB404" s="7"/>
      <c r="AC404" s="7"/>
      <c r="AD404" s="7"/>
      <c r="AE404" s="7"/>
      <c r="AF404" s="7"/>
      <c r="AG404" s="7"/>
      <c r="AH404" s="7"/>
      <c r="AI404" s="7"/>
      <c r="AJ404" s="7"/>
    </row>
    <row r="405" spans="1:36" s="1" customFormat="1" x14ac:dyDescent="0.2">
      <c r="A405" s="10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  <c r="AA405" s="7"/>
      <c r="AB405" s="7"/>
      <c r="AC405" s="7"/>
      <c r="AD405" s="7"/>
      <c r="AE405" s="7"/>
      <c r="AF405" s="7"/>
      <c r="AG405" s="7"/>
      <c r="AH405" s="7"/>
      <c r="AI405" s="7"/>
      <c r="AJ405" s="7"/>
    </row>
    <row r="406" spans="1:36" s="1" customFormat="1" x14ac:dyDescent="0.2">
      <c r="A406" s="10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  <c r="AA406" s="7"/>
      <c r="AB406" s="7"/>
      <c r="AC406" s="7"/>
      <c r="AD406" s="7"/>
      <c r="AE406" s="7"/>
      <c r="AF406" s="7"/>
      <c r="AG406" s="7"/>
      <c r="AH406" s="7"/>
      <c r="AI406" s="7"/>
      <c r="AJ406" s="7"/>
    </row>
    <row r="407" spans="1:36" s="1" customFormat="1" x14ac:dyDescent="0.2">
      <c r="A407" s="10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  <c r="AA407" s="7"/>
      <c r="AB407" s="7"/>
      <c r="AC407" s="7"/>
      <c r="AD407" s="7"/>
      <c r="AE407" s="7"/>
      <c r="AF407" s="7"/>
      <c r="AG407" s="7"/>
      <c r="AH407" s="7"/>
      <c r="AI407" s="7"/>
      <c r="AJ407" s="7"/>
    </row>
    <row r="408" spans="1:36" s="1" customFormat="1" x14ac:dyDescent="0.2">
      <c r="A408" s="10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  <c r="AA408" s="7"/>
      <c r="AB408" s="7"/>
      <c r="AC408" s="7"/>
      <c r="AD408" s="7"/>
      <c r="AE408" s="7"/>
      <c r="AF408" s="7"/>
      <c r="AG408" s="7"/>
      <c r="AH408" s="7"/>
      <c r="AI408" s="7"/>
      <c r="AJ408" s="7"/>
    </row>
    <row r="409" spans="1:36" s="1" customFormat="1" x14ac:dyDescent="0.2">
      <c r="A409" s="10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  <c r="AA409" s="7"/>
      <c r="AB409" s="7"/>
      <c r="AC409" s="7"/>
      <c r="AD409" s="7"/>
      <c r="AE409" s="7"/>
      <c r="AF409" s="7"/>
      <c r="AG409" s="7"/>
      <c r="AH409" s="7"/>
      <c r="AI409" s="7"/>
      <c r="AJ409" s="7"/>
    </row>
    <row r="410" spans="1:36" s="1" customFormat="1" x14ac:dyDescent="0.2">
      <c r="A410" s="10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  <c r="AA410" s="7"/>
      <c r="AB410" s="7"/>
      <c r="AC410" s="7"/>
      <c r="AD410" s="7"/>
      <c r="AE410" s="7"/>
      <c r="AF410" s="7"/>
      <c r="AG410" s="7"/>
      <c r="AH410" s="7"/>
      <c r="AI410" s="7"/>
      <c r="AJ410" s="7"/>
    </row>
    <row r="411" spans="1:36" s="1" customFormat="1" x14ac:dyDescent="0.2">
      <c r="A411" s="10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  <c r="AA411" s="7"/>
      <c r="AB411" s="7"/>
      <c r="AC411" s="7"/>
      <c r="AD411" s="7"/>
      <c r="AE411" s="7"/>
      <c r="AF411" s="7"/>
      <c r="AG411" s="7"/>
      <c r="AH411" s="7"/>
      <c r="AI411" s="7"/>
      <c r="AJ411" s="7"/>
    </row>
    <row r="412" spans="1:36" s="1" customFormat="1" x14ac:dyDescent="0.2">
      <c r="A412" s="10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  <c r="AA412" s="7"/>
      <c r="AB412" s="7"/>
      <c r="AC412" s="7"/>
      <c r="AD412" s="7"/>
      <c r="AE412" s="7"/>
      <c r="AF412" s="7"/>
      <c r="AG412" s="7"/>
      <c r="AH412" s="7"/>
      <c r="AI412" s="7"/>
      <c r="AJ412" s="7"/>
    </row>
    <row r="413" spans="1:36" s="1" customFormat="1" x14ac:dyDescent="0.2">
      <c r="A413" s="10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  <c r="AA413" s="7"/>
      <c r="AB413" s="7"/>
      <c r="AC413" s="7"/>
      <c r="AD413" s="7"/>
      <c r="AE413" s="7"/>
      <c r="AF413" s="7"/>
      <c r="AG413" s="7"/>
      <c r="AH413" s="7"/>
      <c r="AI413" s="7"/>
      <c r="AJ413" s="7"/>
    </row>
    <row r="414" spans="1:36" s="1" customFormat="1" x14ac:dyDescent="0.2">
      <c r="A414" s="10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  <c r="AA414" s="7"/>
      <c r="AB414" s="7"/>
      <c r="AC414" s="7"/>
      <c r="AD414" s="7"/>
      <c r="AE414" s="7"/>
      <c r="AF414" s="7"/>
      <c r="AG414" s="7"/>
      <c r="AH414" s="7"/>
      <c r="AI414" s="7"/>
      <c r="AJ414" s="7"/>
    </row>
    <row r="415" spans="1:36" s="1" customFormat="1" x14ac:dyDescent="0.2">
      <c r="A415" s="10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  <c r="AA415" s="7"/>
      <c r="AB415" s="7"/>
      <c r="AC415" s="7"/>
      <c r="AD415" s="7"/>
      <c r="AE415" s="7"/>
      <c r="AF415" s="7"/>
      <c r="AG415" s="7"/>
      <c r="AH415" s="7"/>
      <c r="AI415" s="7"/>
      <c r="AJ415" s="7"/>
    </row>
    <row r="416" spans="1:36" s="1" customFormat="1" x14ac:dyDescent="0.2">
      <c r="A416" s="10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  <c r="AA416" s="7"/>
      <c r="AB416" s="7"/>
      <c r="AC416" s="7"/>
      <c r="AD416" s="7"/>
      <c r="AE416" s="7"/>
      <c r="AF416" s="7"/>
      <c r="AG416" s="7"/>
      <c r="AH416" s="7"/>
      <c r="AI416" s="7"/>
      <c r="AJ416" s="7"/>
    </row>
    <row r="417" spans="1:36" s="1" customFormat="1" x14ac:dyDescent="0.2">
      <c r="A417" s="10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  <c r="AA417" s="7"/>
      <c r="AB417" s="7"/>
      <c r="AC417" s="7"/>
      <c r="AD417" s="7"/>
      <c r="AE417" s="7"/>
      <c r="AF417" s="7"/>
      <c r="AG417" s="7"/>
      <c r="AH417" s="7"/>
      <c r="AI417" s="7"/>
      <c r="AJ417" s="7"/>
    </row>
    <row r="418" spans="1:36" s="1" customFormat="1" x14ac:dyDescent="0.2">
      <c r="A418" s="10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  <c r="AA418" s="7"/>
      <c r="AB418" s="7"/>
      <c r="AC418" s="7"/>
      <c r="AD418" s="7"/>
      <c r="AE418" s="7"/>
      <c r="AF418" s="7"/>
      <c r="AG418" s="7"/>
      <c r="AH418" s="7"/>
      <c r="AI418" s="7"/>
      <c r="AJ418" s="7"/>
    </row>
    <row r="419" spans="1:36" s="1" customFormat="1" x14ac:dyDescent="0.2">
      <c r="A419" s="10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  <c r="AA419" s="7"/>
      <c r="AB419" s="7"/>
      <c r="AC419" s="7"/>
      <c r="AD419" s="7"/>
      <c r="AE419" s="7"/>
      <c r="AF419" s="7"/>
      <c r="AG419" s="7"/>
      <c r="AH419" s="7"/>
      <c r="AI419" s="7"/>
      <c r="AJ419" s="7"/>
    </row>
    <row r="420" spans="1:36" s="1" customFormat="1" x14ac:dyDescent="0.2">
      <c r="A420" s="10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  <c r="AA420" s="7"/>
      <c r="AB420" s="7"/>
      <c r="AC420" s="7"/>
      <c r="AD420" s="7"/>
      <c r="AE420" s="7"/>
      <c r="AF420" s="7"/>
      <c r="AG420" s="7"/>
      <c r="AH420" s="7"/>
      <c r="AI420" s="7"/>
      <c r="AJ420" s="7"/>
    </row>
    <row r="421" spans="1:36" s="1" customFormat="1" x14ac:dyDescent="0.2">
      <c r="A421" s="10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  <c r="AA421" s="7"/>
      <c r="AB421" s="7"/>
      <c r="AC421" s="7"/>
      <c r="AD421" s="7"/>
      <c r="AE421" s="7"/>
      <c r="AF421" s="7"/>
      <c r="AG421" s="7"/>
      <c r="AH421" s="7"/>
      <c r="AI421" s="7"/>
      <c r="AJ421" s="7"/>
    </row>
    <row r="422" spans="1:36" s="1" customFormat="1" x14ac:dyDescent="0.2">
      <c r="A422" s="10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  <c r="AA422" s="7"/>
      <c r="AB422" s="7"/>
      <c r="AC422" s="7"/>
      <c r="AD422" s="7"/>
      <c r="AE422" s="7"/>
      <c r="AF422" s="7"/>
      <c r="AG422" s="7"/>
      <c r="AH422" s="7"/>
      <c r="AI422" s="7"/>
      <c r="AJ422" s="7"/>
    </row>
    <row r="423" spans="1:36" s="1" customFormat="1" x14ac:dyDescent="0.2">
      <c r="A423" s="10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  <c r="AA423" s="7"/>
      <c r="AB423" s="7"/>
      <c r="AC423" s="7"/>
      <c r="AD423" s="7"/>
      <c r="AE423" s="7"/>
      <c r="AF423" s="7"/>
      <c r="AG423" s="7"/>
      <c r="AH423" s="7"/>
      <c r="AI423" s="7"/>
      <c r="AJ423" s="7"/>
    </row>
    <row r="424" spans="1:36" s="1" customFormat="1" x14ac:dyDescent="0.2">
      <c r="A424" s="10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  <c r="AA424" s="7"/>
      <c r="AB424" s="7"/>
      <c r="AC424" s="7"/>
      <c r="AD424" s="7"/>
      <c r="AE424" s="7"/>
      <c r="AF424" s="7"/>
      <c r="AG424" s="7"/>
      <c r="AH424" s="7"/>
      <c r="AI424" s="7"/>
      <c r="AJ424" s="7"/>
    </row>
    <row r="425" spans="1:36" s="1" customFormat="1" x14ac:dyDescent="0.2">
      <c r="A425" s="10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  <c r="AA425" s="7"/>
      <c r="AB425" s="7"/>
      <c r="AC425" s="7"/>
      <c r="AD425" s="7"/>
      <c r="AE425" s="7"/>
      <c r="AF425" s="7"/>
      <c r="AG425" s="7"/>
      <c r="AH425" s="7"/>
      <c r="AI425" s="7"/>
      <c r="AJ425" s="7"/>
    </row>
    <row r="426" spans="1:36" s="1" customFormat="1" x14ac:dyDescent="0.2">
      <c r="A426" s="10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  <c r="AA426" s="7"/>
      <c r="AB426" s="7"/>
      <c r="AC426" s="7"/>
      <c r="AD426" s="7"/>
      <c r="AE426" s="7"/>
      <c r="AF426" s="7"/>
      <c r="AG426" s="7"/>
      <c r="AH426" s="7"/>
      <c r="AI426" s="7"/>
      <c r="AJ426" s="7"/>
    </row>
    <row r="427" spans="1:36" s="1" customFormat="1" x14ac:dyDescent="0.2">
      <c r="A427" s="10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  <c r="AA427" s="7"/>
      <c r="AB427" s="7"/>
      <c r="AC427" s="7"/>
      <c r="AD427" s="7"/>
      <c r="AE427" s="7"/>
      <c r="AF427" s="7"/>
      <c r="AG427" s="7"/>
      <c r="AH427" s="7"/>
      <c r="AI427" s="7"/>
      <c r="AJ427" s="7"/>
    </row>
    <row r="428" spans="1:36" s="1" customFormat="1" x14ac:dyDescent="0.2">
      <c r="A428" s="10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  <c r="AA428" s="7"/>
      <c r="AB428" s="7"/>
      <c r="AC428" s="7"/>
      <c r="AD428" s="7"/>
      <c r="AE428" s="7"/>
      <c r="AF428" s="7"/>
      <c r="AG428" s="7"/>
      <c r="AH428" s="7"/>
      <c r="AI428" s="7"/>
      <c r="AJ428" s="7"/>
    </row>
    <row r="429" spans="1:36" s="1" customFormat="1" x14ac:dyDescent="0.2">
      <c r="A429" s="10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  <c r="AA429" s="7"/>
      <c r="AB429" s="7"/>
      <c r="AC429" s="7"/>
      <c r="AD429" s="7"/>
      <c r="AE429" s="7"/>
      <c r="AF429" s="7"/>
      <c r="AG429" s="7"/>
      <c r="AH429" s="7"/>
      <c r="AI429" s="7"/>
      <c r="AJ429" s="7"/>
    </row>
    <row r="430" spans="1:36" s="1" customFormat="1" x14ac:dyDescent="0.2">
      <c r="A430" s="10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  <c r="AA430" s="7"/>
      <c r="AB430" s="7"/>
      <c r="AC430" s="7"/>
      <c r="AD430" s="7"/>
      <c r="AE430" s="7"/>
      <c r="AF430" s="7"/>
      <c r="AG430" s="7"/>
      <c r="AH430" s="7"/>
      <c r="AI430" s="7"/>
      <c r="AJ430" s="7"/>
    </row>
    <row r="431" spans="1:36" s="1" customFormat="1" x14ac:dyDescent="0.2">
      <c r="A431" s="10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  <c r="AA431" s="7"/>
      <c r="AB431" s="7"/>
      <c r="AC431" s="7"/>
      <c r="AD431" s="7"/>
      <c r="AE431" s="7"/>
      <c r="AF431" s="7"/>
      <c r="AG431" s="7"/>
      <c r="AH431" s="7"/>
      <c r="AI431" s="7"/>
      <c r="AJ431" s="7"/>
    </row>
    <row r="432" spans="1:36" s="1" customFormat="1" x14ac:dyDescent="0.2">
      <c r="A432" s="10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  <c r="AA432" s="7"/>
      <c r="AB432" s="7"/>
      <c r="AC432" s="7"/>
      <c r="AD432" s="7"/>
      <c r="AE432" s="7"/>
      <c r="AF432" s="7"/>
      <c r="AG432" s="7"/>
      <c r="AH432" s="7"/>
      <c r="AI432" s="7"/>
      <c r="AJ432" s="7"/>
    </row>
    <row r="433" spans="1:36" s="1" customFormat="1" x14ac:dyDescent="0.2">
      <c r="A433" s="10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  <c r="AA433" s="7"/>
      <c r="AB433" s="7"/>
      <c r="AC433" s="7"/>
      <c r="AD433" s="7"/>
      <c r="AE433" s="7"/>
      <c r="AF433" s="7"/>
      <c r="AG433" s="7"/>
      <c r="AH433" s="7"/>
      <c r="AI433" s="7"/>
      <c r="AJ433" s="7"/>
    </row>
    <row r="434" spans="1:36" s="1" customFormat="1" x14ac:dyDescent="0.2">
      <c r="A434" s="10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  <c r="AA434" s="7"/>
      <c r="AB434" s="7"/>
      <c r="AC434" s="7"/>
      <c r="AD434" s="7"/>
      <c r="AE434" s="7"/>
      <c r="AF434" s="7"/>
      <c r="AG434" s="7"/>
      <c r="AH434" s="7"/>
      <c r="AI434" s="7"/>
      <c r="AJ434" s="7"/>
    </row>
    <row r="435" spans="1:36" s="1" customFormat="1" x14ac:dyDescent="0.2">
      <c r="A435" s="10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  <c r="AA435" s="7"/>
      <c r="AB435" s="7"/>
      <c r="AC435" s="7"/>
      <c r="AD435" s="7"/>
      <c r="AE435" s="7"/>
      <c r="AF435" s="7"/>
      <c r="AG435" s="7"/>
      <c r="AH435" s="7"/>
      <c r="AI435" s="7"/>
      <c r="AJ435" s="7"/>
    </row>
    <row r="436" spans="1:36" s="1" customFormat="1" x14ac:dyDescent="0.2">
      <c r="A436" s="10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  <c r="AA436" s="7"/>
      <c r="AB436" s="7"/>
      <c r="AC436" s="7"/>
      <c r="AD436" s="7"/>
      <c r="AE436" s="7"/>
      <c r="AF436" s="7"/>
      <c r="AG436" s="7"/>
      <c r="AH436" s="7"/>
      <c r="AI436" s="7"/>
      <c r="AJ436" s="7"/>
    </row>
    <row r="437" spans="1:36" s="1" customFormat="1" x14ac:dyDescent="0.2">
      <c r="A437" s="10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  <c r="AA437" s="7"/>
      <c r="AB437" s="7"/>
      <c r="AC437" s="7"/>
      <c r="AD437" s="7"/>
      <c r="AE437" s="7"/>
      <c r="AF437" s="7"/>
      <c r="AG437" s="7"/>
      <c r="AH437" s="7"/>
      <c r="AI437" s="7"/>
      <c r="AJ437" s="7"/>
    </row>
    <row r="438" spans="1:36" s="1" customFormat="1" x14ac:dyDescent="0.2">
      <c r="A438" s="10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  <c r="AA438" s="7"/>
      <c r="AB438" s="7"/>
      <c r="AC438" s="7"/>
      <c r="AD438" s="7"/>
      <c r="AE438" s="7"/>
      <c r="AF438" s="7"/>
      <c r="AG438" s="7"/>
      <c r="AH438" s="7"/>
      <c r="AI438" s="7"/>
      <c r="AJ438" s="7"/>
    </row>
    <row r="439" spans="1:36" s="1" customFormat="1" x14ac:dyDescent="0.2">
      <c r="A439" s="10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  <c r="AA439" s="7"/>
      <c r="AB439" s="7"/>
      <c r="AC439" s="7"/>
      <c r="AD439" s="7"/>
      <c r="AE439" s="7"/>
      <c r="AF439" s="7"/>
      <c r="AG439" s="7"/>
      <c r="AH439" s="7"/>
      <c r="AI439" s="7"/>
      <c r="AJ439" s="7"/>
    </row>
    <row r="440" spans="1:36" s="1" customFormat="1" x14ac:dyDescent="0.2">
      <c r="A440" s="10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  <c r="AA440" s="7"/>
      <c r="AB440" s="7"/>
      <c r="AC440" s="7"/>
      <c r="AD440" s="7"/>
      <c r="AE440" s="7"/>
      <c r="AF440" s="7"/>
      <c r="AG440" s="7"/>
      <c r="AH440" s="7"/>
      <c r="AI440" s="7"/>
      <c r="AJ440" s="7"/>
    </row>
    <row r="441" spans="1:36" s="1" customFormat="1" x14ac:dyDescent="0.2">
      <c r="A441" s="10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  <c r="AA441" s="7"/>
      <c r="AB441" s="7"/>
      <c r="AC441" s="7"/>
      <c r="AD441" s="7"/>
      <c r="AE441" s="7"/>
      <c r="AF441" s="7"/>
      <c r="AG441" s="7"/>
      <c r="AH441" s="7"/>
      <c r="AI441" s="7"/>
      <c r="AJ441" s="7"/>
    </row>
    <row r="442" spans="1:36" s="1" customFormat="1" x14ac:dyDescent="0.2">
      <c r="A442" s="10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  <c r="AA442" s="7"/>
      <c r="AB442" s="7"/>
      <c r="AC442" s="7"/>
      <c r="AD442" s="7"/>
      <c r="AE442" s="7"/>
      <c r="AF442" s="7"/>
      <c r="AG442" s="7"/>
      <c r="AH442" s="7"/>
      <c r="AI442" s="7"/>
      <c r="AJ442" s="7"/>
    </row>
    <row r="443" spans="1:36" s="1" customFormat="1" x14ac:dyDescent="0.2">
      <c r="A443" s="10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  <c r="AA443" s="7"/>
      <c r="AB443" s="7"/>
      <c r="AC443" s="7"/>
      <c r="AD443" s="7"/>
      <c r="AE443" s="7"/>
      <c r="AF443" s="7"/>
      <c r="AG443" s="7"/>
      <c r="AH443" s="7"/>
      <c r="AI443" s="7"/>
      <c r="AJ443" s="7"/>
    </row>
    <row r="444" spans="1:36" s="1" customFormat="1" x14ac:dyDescent="0.2">
      <c r="A444" s="10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  <c r="AA444" s="7"/>
      <c r="AB444" s="7"/>
      <c r="AC444" s="7"/>
      <c r="AD444" s="7"/>
      <c r="AE444" s="7"/>
      <c r="AF444" s="7"/>
      <c r="AG444" s="7"/>
      <c r="AH444" s="7"/>
      <c r="AI444" s="7"/>
      <c r="AJ444" s="7"/>
    </row>
    <row r="445" spans="1:36" s="1" customFormat="1" x14ac:dyDescent="0.2">
      <c r="A445" s="10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  <c r="AA445" s="7"/>
      <c r="AB445" s="7"/>
      <c r="AC445" s="7"/>
      <c r="AD445" s="7"/>
      <c r="AE445" s="7"/>
      <c r="AF445" s="7"/>
      <c r="AG445" s="7"/>
      <c r="AH445" s="7"/>
      <c r="AI445" s="7"/>
      <c r="AJ445" s="7"/>
    </row>
    <row r="446" spans="1:36" s="1" customFormat="1" x14ac:dyDescent="0.2">
      <c r="A446" s="10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  <c r="AA446" s="7"/>
      <c r="AB446" s="7"/>
      <c r="AC446" s="7"/>
      <c r="AD446" s="7"/>
      <c r="AE446" s="7"/>
      <c r="AF446" s="7"/>
      <c r="AG446" s="7"/>
      <c r="AH446" s="7"/>
      <c r="AI446" s="7"/>
      <c r="AJ446" s="7"/>
    </row>
    <row r="447" spans="1:36" s="1" customFormat="1" x14ac:dyDescent="0.2">
      <c r="A447" s="10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  <c r="AA447" s="7"/>
      <c r="AB447" s="7"/>
      <c r="AC447" s="7"/>
      <c r="AD447" s="7"/>
      <c r="AE447" s="7"/>
      <c r="AF447" s="7"/>
      <c r="AG447" s="7"/>
      <c r="AH447" s="7"/>
      <c r="AI447" s="7"/>
      <c r="AJ447" s="7"/>
    </row>
    <row r="448" spans="1:36" s="1" customFormat="1" x14ac:dyDescent="0.2">
      <c r="A448" s="10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  <c r="AA448" s="7"/>
      <c r="AB448" s="7"/>
      <c r="AC448" s="7"/>
      <c r="AD448" s="7"/>
      <c r="AE448" s="7"/>
      <c r="AF448" s="7"/>
      <c r="AG448" s="7"/>
      <c r="AH448" s="7"/>
      <c r="AI448" s="7"/>
      <c r="AJ448" s="7"/>
    </row>
    <row r="449" spans="1:36" s="1" customFormat="1" x14ac:dyDescent="0.2">
      <c r="A449" s="10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  <c r="AA449" s="7"/>
      <c r="AB449" s="7"/>
      <c r="AC449" s="7"/>
      <c r="AD449" s="7"/>
      <c r="AE449" s="7"/>
      <c r="AF449" s="7"/>
      <c r="AG449" s="7"/>
      <c r="AH449" s="7"/>
      <c r="AI449" s="7"/>
      <c r="AJ449" s="7"/>
    </row>
    <row r="450" spans="1:36" s="1" customFormat="1" x14ac:dyDescent="0.2">
      <c r="A450" s="10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  <c r="AA450" s="7"/>
      <c r="AB450" s="7"/>
      <c r="AC450" s="7"/>
      <c r="AD450" s="7"/>
      <c r="AE450" s="7"/>
      <c r="AF450" s="7"/>
      <c r="AG450" s="7"/>
      <c r="AH450" s="7"/>
      <c r="AI450" s="7"/>
      <c r="AJ450" s="7"/>
    </row>
    <row r="451" spans="1:36" s="1" customFormat="1" x14ac:dyDescent="0.2">
      <c r="A451" s="10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  <c r="AA451" s="7"/>
      <c r="AB451" s="7"/>
      <c r="AC451" s="7"/>
      <c r="AD451" s="7"/>
      <c r="AE451" s="7"/>
      <c r="AF451" s="7"/>
      <c r="AG451" s="7"/>
      <c r="AH451" s="7"/>
      <c r="AI451" s="7"/>
      <c r="AJ451" s="7"/>
    </row>
    <row r="452" spans="1:36" s="1" customFormat="1" x14ac:dyDescent="0.2">
      <c r="A452" s="10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  <c r="AA452" s="7"/>
      <c r="AB452" s="7"/>
      <c r="AC452" s="7"/>
      <c r="AD452" s="7"/>
      <c r="AE452" s="7"/>
      <c r="AF452" s="7"/>
      <c r="AG452" s="7"/>
      <c r="AH452" s="7"/>
      <c r="AI452" s="7"/>
      <c r="AJ452" s="7"/>
    </row>
    <row r="453" spans="1:36" s="1" customFormat="1" x14ac:dyDescent="0.2">
      <c r="A453" s="10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  <c r="AA453" s="7"/>
      <c r="AB453" s="7"/>
      <c r="AC453" s="7"/>
      <c r="AD453" s="7"/>
      <c r="AE453" s="7"/>
      <c r="AF453" s="7"/>
      <c r="AG453" s="7"/>
      <c r="AH453" s="7"/>
      <c r="AI453" s="7"/>
      <c r="AJ453" s="7"/>
    </row>
    <row r="454" spans="1:36" s="1" customFormat="1" x14ac:dyDescent="0.2">
      <c r="A454" s="10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  <c r="AA454" s="7"/>
      <c r="AB454" s="7"/>
      <c r="AC454" s="7"/>
      <c r="AD454" s="7"/>
      <c r="AE454" s="7"/>
      <c r="AF454" s="7"/>
      <c r="AG454" s="7"/>
      <c r="AH454" s="7"/>
      <c r="AI454" s="7"/>
      <c r="AJ454" s="7"/>
    </row>
    <row r="455" spans="1:36" s="1" customFormat="1" x14ac:dyDescent="0.2">
      <c r="A455" s="10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  <c r="AA455" s="7"/>
      <c r="AB455" s="7"/>
      <c r="AC455" s="7"/>
      <c r="AD455" s="7"/>
      <c r="AE455" s="7"/>
      <c r="AF455" s="7"/>
      <c r="AG455" s="7"/>
      <c r="AH455" s="7"/>
      <c r="AI455" s="7"/>
      <c r="AJ455" s="7"/>
    </row>
    <row r="456" spans="1:36" s="1" customFormat="1" x14ac:dyDescent="0.2">
      <c r="A456" s="10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  <c r="AA456" s="7"/>
      <c r="AB456" s="7"/>
      <c r="AC456" s="7"/>
      <c r="AD456" s="7"/>
      <c r="AE456" s="7"/>
      <c r="AF456" s="7"/>
      <c r="AG456" s="7"/>
      <c r="AH456" s="7"/>
      <c r="AI456" s="7"/>
      <c r="AJ456" s="7"/>
    </row>
    <row r="457" spans="1:36" s="1" customFormat="1" x14ac:dyDescent="0.2">
      <c r="A457" s="10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  <c r="AA457" s="7"/>
      <c r="AB457" s="7"/>
      <c r="AC457" s="7"/>
      <c r="AD457" s="7"/>
      <c r="AE457" s="7"/>
      <c r="AF457" s="7"/>
      <c r="AG457" s="7"/>
      <c r="AH457" s="7"/>
      <c r="AI457" s="7"/>
      <c r="AJ457" s="7"/>
    </row>
    <row r="458" spans="1:36" s="1" customFormat="1" x14ac:dyDescent="0.2">
      <c r="A458" s="10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  <c r="AA458" s="7"/>
      <c r="AB458" s="7"/>
      <c r="AC458" s="7"/>
      <c r="AD458" s="7"/>
      <c r="AE458" s="7"/>
      <c r="AF458" s="7"/>
      <c r="AG458" s="7"/>
      <c r="AH458" s="7"/>
      <c r="AI458" s="7"/>
      <c r="AJ458" s="7"/>
    </row>
    <row r="459" spans="1:36" s="1" customFormat="1" x14ac:dyDescent="0.2">
      <c r="A459" s="10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  <c r="AA459" s="7"/>
      <c r="AB459" s="7"/>
      <c r="AC459" s="7"/>
      <c r="AD459" s="7"/>
      <c r="AE459" s="7"/>
      <c r="AF459" s="7"/>
      <c r="AG459" s="7"/>
      <c r="AH459" s="7"/>
      <c r="AI459" s="7"/>
      <c r="AJ459" s="7"/>
    </row>
    <row r="460" spans="1:36" s="1" customFormat="1" x14ac:dyDescent="0.2">
      <c r="A460" s="10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  <c r="AA460" s="7"/>
      <c r="AB460" s="7"/>
      <c r="AC460" s="7"/>
      <c r="AD460" s="7"/>
      <c r="AE460" s="7"/>
      <c r="AF460" s="7"/>
      <c r="AG460" s="7"/>
      <c r="AH460" s="7"/>
      <c r="AI460" s="7"/>
      <c r="AJ460" s="7"/>
    </row>
    <row r="461" spans="1:36" s="1" customFormat="1" x14ac:dyDescent="0.2">
      <c r="A461" s="10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  <c r="AA461" s="7"/>
      <c r="AB461" s="7"/>
      <c r="AC461" s="7"/>
      <c r="AD461" s="7"/>
      <c r="AE461" s="7"/>
      <c r="AF461" s="7"/>
      <c r="AG461" s="7"/>
      <c r="AH461" s="7"/>
      <c r="AI461" s="7"/>
      <c r="AJ461" s="7"/>
    </row>
    <row r="462" spans="1:36" s="1" customFormat="1" x14ac:dyDescent="0.2">
      <c r="A462" s="10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  <c r="AA462" s="7"/>
      <c r="AB462" s="7"/>
      <c r="AC462" s="7"/>
      <c r="AD462" s="7"/>
      <c r="AE462" s="7"/>
      <c r="AF462" s="7"/>
      <c r="AG462" s="7"/>
      <c r="AH462" s="7"/>
      <c r="AI462" s="7"/>
      <c r="AJ462" s="7"/>
    </row>
    <row r="463" spans="1:36" s="1" customFormat="1" x14ac:dyDescent="0.2">
      <c r="A463" s="10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  <c r="AA463" s="7"/>
      <c r="AB463" s="7"/>
      <c r="AC463" s="7"/>
      <c r="AD463" s="7"/>
      <c r="AE463" s="7"/>
      <c r="AF463" s="7"/>
      <c r="AG463" s="7"/>
      <c r="AH463" s="7"/>
      <c r="AI463" s="7"/>
      <c r="AJ463" s="7"/>
    </row>
    <row r="464" spans="1:36" s="1" customFormat="1" x14ac:dyDescent="0.2">
      <c r="A464" s="10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  <c r="AA464" s="7"/>
      <c r="AB464" s="7"/>
      <c r="AC464" s="7"/>
      <c r="AD464" s="7"/>
      <c r="AE464" s="7"/>
      <c r="AF464" s="7"/>
      <c r="AG464" s="7"/>
      <c r="AH464" s="7"/>
      <c r="AI464" s="7"/>
      <c r="AJ464" s="7"/>
    </row>
    <row r="465" spans="1:36" s="1" customFormat="1" x14ac:dyDescent="0.2">
      <c r="A465" s="10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  <c r="AA465" s="7"/>
      <c r="AB465" s="7"/>
      <c r="AC465" s="7"/>
      <c r="AD465" s="7"/>
      <c r="AE465" s="7"/>
      <c r="AF465" s="7"/>
      <c r="AG465" s="7"/>
      <c r="AH465" s="7"/>
      <c r="AI465" s="7"/>
      <c r="AJ465" s="7"/>
    </row>
    <row r="466" spans="1:36" s="1" customFormat="1" x14ac:dyDescent="0.2">
      <c r="A466" s="10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  <c r="AA466" s="7"/>
      <c r="AB466" s="7"/>
      <c r="AC466" s="7"/>
      <c r="AD466" s="7"/>
      <c r="AE466" s="7"/>
      <c r="AF466" s="7"/>
      <c r="AG466" s="7"/>
      <c r="AH466" s="7"/>
      <c r="AI466" s="7"/>
      <c r="AJ466" s="7"/>
    </row>
    <row r="467" spans="1:36" s="1" customFormat="1" x14ac:dyDescent="0.2">
      <c r="A467" s="10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  <c r="AA467" s="7"/>
      <c r="AB467" s="7"/>
      <c r="AC467" s="7"/>
      <c r="AD467" s="7"/>
      <c r="AE467" s="7"/>
      <c r="AF467" s="7"/>
      <c r="AG467" s="7"/>
      <c r="AH467" s="7"/>
      <c r="AI467" s="7"/>
      <c r="AJ467" s="7"/>
    </row>
    <row r="468" spans="1:36" s="1" customFormat="1" x14ac:dyDescent="0.2">
      <c r="A468" s="10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  <c r="AA468" s="7"/>
      <c r="AB468" s="7"/>
      <c r="AC468" s="7"/>
      <c r="AD468" s="7"/>
      <c r="AE468" s="7"/>
      <c r="AF468" s="7"/>
      <c r="AG468" s="7"/>
      <c r="AH468" s="7"/>
      <c r="AI468" s="7"/>
      <c r="AJ468" s="7"/>
    </row>
    <row r="469" spans="1:36" s="1" customFormat="1" x14ac:dyDescent="0.2">
      <c r="A469" s="10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  <c r="AA469" s="7"/>
      <c r="AB469" s="7"/>
      <c r="AC469" s="7"/>
      <c r="AD469" s="7"/>
      <c r="AE469" s="7"/>
      <c r="AF469" s="7"/>
      <c r="AG469" s="7"/>
      <c r="AH469" s="7"/>
      <c r="AI469" s="7"/>
      <c r="AJ469" s="7"/>
    </row>
    <row r="470" spans="1:36" s="1" customFormat="1" x14ac:dyDescent="0.2">
      <c r="A470" s="10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  <c r="AA470" s="7"/>
      <c r="AB470" s="7"/>
      <c r="AC470" s="7"/>
      <c r="AD470" s="7"/>
      <c r="AE470" s="7"/>
      <c r="AF470" s="7"/>
      <c r="AG470" s="7"/>
      <c r="AH470" s="7"/>
      <c r="AI470" s="7"/>
      <c r="AJ470" s="7"/>
    </row>
    <row r="471" spans="1:36" s="1" customFormat="1" x14ac:dyDescent="0.2">
      <c r="A471" s="10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  <c r="AA471" s="7"/>
      <c r="AB471" s="7"/>
      <c r="AC471" s="7"/>
      <c r="AD471" s="7"/>
      <c r="AE471" s="7"/>
      <c r="AF471" s="7"/>
      <c r="AG471" s="7"/>
      <c r="AH471" s="7"/>
      <c r="AI471" s="7"/>
      <c r="AJ471" s="7"/>
    </row>
    <row r="472" spans="1:36" s="1" customFormat="1" x14ac:dyDescent="0.2">
      <c r="A472" s="10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  <c r="AA472" s="7"/>
      <c r="AB472" s="7"/>
      <c r="AC472" s="7"/>
      <c r="AD472" s="7"/>
      <c r="AE472" s="7"/>
      <c r="AF472" s="7"/>
      <c r="AG472" s="7"/>
      <c r="AH472" s="7"/>
      <c r="AI472" s="7"/>
      <c r="AJ472" s="7"/>
    </row>
    <row r="473" spans="1:36" s="1" customFormat="1" x14ac:dyDescent="0.2">
      <c r="A473" s="10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  <c r="AA473" s="7"/>
      <c r="AB473" s="7"/>
      <c r="AC473" s="7"/>
      <c r="AD473" s="7"/>
      <c r="AE473" s="7"/>
      <c r="AF473" s="7"/>
      <c r="AG473" s="7"/>
      <c r="AH473" s="7"/>
      <c r="AI473" s="7"/>
      <c r="AJ473" s="7"/>
    </row>
    <row r="474" spans="1:36" s="1" customFormat="1" x14ac:dyDescent="0.2">
      <c r="A474" s="10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  <c r="AA474" s="7"/>
      <c r="AB474" s="7"/>
      <c r="AC474" s="7"/>
      <c r="AD474" s="7"/>
      <c r="AE474" s="7"/>
      <c r="AF474" s="7"/>
      <c r="AG474" s="7"/>
      <c r="AH474" s="7"/>
      <c r="AI474" s="7"/>
      <c r="AJ474" s="7"/>
    </row>
    <row r="475" spans="1:36" s="1" customFormat="1" x14ac:dyDescent="0.2">
      <c r="A475" s="10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  <c r="AA475" s="7"/>
      <c r="AB475" s="7"/>
      <c r="AC475" s="7"/>
      <c r="AD475" s="7"/>
      <c r="AE475" s="7"/>
      <c r="AF475" s="7"/>
      <c r="AG475" s="7"/>
      <c r="AH475" s="7"/>
      <c r="AI475" s="7"/>
      <c r="AJ475" s="7"/>
    </row>
    <row r="476" spans="1:36" s="1" customFormat="1" x14ac:dyDescent="0.2">
      <c r="A476" s="10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  <c r="AA476" s="7"/>
      <c r="AB476" s="7"/>
      <c r="AC476" s="7"/>
      <c r="AD476" s="7"/>
      <c r="AE476" s="7"/>
      <c r="AF476" s="7"/>
      <c r="AG476" s="7"/>
      <c r="AH476" s="7"/>
      <c r="AI476" s="7"/>
      <c r="AJ476" s="7"/>
    </row>
    <row r="477" spans="1:36" s="1" customFormat="1" x14ac:dyDescent="0.2">
      <c r="A477" s="10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  <c r="AA477" s="7"/>
      <c r="AB477" s="7"/>
      <c r="AC477" s="7"/>
      <c r="AD477" s="7"/>
      <c r="AE477" s="7"/>
      <c r="AF477" s="7"/>
      <c r="AG477" s="7"/>
      <c r="AH477" s="7"/>
      <c r="AI477" s="7"/>
      <c r="AJ477" s="7"/>
    </row>
    <row r="478" spans="1:36" x14ac:dyDescent="0.2">
      <c r="A478" s="11"/>
      <c r="B478" s="6"/>
    </row>
    <row r="479" spans="1:36" x14ac:dyDescent="0.2">
      <c r="A479" s="11"/>
      <c r="B479" s="6"/>
    </row>
    <row r="480" spans="1:36" x14ac:dyDescent="0.2">
      <c r="A480" s="11"/>
      <c r="B480" s="6"/>
    </row>
    <row r="481" spans="1:2" x14ac:dyDescent="0.2">
      <c r="A481" s="11"/>
      <c r="B481" s="6"/>
    </row>
    <row r="482" spans="1:2" x14ac:dyDescent="0.2">
      <c r="A482" s="11"/>
      <c r="B482" s="6"/>
    </row>
    <row r="483" spans="1:2" x14ac:dyDescent="0.2">
      <c r="A483" s="11"/>
      <c r="B483" s="6"/>
    </row>
    <row r="484" spans="1:2" x14ac:dyDescent="0.2">
      <c r="A484" s="11"/>
      <c r="B484" s="6"/>
    </row>
    <row r="485" spans="1:2" x14ac:dyDescent="0.2">
      <c r="A485" s="11"/>
      <c r="B485" s="6"/>
    </row>
    <row r="486" spans="1:2" x14ac:dyDescent="0.2">
      <c r="A486" s="11"/>
      <c r="B486" s="6"/>
    </row>
    <row r="487" spans="1:2" x14ac:dyDescent="0.2">
      <c r="A487" s="11"/>
      <c r="B487" s="6"/>
    </row>
    <row r="488" spans="1:2" x14ac:dyDescent="0.2">
      <c r="A488" s="12"/>
      <c r="B488" s="7"/>
    </row>
  </sheetData>
  <mergeCells count="3">
    <mergeCell ref="A1:B1"/>
    <mergeCell ref="A2:B2"/>
    <mergeCell ref="A3:B3"/>
  </mergeCells>
  <phoneticPr fontId="49" type="noConversion"/>
  <printOptions horizontalCentered="1"/>
  <pageMargins left="0.25" right="0.25" top="0.25" bottom="0.25" header="0.5" footer="0.5"/>
  <pageSetup paperSize="17" scale="91" fitToHeight="25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PRINTTRENDSUMMARIES">
                <anchor moveWithCells="1" sizeWithCells="1">
                  <from>
                    <xdr:col>2</xdr:col>
                    <xdr:colOff>0</xdr:colOff>
                    <xdr:row>0</xdr:row>
                    <xdr:rowOff>38100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autoPageBreaks="0"/>
  </sheetPr>
  <dimension ref="A1:AP302"/>
  <sheetViews>
    <sheetView topLeftCell="A31" workbookViewId="0">
      <selection activeCell="B31" sqref="B31"/>
    </sheetView>
  </sheetViews>
  <sheetFormatPr defaultRowHeight="12.75" x14ac:dyDescent="0.2"/>
  <cols>
    <col min="1" max="3" width="9.140625" style="1"/>
    <col min="4" max="5" width="9.28515625" style="62" customWidth="1"/>
    <col min="6" max="6" width="9.140625" style="62"/>
    <col min="7" max="15" width="9.28515625" style="62" customWidth="1"/>
    <col min="16" max="16" width="10.140625" style="62" customWidth="1"/>
    <col min="17" max="19" width="9.28515625" style="62" customWidth="1"/>
    <col min="20" max="36" width="9.140625" style="62"/>
    <col min="37" max="16384" width="9.140625" style="1"/>
  </cols>
  <sheetData>
    <row r="1" spans="1:42" x14ac:dyDescent="0.2">
      <c r="A1" s="56" t="s">
        <v>35</v>
      </c>
      <c r="B1" s="57" t="s">
        <v>1</v>
      </c>
    </row>
    <row r="2" spans="1:42" ht="12.75" customHeight="1" x14ac:dyDescent="0.2">
      <c r="A2" s="68">
        <v>1967</v>
      </c>
      <c r="B2" s="65"/>
      <c r="C2" s="295" t="s">
        <v>36</v>
      </c>
      <c r="D2" s="64">
        <v>1967</v>
      </c>
      <c r="E2" s="58">
        <f>B2</f>
        <v>0</v>
      </c>
      <c r="F2" s="59" t="str">
        <f>IF(E2=0,"N","Y")</f>
        <v>N</v>
      </c>
      <c r="G2" s="60">
        <f ca="1">IF(ISNA(MATCH("Y",INDIRECT("F"&amp;(2+G1)&amp;":F60"),0)+G1),"",MATCH("Y",INDIRECT("F"&amp;(2+G1)&amp;":F60"),0)+G1)</f>
        <v>36</v>
      </c>
      <c r="H2" s="60">
        <f ca="1">G2+$A$2-1</f>
        <v>2002</v>
      </c>
      <c r="I2" s="60">
        <f t="shared" ref="I2:I33" ca="1" si="0">INDEX(E$2:E$60,$G2)</f>
        <v>24000</v>
      </c>
      <c r="J2" s="58">
        <f t="shared" ref="J2:J33" ca="1" si="1">IF(ISNA(G2),"",G2)</f>
        <v>36</v>
      </c>
      <c r="K2" s="58">
        <f t="shared" ref="K2:K33" ca="1" si="2">IF(ISNA(H2),"",H2)</f>
        <v>2002</v>
      </c>
      <c r="L2" s="58">
        <f t="shared" ref="L2:L33" ca="1" si="3">IF(ISNA(I2),"",I2)</f>
        <v>24000</v>
      </c>
      <c r="M2" s="61">
        <f t="shared" ref="M2:M33" ca="1" si="4">IF(L2="","",VALUE(LN(L2)))</f>
        <v>10.085809109330082</v>
      </c>
      <c r="N2" s="58">
        <f ca="1">K2</f>
        <v>2002</v>
      </c>
      <c r="O2" s="60">
        <f ca="1">VLOOKUP(N2,K2:L60,2,FALSE)</f>
        <v>24000</v>
      </c>
      <c r="P2" s="61">
        <f ca="1">SLOPE(O2:O3,N2:N3)</f>
        <v>562.5</v>
      </c>
      <c r="Q2" s="61">
        <f ca="1">IF(K2="","",$O$2+$P$2*(K2-$N$2))</f>
        <v>24000</v>
      </c>
      <c r="R2" s="61">
        <f t="shared" ref="R2:R33" ca="1" si="5">IF(L2="","",$O$2*(1+$P$3)^(K2-$N$2))</f>
        <v>24000</v>
      </c>
      <c r="S2" s="61">
        <f t="shared" ref="S2:S33" ca="1" si="6">IF(K2="","",$P$5+(K2*$P$4))</f>
        <v>24885.800970873679</v>
      </c>
      <c r="T2" s="61">
        <f t="shared" ref="T2:T33" ca="1" si="7">IF(K2="","",EXP($P$6*K2+$P$7))</f>
        <v>24926.104968983611</v>
      </c>
      <c r="U2" s="58">
        <f ca="1">N3</f>
        <v>2018</v>
      </c>
      <c r="V2" s="61">
        <f t="shared" ref="V2:V7" ca="1" si="8">IF(U2="","",$O$2+$P$2*(U2-$N$2))</f>
        <v>33000</v>
      </c>
      <c r="W2" s="61">
        <f t="shared" ref="W2:W7" ca="1" si="9">IF(U2="","",$O$2*(1+$P$3)^(U2-$N$2))</f>
        <v>32999.999999999949</v>
      </c>
      <c r="X2" s="61">
        <f t="shared" ref="X2:X7" ca="1" si="10">IF(U2="","",$P$5+(U2*$P$4))</f>
        <v>31793.567961164983</v>
      </c>
      <c r="Y2" s="61">
        <f t="shared" ref="Y2:Y7" ca="1" si="11">IF(U2="","",EXP($P$6*U2+$P$7))</f>
        <v>31893.964957106353</v>
      </c>
      <c r="Z2" s="58">
        <f ca="1">U2</f>
        <v>2018</v>
      </c>
      <c r="AA2" s="62">
        <v>0</v>
      </c>
      <c r="AB2" s="62" t="b">
        <v>1</v>
      </c>
      <c r="AD2" s="58">
        <f>Calculator!D3</f>
        <v>2006</v>
      </c>
      <c r="AE2" s="58">
        <f>Calculator!D5</f>
        <v>556</v>
      </c>
      <c r="AF2" s="62">
        <v>2005</v>
      </c>
      <c r="AG2" s="62">
        <v>2005</v>
      </c>
      <c r="AH2" s="62">
        <v>2005</v>
      </c>
      <c r="AI2" s="62">
        <v>2005</v>
      </c>
      <c r="AJ2" s="62">
        <v>2005</v>
      </c>
      <c r="AL2" s="62" t="str">
        <f>'AADT Input'!A5&amp;"- "&amp;'AADT Input'!B5</f>
        <v>12001- Ansonville/SR 1002  - Union County</v>
      </c>
      <c r="AM2" s="62">
        <v>1</v>
      </c>
      <c r="AO2" s="58">
        <f>Calculator!D3</f>
        <v>2006</v>
      </c>
      <c r="AP2" s="58">
        <f>AE2</f>
        <v>556</v>
      </c>
    </row>
    <row r="3" spans="1:42" x14ac:dyDescent="0.2">
      <c r="A3" s="55">
        <v>1968</v>
      </c>
      <c r="B3" s="66"/>
      <c r="C3" s="295"/>
      <c r="D3" s="64">
        <f>D2+1</f>
        <v>1968</v>
      </c>
      <c r="E3" s="58">
        <f t="shared" ref="E3:E60" si="12">B3</f>
        <v>0</v>
      </c>
      <c r="F3" s="59" t="str">
        <f t="shared" ref="F3:F60" si="13">IF(E3=0,"N","Y")</f>
        <v>N</v>
      </c>
      <c r="G3" s="60">
        <f t="shared" ref="G3:G34" ca="1" si="14">MATCH("Y",INDIRECT("F"&amp;(2+G2)&amp;":F60"),0)+G2</f>
        <v>37</v>
      </c>
      <c r="H3" s="60">
        <f t="shared" ref="H3:H60" ca="1" si="15">G3+$A$2-1</f>
        <v>2003</v>
      </c>
      <c r="I3" s="60">
        <f t="shared" ca="1" si="0"/>
        <v>24000</v>
      </c>
      <c r="J3" s="58">
        <f t="shared" ca="1" si="1"/>
        <v>37</v>
      </c>
      <c r="K3" s="58">
        <f t="shared" ca="1" si="2"/>
        <v>2003</v>
      </c>
      <c r="L3" s="58">
        <f t="shared" ca="1" si="3"/>
        <v>24000</v>
      </c>
      <c r="M3" s="61">
        <f t="shared" ca="1" si="4"/>
        <v>10.085809109330082</v>
      </c>
      <c r="N3" s="58">
        <f ca="1">MAX(K2:K60)</f>
        <v>2018</v>
      </c>
      <c r="O3" s="60">
        <f ca="1">VLOOKUP(N3,K3:L61,2,FALSE)</f>
        <v>33000</v>
      </c>
      <c r="P3" s="61">
        <f ca="1">(O2/O3)^(1/(N2-N3))-1</f>
        <v>2.0102750691701088E-2</v>
      </c>
      <c r="Q3" s="61">
        <f t="shared" ref="Q3:Q33" ca="1" si="16">IF(K3="","",$O$2+$P$2*(K3-$N$2))</f>
        <v>24562.5</v>
      </c>
      <c r="R3" s="61">
        <f t="shared" ca="1" si="5"/>
        <v>24482.466016600825</v>
      </c>
      <c r="S3" s="61">
        <f t="shared" ca="1" si="6"/>
        <v>25317.53640776698</v>
      </c>
      <c r="T3" s="61">
        <f t="shared" ca="1" si="7"/>
        <v>25313.097994349795</v>
      </c>
      <c r="U3" s="62">
        <f>IF('AADT Results'!K34="","",'AADT Results'!K34)</f>
        <v>2030</v>
      </c>
      <c r="V3" s="61">
        <f t="shared" ca="1" si="8"/>
        <v>39750</v>
      </c>
      <c r="W3" s="61">
        <f t="shared" ca="1" si="9"/>
        <v>41902.599258177208</v>
      </c>
      <c r="X3" s="61">
        <f t="shared" ca="1" si="10"/>
        <v>36974.393203883432</v>
      </c>
      <c r="Y3" s="61">
        <f t="shared" ca="1" si="11"/>
        <v>38370.643492083873</v>
      </c>
      <c r="Z3" s="58">
        <f ca="1">U2</f>
        <v>2018</v>
      </c>
      <c r="AA3" s="62">
        <v>100</v>
      </c>
      <c r="AB3" s="62" t="b">
        <v>0</v>
      </c>
      <c r="AD3" s="62">
        <f>AD2+1</f>
        <v>2007</v>
      </c>
      <c r="AE3" s="58">
        <f>AE2*(1+Calculator!$D$6)</f>
        <v>569.9</v>
      </c>
      <c r="AF3" s="62">
        <f>AF2+1</f>
        <v>2006</v>
      </c>
      <c r="AG3" s="62">
        <f>AG2+1</f>
        <v>2006</v>
      </c>
      <c r="AH3" s="62">
        <f>AH2+1</f>
        <v>2006</v>
      </c>
      <c r="AI3" s="62">
        <f>AI2+1</f>
        <v>2006</v>
      </c>
      <c r="AJ3" s="62">
        <f>AJ2+1</f>
        <v>2006</v>
      </c>
      <c r="AL3" s="62" t="str">
        <f>'AADT Input'!A6&amp;"- "&amp;'AADT Input'!B6</f>
        <v>12002- NC 200 -   Union County</v>
      </c>
      <c r="AM3" s="62">
        <f>AM2+1</f>
        <v>2</v>
      </c>
      <c r="AO3" s="62">
        <f>AO2+1</f>
        <v>2007</v>
      </c>
      <c r="AP3" s="58">
        <f>AP2*(1+Calculator!$D$11)</f>
        <v>572.52492314634083</v>
      </c>
    </row>
    <row r="4" spans="1:42" x14ac:dyDescent="0.2">
      <c r="A4" s="68">
        <v>1969</v>
      </c>
      <c r="B4" s="66"/>
      <c r="C4" s="295"/>
      <c r="D4" s="64">
        <f t="shared" ref="D4:D30" si="17">D3+1</f>
        <v>1969</v>
      </c>
      <c r="E4" s="58">
        <f t="shared" si="12"/>
        <v>0</v>
      </c>
      <c r="F4" s="59" t="str">
        <f t="shared" si="13"/>
        <v>N</v>
      </c>
      <c r="G4" s="60">
        <f t="shared" ca="1" si="14"/>
        <v>39</v>
      </c>
      <c r="H4" s="60">
        <f t="shared" ca="1" si="15"/>
        <v>2005</v>
      </c>
      <c r="I4" s="60">
        <f t="shared" ca="1" si="0"/>
        <v>29000</v>
      </c>
      <c r="J4" s="58">
        <f t="shared" ca="1" si="1"/>
        <v>39</v>
      </c>
      <c r="K4" s="58">
        <f t="shared" ca="1" si="2"/>
        <v>2005</v>
      </c>
      <c r="L4" s="58">
        <f t="shared" ca="1" si="3"/>
        <v>29000</v>
      </c>
      <c r="M4" s="61">
        <f t="shared" ca="1" si="4"/>
        <v>10.275051108968611</v>
      </c>
      <c r="N4" s="58">
        <f ca="1">N2-1</f>
        <v>2001</v>
      </c>
      <c r="O4" s="61"/>
      <c r="P4" s="61">
        <f ca="1">SLOPE(L2:L60,K2:K60)</f>
        <v>431.73543689320377</v>
      </c>
      <c r="Q4" s="61">
        <f t="shared" ca="1" si="16"/>
        <v>25687.5</v>
      </c>
      <c r="R4" s="61">
        <f t="shared" ca="1" si="5"/>
        <v>25476.689706398363</v>
      </c>
      <c r="S4" s="61">
        <f t="shared" ca="1" si="6"/>
        <v>26181.007281553349</v>
      </c>
      <c r="T4" s="61">
        <f t="shared" ca="1" si="7"/>
        <v>26105.202237921567</v>
      </c>
      <c r="U4" s="62">
        <f>IF('AADT Results'!K35="","",'AADT Results'!K35)</f>
        <v>2035</v>
      </c>
      <c r="V4" s="61">
        <f t="shared" ca="1" si="8"/>
        <v>42562.5</v>
      </c>
      <c r="W4" s="61">
        <f t="shared" ca="1" si="9"/>
        <v>46287.162312635803</v>
      </c>
      <c r="X4" s="61">
        <f t="shared" ca="1" si="10"/>
        <v>39133.070388349472</v>
      </c>
      <c r="Y4" s="61">
        <f t="shared" ca="1" si="11"/>
        <v>41443.219559510668</v>
      </c>
      <c r="AB4" s="62" t="b">
        <v>0</v>
      </c>
      <c r="AD4" s="62">
        <f t="shared" ref="AD4:AD67" si="18">AD3+1</f>
        <v>2008</v>
      </c>
      <c r="AE4" s="58">
        <f>AE3*(1+Calculator!$D$6)</f>
        <v>584.14749999999992</v>
      </c>
      <c r="AF4" s="62">
        <f t="shared" ref="AF4:AF57" si="19">AF3+1</f>
        <v>2007</v>
      </c>
      <c r="AG4" s="62">
        <f t="shared" ref="AG4:AG57" si="20">AG3+1</f>
        <v>2007</v>
      </c>
      <c r="AH4" s="62">
        <f t="shared" ref="AH4:AH57" si="21">AH3+1</f>
        <v>2007</v>
      </c>
      <c r="AI4" s="62">
        <f t="shared" ref="AI4:AJ57" si="22">AI3+1</f>
        <v>2007</v>
      </c>
      <c r="AJ4" s="62">
        <f t="shared" si="22"/>
        <v>2007</v>
      </c>
      <c r="AL4" s="62" t="str">
        <f>'AADT Input'!A7&amp;"- "&amp;'AADT Input'!B7</f>
        <v>12003- Tom Greene/SR 1130 -   Union County</v>
      </c>
      <c r="AM4" s="62">
        <f t="shared" ref="AM4:AM67" si="23">AM3+1</f>
        <v>3</v>
      </c>
      <c r="AO4" s="62">
        <f t="shared" ref="AO4:AO67" si="24">AO3+1</f>
        <v>2008</v>
      </c>
      <c r="AP4" s="58">
        <f>AP3*(1+Calculator!$D$11)</f>
        <v>589.54098493475453</v>
      </c>
    </row>
    <row r="5" spans="1:42" x14ac:dyDescent="0.2">
      <c r="A5" s="55">
        <v>1970</v>
      </c>
      <c r="B5" s="66"/>
      <c r="C5" s="295"/>
      <c r="D5" s="64">
        <f t="shared" si="17"/>
        <v>1970</v>
      </c>
      <c r="E5" s="58">
        <f t="shared" si="12"/>
        <v>0</v>
      </c>
      <c r="F5" s="59" t="str">
        <f t="shared" si="13"/>
        <v>N</v>
      </c>
      <c r="G5" s="60">
        <f t="shared" ca="1" si="14"/>
        <v>41</v>
      </c>
      <c r="H5" s="60">
        <f t="shared" ca="1" si="15"/>
        <v>2007</v>
      </c>
      <c r="I5" s="60">
        <f t="shared" ca="1" si="0"/>
        <v>30000</v>
      </c>
      <c r="J5" s="58">
        <f t="shared" ca="1" si="1"/>
        <v>41</v>
      </c>
      <c r="K5" s="58">
        <f t="shared" ca="1" si="2"/>
        <v>2007</v>
      </c>
      <c r="L5" s="58">
        <f t="shared" ca="1" si="3"/>
        <v>30000</v>
      </c>
      <c r="M5" s="61">
        <f t="shared" ca="1" si="4"/>
        <v>10.308952660644293</v>
      </c>
      <c r="N5" s="58">
        <f ca="1">IF(SHOWFUTUREYEARS,MAX(N3,'AADT Results'!K34:K38,Calculator!D4)+1,N3+1)</f>
        <v>2051</v>
      </c>
      <c r="O5" s="61"/>
      <c r="P5" s="61">
        <f ca="1">INTERCEPT(L2:L60,K2:K60)</f>
        <v>-839448.54368932021</v>
      </c>
      <c r="Q5" s="61">
        <f t="shared" ca="1" si="16"/>
        <v>26812.5</v>
      </c>
      <c r="R5" s="61">
        <f t="shared" ca="1" si="5"/>
        <v>26511.288444390975</v>
      </c>
      <c r="S5" s="61">
        <f t="shared" ca="1" si="6"/>
        <v>27044.478155339719</v>
      </c>
      <c r="T5" s="61">
        <f t="shared" ca="1" si="7"/>
        <v>26922.093219680202</v>
      </c>
      <c r="U5" s="62">
        <f>IF('AADT Results'!K36="","",'AADT Results'!K36)</f>
        <v>2040</v>
      </c>
      <c r="V5" s="61">
        <f t="shared" ca="1" si="8"/>
        <v>45375</v>
      </c>
      <c r="W5" s="61">
        <f t="shared" ca="1" si="9"/>
        <v>51130.512972609613</v>
      </c>
      <c r="X5" s="61">
        <f t="shared" ca="1" si="10"/>
        <v>41291.747572815511</v>
      </c>
      <c r="Y5" s="61">
        <f t="shared" ca="1" si="11"/>
        <v>44761.83590228697</v>
      </c>
      <c r="AB5" s="62" t="b">
        <v>1</v>
      </c>
      <c r="AD5" s="62">
        <f t="shared" si="18"/>
        <v>2009</v>
      </c>
      <c r="AE5" s="58">
        <f>AE4*(1+Calculator!$D$6)</f>
        <v>598.7511874999999</v>
      </c>
      <c r="AF5" s="62">
        <f t="shared" si="19"/>
        <v>2008</v>
      </c>
      <c r="AG5" s="62">
        <f t="shared" si="20"/>
        <v>2008</v>
      </c>
      <c r="AH5" s="62">
        <f t="shared" si="21"/>
        <v>2008</v>
      </c>
      <c r="AI5" s="62">
        <f t="shared" si="22"/>
        <v>2008</v>
      </c>
      <c r="AJ5" s="62">
        <f t="shared" si="22"/>
        <v>2008</v>
      </c>
      <c r="AL5" s="62" t="str">
        <f>'AADT Input'!A8&amp;"- "&amp;'AADT Input'!B8</f>
        <v>12004- Potter/SR 1137 -   Union County</v>
      </c>
      <c r="AM5" s="62">
        <f t="shared" si="23"/>
        <v>4</v>
      </c>
      <c r="AO5" s="62">
        <f t="shared" si="24"/>
        <v>2009</v>
      </c>
      <c r="AP5" s="58">
        <f>AP4*(1+Calculator!$D$11)</f>
        <v>607.06278253846847</v>
      </c>
    </row>
    <row r="6" spans="1:42" x14ac:dyDescent="0.2">
      <c r="A6" s="68">
        <v>1971</v>
      </c>
      <c r="B6" s="66"/>
      <c r="C6" s="295"/>
      <c r="D6" s="64">
        <f t="shared" si="17"/>
        <v>1971</v>
      </c>
      <c r="E6" s="58">
        <f t="shared" si="12"/>
        <v>0</v>
      </c>
      <c r="F6" s="59" t="str">
        <f t="shared" si="13"/>
        <v>N</v>
      </c>
      <c r="G6" s="60">
        <f t="shared" ca="1" si="14"/>
        <v>43</v>
      </c>
      <c r="H6" s="60">
        <f t="shared" ca="1" si="15"/>
        <v>2009</v>
      </c>
      <c r="I6" s="60">
        <f t="shared" ca="1" si="0"/>
        <v>26000</v>
      </c>
      <c r="J6" s="58">
        <f t="shared" ca="1" si="1"/>
        <v>43</v>
      </c>
      <c r="K6" s="58">
        <f t="shared" ca="1" si="2"/>
        <v>2009</v>
      </c>
      <c r="L6" s="58">
        <f t="shared" ca="1" si="3"/>
        <v>26000</v>
      </c>
      <c r="M6" s="61">
        <f t="shared" ca="1" si="4"/>
        <v>10.165851817003619</v>
      </c>
      <c r="N6" s="58"/>
      <c r="O6" s="61"/>
      <c r="P6" s="61">
        <f ca="1">SLOPE(M2:M60,K2:K60)</f>
        <v>1.5406322435957701E-2</v>
      </c>
      <c r="Q6" s="61">
        <f t="shared" ca="1" si="16"/>
        <v>27937.5</v>
      </c>
      <c r="R6" s="61">
        <f t="shared" ca="1" si="5"/>
        <v>27587.901846022844</v>
      </c>
      <c r="S6" s="61">
        <f t="shared" ca="1" si="6"/>
        <v>27907.949029126205</v>
      </c>
      <c r="T6" s="61">
        <f t="shared" ca="1" si="7"/>
        <v>27764.546572877178</v>
      </c>
      <c r="U6" s="62">
        <f>IF('AADT Results'!K37="","",'AADT Results'!K37)</f>
        <v>2045</v>
      </c>
      <c r="V6" s="61">
        <f t="shared" ca="1" si="8"/>
        <v>48187.5</v>
      </c>
      <c r="W6" s="61">
        <f t="shared" ca="1" si="9"/>
        <v>56480.657405272017</v>
      </c>
      <c r="X6" s="61">
        <f t="shared" ca="1" si="10"/>
        <v>43450.424757281551</v>
      </c>
      <c r="Y6" s="61">
        <f t="shared" ca="1" si="11"/>
        <v>48346.194495486656</v>
      </c>
      <c r="AB6" s="62" t="b">
        <v>0</v>
      </c>
      <c r="AD6" s="62">
        <f t="shared" si="18"/>
        <v>2010</v>
      </c>
      <c r="AE6" s="58">
        <f>AE5*(1+Calculator!$D$6)</f>
        <v>613.71996718749983</v>
      </c>
      <c r="AF6" s="62">
        <f t="shared" si="19"/>
        <v>2009</v>
      </c>
      <c r="AG6" s="62">
        <f t="shared" si="20"/>
        <v>2009</v>
      </c>
      <c r="AH6" s="62">
        <f t="shared" si="21"/>
        <v>2009</v>
      </c>
      <c r="AI6" s="62">
        <f t="shared" si="22"/>
        <v>2009</v>
      </c>
      <c r="AJ6" s="62">
        <f t="shared" si="22"/>
        <v>2009</v>
      </c>
      <c r="AL6" s="62" t="str">
        <f>'AADT Input'!A9&amp;"- "&amp;'AADT Input'!B9</f>
        <v>12005- NC 522 -    Union County</v>
      </c>
      <c r="AM6" s="62">
        <f t="shared" si="23"/>
        <v>5</v>
      </c>
      <c r="AO6" s="62">
        <f t="shared" si="24"/>
        <v>2010</v>
      </c>
      <c r="AP6" s="58">
        <f>AP5*(1+Calculator!$D$11)</f>
        <v>625.10534697453329</v>
      </c>
    </row>
    <row r="7" spans="1:42" x14ac:dyDescent="0.2">
      <c r="A7" s="55">
        <v>1972</v>
      </c>
      <c r="B7" s="66"/>
      <c r="C7" s="295"/>
      <c r="D7" s="64">
        <f t="shared" si="17"/>
        <v>1972</v>
      </c>
      <c r="E7" s="58">
        <f t="shared" si="12"/>
        <v>0</v>
      </c>
      <c r="F7" s="59" t="str">
        <f t="shared" si="13"/>
        <v>N</v>
      </c>
      <c r="G7" s="60">
        <f t="shared" ca="1" si="14"/>
        <v>45</v>
      </c>
      <c r="H7" s="60">
        <f t="shared" ca="1" si="15"/>
        <v>2011</v>
      </c>
      <c r="I7" s="60">
        <f t="shared" ca="1" si="0"/>
        <v>29000</v>
      </c>
      <c r="J7" s="58">
        <f t="shared" ca="1" si="1"/>
        <v>45</v>
      </c>
      <c r="K7" s="58">
        <f t="shared" ca="1" si="2"/>
        <v>2011</v>
      </c>
      <c r="L7" s="58">
        <f t="shared" ca="1" si="3"/>
        <v>29000</v>
      </c>
      <c r="M7" s="61">
        <f t="shared" ca="1" si="4"/>
        <v>10.275051108968611</v>
      </c>
      <c r="N7" s="61"/>
      <c r="O7" s="61"/>
      <c r="P7" s="61">
        <f ca="1">INTERCEPT(M2:M60,K2:K60)</f>
        <v>-20.719786591185294</v>
      </c>
      <c r="Q7" s="61">
        <f t="shared" ca="1" si="16"/>
        <v>29062.5</v>
      </c>
      <c r="R7" s="61">
        <f t="shared" ca="1" si="5"/>
        <v>28708.236110901496</v>
      </c>
      <c r="S7" s="61">
        <f t="shared" ca="1" si="6"/>
        <v>28771.419902912574</v>
      </c>
      <c r="T7" s="61">
        <f t="shared" ca="1" si="7"/>
        <v>28633.362202087443</v>
      </c>
      <c r="U7" s="62">
        <f>IF('AADT Results'!K38="","",'AADT Results'!K38)</f>
        <v>2050</v>
      </c>
      <c r="V7" s="61">
        <f t="shared" ca="1" si="8"/>
        <v>51000</v>
      </c>
      <c r="W7" s="61">
        <f t="shared" ca="1" si="9"/>
        <v>62390.624999999724</v>
      </c>
      <c r="X7" s="61">
        <f t="shared" ca="1" si="10"/>
        <v>45609.101941747474</v>
      </c>
      <c r="Y7" s="61">
        <f t="shared" ca="1" si="11"/>
        <v>52217.57497386304</v>
      </c>
      <c r="AB7" s="62" t="b">
        <v>1</v>
      </c>
      <c r="AD7" s="62">
        <f t="shared" si="18"/>
        <v>2011</v>
      </c>
      <c r="AE7" s="58">
        <f>AE6*(1+Calculator!$D$6)</f>
        <v>629.0629663671873</v>
      </c>
      <c r="AF7" s="62">
        <f t="shared" si="19"/>
        <v>2010</v>
      </c>
      <c r="AG7" s="62">
        <f t="shared" si="20"/>
        <v>2010</v>
      </c>
      <c r="AH7" s="62">
        <f t="shared" si="21"/>
        <v>2010</v>
      </c>
      <c r="AI7" s="62">
        <f t="shared" si="22"/>
        <v>2010</v>
      </c>
      <c r="AJ7" s="62">
        <f t="shared" si="22"/>
        <v>2010</v>
      </c>
      <c r="AL7" s="62" t="str">
        <f>'AADT Input'!A10&amp;"- "&amp;'AADT Input'!B10</f>
        <v>12006- NC 207  -       Union County</v>
      </c>
      <c r="AM7" s="62">
        <f t="shared" si="23"/>
        <v>6</v>
      </c>
      <c r="AO7" s="62">
        <f t="shared" si="24"/>
        <v>2011</v>
      </c>
      <c r="AP7" s="58">
        <f>AP6*(1+Calculator!$D$11)</f>
        <v>643.68415599813204</v>
      </c>
    </row>
    <row r="8" spans="1:42" x14ac:dyDescent="0.2">
      <c r="A8" s="68">
        <v>1973</v>
      </c>
      <c r="B8" s="67"/>
      <c r="C8" s="295"/>
      <c r="D8" s="64">
        <f t="shared" si="17"/>
        <v>1973</v>
      </c>
      <c r="E8" s="58">
        <f t="shared" si="12"/>
        <v>0</v>
      </c>
      <c r="F8" s="59" t="str">
        <f t="shared" si="13"/>
        <v>N</v>
      </c>
      <c r="G8" s="60">
        <f t="shared" ca="1" si="14"/>
        <v>46</v>
      </c>
      <c r="H8" s="60">
        <f t="shared" ca="1" si="15"/>
        <v>2012</v>
      </c>
      <c r="I8" s="60">
        <f t="shared" ca="1" si="0"/>
        <v>26600</v>
      </c>
      <c r="J8" s="58">
        <f t="shared" ca="1" si="1"/>
        <v>46</v>
      </c>
      <c r="K8" s="58">
        <f t="shared" ca="1" si="2"/>
        <v>2012</v>
      </c>
      <c r="L8" s="58">
        <f t="shared" ca="1" si="3"/>
        <v>26600</v>
      </c>
      <c r="M8" s="61">
        <f t="shared" ca="1" si="4"/>
        <v>10.188666494769791</v>
      </c>
      <c r="N8" s="61"/>
      <c r="O8" s="61"/>
      <c r="P8" s="61">
        <f ca="1">EXP(P6)-1</f>
        <v>1.5525611636785452E-2</v>
      </c>
      <c r="Q8" s="61">
        <f t="shared" ca="1" si="16"/>
        <v>29625</v>
      </c>
      <c r="R8" s="61">
        <f t="shared" ca="1" si="5"/>
        <v>29285.350624237435</v>
      </c>
      <c r="S8" s="61">
        <f t="shared" ca="1" si="6"/>
        <v>29203.155339805759</v>
      </c>
      <c r="T8" s="61">
        <f t="shared" ca="1" si="7"/>
        <v>29077.912663492458</v>
      </c>
      <c r="V8" s="61"/>
      <c r="W8" s="61"/>
      <c r="X8" s="61"/>
      <c r="Y8" s="61"/>
      <c r="AB8" s="62" t="b">
        <v>1</v>
      </c>
      <c r="AD8" s="62">
        <f t="shared" si="18"/>
        <v>2012</v>
      </c>
      <c r="AE8" s="58">
        <f>AE7*(1+Calculator!$D$6)</f>
        <v>644.78954052636698</v>
      </c>
      <c r="AF8" s="62">
        <f t="shared" si="19"/>
        <v>2011</v>
      </c>
      <c r="AG8" s="62">
        <f t="shared" si="20"/>
        <v>2011</v>
      </c>
      <c r="AH8" s="62">
        <f t="shared" si="21"/>
        <v>2011</v>
      </c>
      <c r="AI8" s="62">
        <f t="shared" si="22"/>
        <v>2011</v>
      </c>
      <c r="AJ8" s="62">
        <f t="shared" si="22"/>
        <v>2011</v>
      </c>
      <c r="AL8" s="62" t="str">
        <f>'AADT Input'!A11&amp;"- "&amp;'AADT Input'!B11</f>
        <v>12007- Providence/SR 1117 -   Union County</v>
      </c>
      <c r="AM8" s="62">
        <f t="shared" si="23"/>
        <v>7</v>
      </c>
      <c r="AO8" s="62">
        <f t="shared" si="24"/>
        <v>2012</v>
      </c>
      <c r="AP8" s="58">
        <f>AP7*(1+Calculator!$D$11)</f>
        <v>662.81514738012197</v>
      </c>
    </row>
    <row r="9" spans="1:42" x14ac:dyDescent="0.2">
      <c r="A9" s="55">
        <v>1974</v>
      </c>
      <c r="B9" s="66"/>
      <c r="C9" s="295"/>
      <c r="D9" s="64">
        <f t="shared" si="17"/>
        <v>1974</v>
      </c>
      <c r="E9" s="58">
        <f t="shared" si="12"/>
        <v>0</v>
      </c>
      <c r="F9" s="59" t="str">
        <f t="shared" si="13"/>
        <v>N</v>
      </c>
      <c r="G9" s="60">
        <f t="shared" ca="1" si="14"/>
        <v>47</v>
      </c>
      <c r="H9" s="60">
        <f t="shared" ca="1" si="15"/>
        <v>2013</v>
      </c>
      <c r="I9" s="60">
        <f t="shared" ca="1" si="0"/>
        <v>29000</v>
      </c>
      <c r="J9" s="58">
        <f t="shared" ca="1" si="1"/>
        <v>47</v>
      </c>
      <c r="K9" s="58">
        <f t="shared" ca="1" si="2"/>
        <v>2013</v>
      </c>
      <c r="L9" s="58">
        <f t="shared" ca="1" si="3"/>
        <v>29000</v>
      </c>
      <c r="M9" s="61">
        <f t="shared" ca="1" si="4"/>
        <v>10.275051108968611</v>
      </c>
      <c r="N9" s="61"/>
      <c r="O9" s="61"/>
      <c r="P9" s="63">
        <f ca="1">CORREL(L2:L17,K2:K17)^2</f>
        <v>0.63440678097793146</v>
      </c>
      <c r="Q9" s="61">
        <f t="shared" ca="1" si="16"/>
        <v>30187.5</v>
      </c>
      <c r="R9" s="61">
        <f t="shared" ca="1" si="5"/>
        <v>29874.066726755536</v>
      </c>
      <c r="S9" s="61">
        <f t="shared" ca="1" si="6"/>
        <v>29634.890776698943</v>
      </c>
      <c r="T9" s="61">
        <f t="shared" ca="1" si="7"/>
        <v>29529.365042714206</v>
      </c>
      <c r="V9" s="61"/>
      <c r="W9" s="61"/>
      <c r="X9" s="61"/>
      <c r="Y9" s="61"/>
      <c r="AB9" s="62" t="b">
        <v>1</v>
      </c>
      <c r="AD9" s="62">
        <f t="shared" si="18"/>
        <v>2013</v>
      </c>
      <c r="AE9" s="58">
        <f>AE8*(1+Calculator!$D$6)</f>
        <v>660.90927903952604</v>
      </c>
      <c r="AF9" s="62">
        <f t="shared" si="19"/>
        <v>2012</v>
      </c>
      <c r="AG9" s="62">
        <f t="shared" si="20"/>
        <v>2012</v>
      </c>
      <c r="AH9" s="62">
        <f t="shared" si="21"/>
        <v>2012</v>
      </c>
      <c r="AI9" s="62">
        <f t="shared" si="22"/>
        <v>2012</v>
      </c>
      <c r="AJ9" s="62">
        <f t="shared" si="22"/>
        <v>2012</v>
      </c>
      <c r="AL9" s="62" t="str">
        <f>'AADT Input'!A12&amp;"- "&amp;'AADT Input'!B12</f>
        <v>12008- Plyler Mill/SR 2156 -   Union County</v>
      </c>
      <c r="AM9" s="62">
        <f t="shared" si="23"/>
        <v>8</v>
      </c>
      <c r="AO9" s="62">
        <f t="shared" si="24"/>
        <v>2013</v>
      </c>
      <c r="AP9" s="58">
        <f>AP8*(1+Calculator!$D$11)</f>
        <v>682.51473257919952</v>
      </c>
    </row>
    <row r="10" spans="1:42" x14ac:dyDescent="0.2">
      <c r="A10" s="68">
        <v>1975</v>
      </c>
      <c r="B10" s="66"/>
      <c r="C10" s="295"/>
      <c r="D10" s="64">
        <f t="shared" si="17"/>
        <v>1975</v>
      </c>
      <c r="E10" s="58">
        <f t="shared" si="12"/>
        <v>0</v>
      </c>
      <c r="F10" s="59" t="str">
        <f t="shared" si="13"/>
        <v>N</v>
      </c>
      <c r="G10" s="60">
        <f t="shared" ca="1" si="14"/>
        <v>49</v>
      </c>
      <c r="H10" s="60">
        <f t="shared" ca="1" si="15"/>
        <v>2015</v>
      </c>
      <c r="I10" s="60">
        <f t="shared" ca="1" si="0"/>
        <v>30000</v>
      </c>
      <c r="J10" s="58">
        <f t="shared" ca="1" si="1"/>
        <v>49</v>
      </c>
      <c r="K10" s="58">
        <f t="shared" ca="1" si="2"/>
        <v>2015</v>
      </c>
      <c r="L10" s="58">
        <f t="shared" ca="1" si="3"/>
        <v>30000</v>
      </c>
      <c r="M10" s="61">
        <f t="shared" ca="1" si="4"/>
        <v>10.308952660644293</v>
      </c>
      <c r="N10" s="61"/>
      <c r="O10" s="61"/>
      <c r="P10" s="63">
        <f ca="1">CORREL(M2:M17,K2:K17)^2</f>
        <v>0.63139440932489566</v>
      </c>
      <c r="Q10" s="61">
        <f t="shared" ca="1" si="16"/>
        <v>31312.5</v>
      </c>
      <c r="R10" s="61">
        <f t="shared" ca="1" si="5"/>
        <v>31087.241283199026</v>
      </c>
      <c r="S10" s="61">
        <f t="shared" ca="1" si="6"/>
        <v>30498.361650485429</v>
      </c>
      <c r="T10" s="61">
        <f t="shared" ca="1" si="7"/>
        <v>30453.405844260302</v>
      </c>
      <c r="V10" s="61"/>
      <c r="W10" s="61"/>
      <c r="X10" s="61"/>
      <c r="Y10" s="61"/>
      <c r="AB10" s="62" t="b">
        <v>1</v>
      </c>
      <c r="AD10" s="62">
        <f t="shared" si="18"/>
        <v>2014</v>
      </c>
      <c r="AE10" s="58">
        <f>AE9*(1+Calculator!$D$6)</f>
        <v>677.43201101551415</v>
      </c>
      <c r="AF10" s="62">
        <f t="shared" si="19"/>
        <v>2013</v>
      </c>
      <c r="AG10" s="62">
        <f t="shared" si="20"/>
        <v>2013</v>
      </c>
      <c r="AH10" s="62">
        <f t="shared" si="21"/>
        <v>2013</v>
      </c>
      <c r="AI10" s="62">
        <f t="shared" si="22"/>
        <v>2013</v>
      </c>
      <c r="AJ10" s="62">
        <f t="shared" si="22"/>
        <v>2013</v>
      </c>
      <c r="AL10" s="62" t="str">
        <f>'AADT Input'!A13&amp;"- "&amp;'AADT Input'!B13</f>
        <v>12009- Landsford/SR 1005  -  Union County</v>
      </c>
      <c r="AM10" s="62">
        <f t="shared" si="23"/>
        <v>9</v>
      </c>
      <c r="AO10" s="62">
        <f t="shared" si="24"/>
        <v>2014</v>
      </c>
      <c r="AP10" s="58">
        <f>AP9*(1+Calculator!$D$11)</f>
        <v>702.7998108204165</v>
      </c>
    </row>
    <row r="11" spans="1:42" x14ac:dyDescent="0.2">
      <c r="A11" s="55">
        <v>1976</v>
      </c>
      <c r="B11" s="66"/>
      <c r="C11" s="295"/>
      <c r="D11" s="64">
        <f t="shared" si="17"/>
        <v>1976</v>
      </c>
      <c r="E11" s="58">
        <f t="shared" si="12"/>
        <v>0</v>
      </c>
      <c r="F11" s="59" t="str">
        <f t="shared" si="13"/>
        <v>N</v>
      </c>
      <c r="G11" s="60">
        <f t="shared" ca="1" si="14"/>
        <v>51</v>
      </c>
      <c r="H11" s="60">
        <f t="shared" ca="1" si="15"/>
        <v>2017</v>
      </c>
      <c r="I11" s="60">
        <f t="shared" ca="1" si="0"/>
        <v>32000</v>
      </c>
      <c r="J11" s="58">
        <f t="shared" ca="1" si="1"/>
        <v>51</v>
      </c>
      <c r="K11" s="58">
        <f t="shared" ca="1" si="2"/>
        <v>2017</v>
      </c>
      <c r="L11" s="58">
        <f t="shared" ca="1" si="3"/>
        <v>32000</v>
      </c>
      <c r="M11" s="61">
        <f t="shared" ca="1" si="4"/>
        <v>10.373491181781864</v>
      </c>
      <c r="N11" s="61"/>
      <c r="O11" s="61"/>
      <c r="P11" s="61">
        <f ca="1">COUNT(L2:L60)</f>
        <v>11</v>
      </c>
      <c r="Q11" s="61">
        <f t="shared" ca="1" si="16"/>
        <v>32437.5</v>
      </c>
      <c r="R11" s="61">
        <f t="shared" ca="1" si="5"/>
        <v>32349.682399761838</v>
      </c>
      <c r="S11" s="61">
        <f t="shared" ca="1" si="6"/>
        <v>31361.832524271798</v>
      </c>
      <c r="T11" s="61">
        <f t="shared" ca="1" si="7"/>
        <v>31406.361978109915</v>
      </c>
      <c r="V11" s="61"/>
      <c r="W11" s="61"/>
      <c r="X11" s="61"/>
      <c r="Y11" s="61"/>
      <c r="AB11" s="62" t="b">
        <v>0</v>
      </c>
      <c r="AD11" s="62">
        <f t="shared" si="18"/>
        <v>2015</v>
      </c>
      <c r="AE11" s="58">
        <f>AE10*(1+Calculator!$D$6)</f>
        <v>694.36781129090195</v>
      </c>
      <c r="AF11" s="62">
        <f t="shared" si="19"/>
        <v>2014</v>
      </c>
      <c r="AG11" s="62">
        <f t="shared" si="20"/>
        <v>2014</v>
      </c>
      <c r="AH11" s="62">
        <f t="shared" si="21"/>
        <v>2014</v>
      </c>
      <c r="AI11" s="62">
        <f t="shared" si="22"/>
        <v>2014</v>
      </c>
      <c r="AJ11" s="62">
        <f t="shared" si="22"/>
        <v>2014</v>
      </c>
      <c r="AL11" s="62" t="str">
        <f>'AADT Input'!A14&amp;"- "&amp;'AADT Input'!B14</f>
        <v>12010- US 601 &amp; Stack/SR 2115  -  Union County</v>
      </c>
      <c r="AM11" s="62">
        <f t="shared" si="23"/>
        <v>10</v>
      </c>
      <c r="AO11" s="62">
        <f t="shared" si="24"/>
        <v>2015</v>
      </c>
      <c r="AP11" s="58">
        <f>AP10*(1+Calculator!$D$11)</f>
        <v>723.6877835921257</v>
      </c>
    </row>
    <row r="12" spans="1:42" x14ac:dyDescent="0.2">
      <c r="A12" s="68">
        <v>1977</v>
      </c>
      <c r="B12" s="66"/>
      <c r="C12" s="295"/>
      <c r="D12" s="64">
        <f t="shared" si="17"/>
        <v>1977</v>
      </c>
      <c r="E12" s="58">
        <f t="shared" si="12"/>
        <v>0</v>
      </c>
      <c r="F12" s="59" t="str">
        <f t="shared" si="13"/>
        <v>N</v>
      </c>
      <c r="G12" s="60">
        <f t="shared" ca="1" si="14"/>
        <v>52</v>
      </c>
      <c r="H12" s="60">
        <f t="shared" ca="1" si="15"/>
        <v>2018</v>
      </c>
      <c r="I12" s="60">
        <f t="shared" ca="1" si="0"/>
        <v>33000</v>
      </c>
      <c r="J12" s="58">
        <f t="shared" ca="1" si="1"/>
        <v>52</v>
      </c>
      <c r="K12" s="58">
        <f t="shared" ca="1" si="2"/>
        <v>2018</v>
      </c>
      <c r="L12" s="58">
        <f t="shared" ca="1" si="3"/>
        <v>33000</v>
      </c>
      <c r="M12" s="61">
        <f t="shared" ca="1" si="4"/>
        <v>10.404262840448617</v>
      </c>
      <c r="N12" s="58"/>
      <c r="O12" s="58"/>
      <c r="P12" s="58">
        <f>VLOOKUP(STATION,'AADT Current'!AL2:AM301,2,FALSE)</f>
        <v>3</v>
      </c>
      <c r="Q12" s="61">
        <f t="shared" ca="1" si="16"/>
        <v>33000</v>
      </c>
      <c r="R12" s="61">
        <f t="shared" ca="1" si="5"/>
        <v>32999.999999999949</v>
      </c>
      <c r="S12" s="61">
        <f t="shared" ca="1" si="6"/>
        <v>31793.567961164983</v>
      </c>
      <c r="T12" s="61">
        <f t="shared" ca="1" si="7"/>
        <v>31893.964957106353</v>
      </c>
      <c r="V12" s="61"/>
      <c r="W12" s="61"/>
      <c r="X12" s="61"/>
      <c r="Y12" s="61"/>
      <c r="AB12" s="62" t="b">
        <v>0</v>
      </c>
      <c r="AD12" s="62">
        <f t="shared" si="18"/>
        <v>2016</v>
      </c>
      <c r="AE12" s="58">
        <f>AE11*(1+Calculator!$D$6)</f>
        <v>711.72700657317444</v>
      </c>
      <c r="AF12" s="62">
        <f t="shared" si="19"/>
        <v>2015</v>
      </c>
      <c r="AG12" s="62">
        <f t="shared" si="20"/>
        <v>2015</v>
      </c>
      <c r="AH12" s="62">
        <f t="shared" si="21"/>
        <v>2015</v>
      </c>
      <c r="AI12" s="62">
        <f t="shared" si="22"/>
        <v>2015</v>
      </c>
      <c r="AJ12" s="62">
        <f t="shared" si="22"/>
        <v>2015</v>
      </c>
      <c r="AL12" s="62" t="str">
        <f>'AADT Input'!A15&amp;"- "&amp;'AADT Input'!B15</f>
        <v>12011- White Store/SR 1003 -  Union County</v>
      </c>
      <c r="AM12" s="62">
        <f t="shared" si="23"/>
        <v>11</v>
      </c>
      <c r="AO12" s="62">
        <f t="shared" si="24"/>
        <v>2016</v>
      </c>
      <c r="AP12" s="58">
        <f>AP11*(1+Calculator!$D$11)</f>
        <v>745.1965695737905</v>
      </c>
    </row>
    <row r="13" spans="1:42" x14ac:dyDescent="0.2">
      <c r="A13" s="55">
        <v>1978</v>
      </c>
      <c r="B13" s="66"/>
      <c r="C13" s="295"/>
      <c r="D13" s="64">
        <f t="shared" si="17"/>
        <v>1978</v>
      </c>
      <c r="E13" s="58">
        <f t="shared" si="12"/>
        <v>0</v>
      </c>
      <c r="F13" s="59" t="str">
        <f t="shared" si="13"/>
        <v>N</v>
      </c>
      <c r="G13" s="60" t="e">
        <f t="shared" ca="1" si="14"/>
        <v>#N/A</v>
      </c>
      <c r="H13" s="60" t="e">
        <f t="shared" ca="1" si="15"/>
        <v>#N/A</v>
      </c>
      <c r="I13" s="60" t="e">
        <f t="shared" ca="1" si="0"/>
        <v>#N/A</v>
      </c>
      <c r="J13" s="58" t="str">
        <f t="shared" ca="1" si="1"/>
        <v/>
      </c>
      <c r="K13" s="58" t="str">
        <f t="shared" ca="1" si="2"/>
        <v/>
      </c>
      <c r="L13" s="58" t="str">
        <f t="shared" ca="1" si="3"/>
        <v/>
      </c>
      <c r="M13" s="61" t="str">
        <f t="shared" ca="1" si="4"/>
        <v/>
      </c>
      <c r="N13" s="61"/>
      <c r="O13" s="61"/>
      <c r="P13" s="58">
        <f>COUNTA('AADT Input'!B5:B277)</f>
        <v>86</v>
      </c>
      <c r="Q13" s="61" t="str">
        <f t="shared" ca="1" si="16"/>
        <v/>
      </c>
      <c r="R13" s="61" t="str">
        <f t="shared" ca="1" si="5"/>
        <v/>
      </c>
      <c r="S13" s="61" t="str">
        <f t="shared" ca="1" si="6"/>
        <v/>
      </c>
      <c r="T13" s="61" t="str">
        <f t="shared" ca="1" si="7"/>
        <v/>
      </c>
      <c r="V13" s="61"/>
      <c r="W13" s="61"/>
      <c r="AB13" s="62" t="b">
        <f>OR(AB7:AB12)</f>
        <v>1</v>
      </c>
      <c r="AD13" s="62">
        <f t="shared" si="18"/>
        <v>2017</v>
      </c>
      <c r="AE13" s="58">
        <f>AE12*(1+Calculator!$D$6)</f>
        <v>729.52018173750378</v>
      </c>
      <c r="AF13" s="62">
        <f t="shared" si="19"/>
        <v>2016</v>
      </c>
      <c r="AG13" s="62">
        <f t="shared" si="20"/>
        <v>2016</v>
      </c>
      <c r="AH13" s="62">
        <f t="shared" si="21"/>
        <v>2016</v>
      </c>
      <c r="AI13" s="62">
        <f t="shared" si="22"/>
        <v>2016</v>
      </c>
      <c r="AJ13" s="62">
        <f t="shared" si="22"/>
        <v>2016</v>
      </c>
      <c r="AL13" s="62" t="str">
        <f>'AADT Input'!A16&amp;"- "&amp;'AADT Input'!B16</f>
        <v>12012-  US 74  -   Union County</v>
      </c>
      <c r="AM13" s="62">
        <f t="shared" si="23"/>
        <v>12</v>
      </c>
      <c r="AO13" s="62">
        <f t="shared" si="24"/>
        <v>2017</v>
      </c>
      <c r="AP13" s="58">
        <f>AP12*(1+Calculator!$D$11)</f>
        <v>767.34462000746635</v>
      </c>
    </row>
    <row r="14" spans="1:42" x14ac:dyDescent="0.2">
      <c r="A14" s="68">
        <v>1979</v>
      </c>
      <c r="B14" s="66"/>
      <c r="C14" s="295"/>
      <c r="D14" s="64">
        <f t="shared" si="17"/>
        <v>1979</v>
      </c>
      <c r="E14" s="58">
        <f t="shared" si="12"/>
        <v>0</v>
      </c>
      <c r="F14" s="59" t="str">
        <f t="shared" si="13"/>
        <v>N</v>
      </c>
      <c r="G14" s="60" t="e">
        <f t="shared" ca="1" si="14"/>
        <v>#N/A</v>
      </c>
      <c r="H14" s="60" t="e">
        <f t="shared" ca="1" si="15"/>
        <v>#N/A</v>
      </c>
      <c r="I14" s="60" t="e">
        <f t="shared" ca="1" si="0"/>
        <v>#N/A</v>
      </c>
      <c r="J14" s="58" t="str">
        <f t="shared" ca="1" si="1"/>
        <v/>
      </c>
      <c r="K14" s="58" t="str">
        <f t="shared" ca="1" si="2"/>
        <v/>
      </c>
      <c r="L14" s="58" t="str">
        <f t="shared" ca="1" si="3"/>
        <v/>
      </c>
      <c r="M14" s="61" t="str">
        <f t="shared" ca="1" si="4"/>
        <v/>
      </c>
      <c r="N14" s="61"/>
      <c r="O14" s="61"/>
      <c r="P14" s="61"/>
      <c r="Q14" s="61" t="str">
        <f t="shared" ca="1" si="16"/>
        <v/>
      </c>
      <c r="R14" s="61" t="str">
        <f t="shared" ca="1" si="5"/>
        <v/>
      </c>
      <c r="S14" s="61" t="str">
        <f t="shared" ca="1" si="6"/>
        <v/>
      </c>
      <c r="T14" s="61" t="str">
        <f t="shared" ca="1" si="7"/>
        <v/>
      </c>
      <c r="V14" s="61"/>
      <c r="W14" s="61"/>
      <c r="AD14" s="62">
        <f t="shared" si="18"/>
        <v>2018</v>
      </c>
      <c r="AE14" s="58">
        <f>AE13*(1+Calculator!$D$6)</f>
        <v>747.75818628094135</v>
      </c>
      <c r="AF14" s="62">
        <f t="shared" si="19"/>
        <v>2017</v>
      </c>
      <c r="AG14" s="62">
        <f t="shared" si="20"/>
        <v>2017</v>
      </c>
      <c r="AH14" s="62">
        <f t="shared" si="21"/>
        <v>2017</v>
      </c>
      <c r="AI14" s="62">
        <f t="shared" si="22"/>
        <v>2017</v>
      </c>
      <c r="AJ14" s="62">
        <f t="shared" si="22"/>
        <v>2017</v>
      </c>
      <c r="AL14" s="62" t="str">
        <f>'AADT Input'!A17&amp;"- "&amp;'AADT Input'!B17</f>
        <v>12013- NC 218  -  Union County</v>
      </c>
      <c r="AM14" s="62">
        <f t="shared" si="23"/>
        <v>13</v>
      </c>
      <c r="AO14" s="62">
        <f t="shared" si="24"/>
        <v>2018</v>
      </c>
      <c r="AP14" s="58">
        <f>AP13*(1+Calculator!$D$11)</f>
        <v>790.15093452613814</v>
      </c>
    </row>
    <row r="15" spans="1:42" x14ac:dyDescent="0.2">
      <c r="A15" s="55">
        <v>1980</v>
      </c>
      <c r="B15" s="66"/>
      <c r="C15" s="295"/>
      <c r="D15" s="64">
        <f t="shared" si="17"/>
        <v>1980</v>
      </c>
      <c r="E15" s="58">
        <f t="shared" si="12"/>
        <v>0</v>
      </c>
      <c r="F15" s="59" t="str">
        <f t="shared" si="13"/>
        <v>N</v>
      </c>
      <c r="G15" s="60" t="e">
        <f t="shared" ca="1" si="14"/>
        <v>#N/A</v>
      </c>
      <c r="H15" s="60" t="e">
        <f t="shared" ca="1" si="15"/>
        <v>#N/A</v>
      </c>
      <c r="I15" s="60" t="e">
        <f t="shared" ca="1" si="0"/>
        <v>#N/A</v>
      </c>
      <c r="J15" s="58" t="str">
        <f t="shared" ca="1" si="1"/>
        <v/>
      </c>
      <c r="K15" s="58" t="str">
        <f t="shared" ca="1" si="2"/>
        <v/>
      </c>
      <c r="L15" s="58" t="str">
        <f t="shared" ca="1" si="3"/>
        <v/>
      </c>
      <c r="M15" s="61" t="str">
        <f t="shared" ca="1" si="4"/>
        <v/>
      </c>
      <c r="N15" s="61"/>
      <c r="O15" s="61"/>
      <c r="P15" s="61"/>
      <c r="Q15" s="61" t="str">
        <f t="shared" ca="1" si="16"/>
        <v/>
      </c>
      <c r="R15" s="61" t="str">
        <f t="shared" ca="1" si="5"/>
        <v/>
      </c>
      <c r="S15" s="61" t="str">
        <f t="shared" ca="1" si="6"/>
        <v/>
      </c>
      <c r="T15" s="61" t="str">
        <f t="shared" ca="1" si="7"/>
        <v/>
      </c>
      <c r="V15" s="61"/>
      <c r="W15" s="61"/>
      <c r="AD15" s="62">
        <f t="shared" si="18"/>
        <v>2019</v>
      </c>
      <c r="AE15" s="58">
        <f>AE14*(1+Calculator!$D$6)</f>
        <v>766.45214093796483</v>
      </c>
      <c r="AF15" s="62">
        <f t="shared" si="19"/>
        <v>2018</v>
      </c>
      <c r="AG15" s="62">
        <f t="shared" si="20"/>
        <v>2018</v>
      </c>
      <c r="AH15" s="62">
        <f t="shared" si="21"/>
        <v>2018</v>
      </c>
      <c r="AI15" s="62">
        <f t="shared" si="22"/>
        <v>2018</v>
      </c>
      <c r="AJ15" s="62">
        <f t="shared" si="22"/>
        <v>2018</v>
      </c>
      <c r="AL15" s="62" t="str">
        <f>'AADT Input'!A18&amp;"- "&amp;'AADT Input'!B18</f>
        <v>12014- Peachland/SR 1735  -  Union County</v>
      </c>
      <c r="AM15" s="62">
        <f t="shared" si="23"/>
        <v>14</v>
      </c>
      <c r="AO15" s="62">
        <f t="shared" si="24"/>
        <v>2019</v>
      </c>
      <c r="AP15" s="58">
        <f>AP14*(1+Calculator!$D$11)</f>
        <v>813.63507745249399</v>
      </c>
    </row>
    <row r="16" spans="1:42" x14ac:dyDescent="0.2">
      <c r="A16" s="68">
        <v>1981</v>
      </c>
      <c r="B16" s="66"/>
      <c r="C16" s="295"/>
      <c r="D16" s="64">
        <f t="shared" si="17"/>
        <v>1981</v>
      </c>
      <c r="E16" s="58">
        <f t="shared" si="12"/>
        <v>0</v>
      </c>
      <c r="F16" s="59" t="str">
        <f t="shared" si="13"/>
        <v>N</v>
      </c>
      <c r="G16" s="60" t="e">
        <f t="shared" ca="1" si="14"/>
        <v>#N/A</v>
      </c>
      <c r="H16" s="60" t="e">
        <f t="shared" ca="1" si="15"/>
        <v>#N/A</v>
      </c>
      <c r="I16" s="60" t="e">
        <f t="shared" ca="1" si="0"/>
        <v>#N/A</v>
      </c>
      <c r="J16" s="58" t="str">
        <f t="shared" ca="1" si="1"/>
        <v/>
      </c>
      <c r="K16" s="58" t="str">
        <f t="shared" ca="1" si="2"/>
        <v/>
      </c>
      <c r="L16" s="58" t="str">
        <f t="shared" ca="1" si="3"/>
        <v/>
      </c>
      <c r="M16" s="61" t="str">
        <f t="shared" ca="1" si="4"/>
        <v/>
      </c>
      <c r="N16" s="61"/>
      <c r="O16" s="61"/>
      <c r="P16" s="61"/>
      <c r="Q16" s="61" t="str">
        <f t="shared" ca="1" si="16"/>
        <v/>
      </c>
      <c r="R16" s="61" t="str">
        <f t="shared" ca="1" si="5"/>
        <v/>
      </c>
      <c r="S16" s="61" t="str">
        <f t="shared" ca="1" si="6"/>
        <v/>
      </c>
      <c r="T16" s="61" t="str">
        <f t="shared" ca="1" si="7"/>
        <v/>
      </c>
      <c r="V16" s="61"/>
      <c r="W16" s="61"/>
      <c r="AD16" s="62">
        <f t="shared" si="18"/>
        <v>2020</v>
      </c>
      <c r="AE16" s="58">
        <f>AE15*(1+Calculator!$D$6)</f>
        <v>785.61344446141391</v>
      </c>
      <c r="AF16" s="62">
        <f t="shared" si="19"/>
        <v>2019</v>
      </c>
      <c r="AG16" s="62">
        <f t="shared" si="20"/>
        <v>2019</v>
      </c>
      <c r="AH16" s="62">
        <f t="shared" si="21"/>
        <v>2019</v>
      </c>
      <c r="AI16" s="62">
        <f t="shared" si="22"/>
        <v>2019</v>
      </c>
      <c r="AJ16" s="62">
        <f t="shared" si="22"/>
        <v>2019</v>
      </c>
      <c r="AL16" s="62" t="str">
        <f>'AADT Input'!A19&amp;"- "&amp;'AADT Input'!B19</f>
        <v>12015- SC 49/Lockhart Rd  - York Co SC</v>
      </c>
      <c r="AM16" s="62">
        <f t="shared" si="23"/>
        <v>15</v>
      </c>
      <c r="AO16" s="62">
        <f t="shared" si="24"/>
        <v>2020</v>
      </c>
      <c r="AP16" s="58">
        <f>AP15*(1+Calculator!$D$11)</f>
        <v>837.81719458211546</v>
      </c>
    </row>
    <row r="17" spans="1:42" x14ac:dyDescent="0.2">
      <c r="A17" s="55">
        <v>1982</v>
      </c>
      <c r="B17" s="66"/>
      <c r="C17" s="295"/>
      <c r="D17" s="64">
        <f t="shared" si="17"/>
        <v>1982</v>
      </c>
      <c r="E17" s="58">
        <f t="shared" si="12"/>
        <v>0</v>
      </c>
      <c r="F17" s="59" t="str">
        <f t="shared" si="13"/>
        <v>N</v>
      </c>
      <c r="G17" s="60" t="e">
        <f t="shared" ca="1" si="14"/>
        <v>#N/A</v>
      </c>
      <c r="H17" s="60" t="e">
        <f t="shared" ca="1" si="15"/>
        <v>#N/A</v>
      </c>
      <c r="I17" s="60" t="e">
        <f t="shared" ca="1" si="0"/>
        <v>#N/A</v>
      </c>
      <c r="J17" s="58" t="str">
        <f t="shared" ca="1" si="1"/>
        <v/>
      </c>
      <c r="K17" s="58" t="str">
        <f t="shared" ca="1" si="2"/>
        <v/>
      </c>
      <c r="L17" s="58" t="str">
        <f t="shared" ca="1" si="3"/>
        <v/>
      </c>
      <c r="M17" s="61" t="str">
        <f t="shared" ca="1" si="4"/>
        <v/>
      </c>
      <c r="N17" s="61"/>
      <c r="O17" s="61"/>
      <c r="P17" s="61"/>
      <c r="Q17" s="61" t="str">
        <f t="shared" ca="1" si="16"/>
        <v/>
      </c>
      <c r="R17" s="61" t="str">
        <f t="shared" ca="1" si="5"/>
        <v/>
      </c>
      <c r="S17" s="61" t="str">
        <f t="shared" ca="1" si="6"/>
        <v/>
      </c>
      <c r="T17" s="61" t="str">
        <f t="shared" ca="1" si="7"/>
        <v/>
      </c>
      <c r="W17" s="61"/>
      <c r="AD17" s="62">
        <f t="shared" si="18"/>
        <v>2021</v>
      </c>
      <c r="AE17" s="58">
        <f>AE16*(1+Calculator!$D$6)</f>
        <v>805.25378057294915</v>
      </c>
      <c r="AF17" s="62">
        <f t="shared" si="19"/>
        <v>2020</v>
      </c>
      <c r="AG17" s="62">
        <f t="shared" si="20"/>
        <v>2020</v>
      </c>
      <c r="AH17" s="62">
        <f t="shared" si="21"/>
        <v>2020</v>
      </c>
      <c r="AI17" s="62">
        <f t="shared" si="22"/>
        <v>2020</v>
      </c>
      <c r="AJ17" s="62">
        <f t="shared" si="22"/>
        <v>2020</v>
      </c>
      <c r="AL17" s="62" t="str">
        <f>'AADT Input'!A20&amp;"- "&amp;'AADT Input'!B20</f>
        <v>12016- SC 97  - York Co SC</v>
      </c>
      <c r="AM17" s="62">
        <f t="shared" si="23"/>
        <v>16</v>
      </c>
      <c r="AO17" s="62">
        <f t="shared" si="24"/>
        <v>2021</v>
      </c>
      <c r="AP17" s="58">
        <f>AP16*(1+Calculator!$D$11)</f>
        <v>862.71803046548303</v>
      </c>
    </row>
    <row r="18" spans="1:42" x14ac:dyDescent="0.2">
      <c r="A18" s="68">
        <v>1983</v>
      </c>
      <c r="B18" s="66"/>
      <c r="C18" s="295"/>
      <c r="D18" s="64">
        <f t="shared" si="17"/>
        <v>1983</v>
      </c>
      <c r="E18" s="58">
        <f t="shared" si="12"/>
        <v>0</v>
      </c>
      <c r="F18" s="59" t="str">
        <f t="shared" si="13"/>
        <v>N</v>
      </c>
      <c r="G18" s="60" t="e">
        <f t="shared" ca="1" si="14"/>
        <v>#N/A</v>
      </c>
      <c r="H18" s="60" t="e">
        <f t="shared" ca="1" si="15"/>
        <v>#N/A</v>
      </c>
      <c r="I18" s="60" t="e">
        <f t="shared" ca="1" si="0"/>
        <v>#N/A</v>
      </c>
      <c r="J18" s="58" t="str">
        <f t="shared" ca="1" si="1"/>
        <v/>
      </c>
      <c r="K18" s="58" t="str">
        <f t="shared" ca="1" si="2"/>
        <v/>
      </c>
      <c r="L18" s="58" t="str">
        <f t="shared" ca="1" si="3"/>
        <v/>
      </c>
      <c r="M18" s="61" t="str">
        <f t="shared" ca="1" si="4"/>
        <v/>
      </c>
      <c r="N18" s="61"/>
      <c r="O18" s="61"/>
      <c r="P18" s="61"/>
      <c r="Q18" s="61" t="str">
        <f t="shared" ca="1" si="16"/>
        <v/>
      </c>
      <c r="R18" s="61" t="str">
        <f t="shared" ca="1" si="5"/>
        <v/>
      </c>
      <c r="S18" s="61" t="str">
        <f t="shared" ca="1" si="6"/>
        <v/>
      </c>
      <c r="T18" s="61" t="str">
        <f t="shared" ca="1" si="7"/>
        <v/>
      </c>
      <c r="AD18" s="62">
        <f t="shared" si="18"/>
        <v>2022</v>
      </c>
      <c r="AE18" s="58">
        <f>AE17*(1+Calculator!$D$6)</f>
        <v>825.38512508727285</v>
      </c>
      <c r="AF18" s="62">
        <f t="shared" si="19"/>
        <v>2021</v>
      </c>
      <c r="AG18" s="62">
        <f t="shared" si="20"/>
        <v>2021</v>
      </c>
      <c r="AH18" s="62">
        <f t="shared" si="21"/>
        <v>2021</v>
      </c>
      <c r="AI18" s="62">
        <f t="shared" si="22"/>
        <v>2021</v>
      </c>
      <c r="AJ18" s="62">
        <f t="shared" si="22"/>
        <v>2021</v>
      </c>
      <c r="AL18" s="62" t="str">
        <f>'AADT Input'!A21&amp;"- "&amp;'AADT Input'!B21</f>
        <v>12017- NC 222 -     Union County</v>
      </c>
      <c r="AM18" s="62">
        <f t="shared" si="23"/>
        <v>17</v>
      </c>
      <c r="AO18" s="62">
        <f t="shared" si="24"/>
        <v>2022</v>
      </c>
      <c r="AP18" s="58">
        <f>AP17*(1+Calculator!$D$11)</f>
        <v>888.35894620362092</v>
      </c>
    </row>
    <row r="19" spans="1:42" x14ac:dyDescent="0.2">
      <c r="A19" s="55">
        <v>1984</v>
      </c>
      <c r="B19" s="66"/>
      <c r="C19" s="295"/>
      <c r="D19" s="64">
        <f t="shared" si="17"/>
        <v>1984</v>
      </c>
      <c r="E19" s="58">
        <f t="shared" si="12"/>
        <v>0</v>
      </c>
      <c r="F19" s="59" t="str">
        <f t="shared" si="13"/>
        <v>N</v>
      </c>
      <c r="G19" s="60" t="e">
        <f t="shared" ca="1" si="14"/>
        <v>#N/A</v>
      </c>
      <c r="H19" s="60" t="e">
        <f t="shared" ca="1" si="15"/>
        <v>#N/A</v>
      </c>
      <c r="I19" s="60" t="e">
        <f t="shared" ca="1" si="0"/>
        <v>#N/A</v>
      </c>
      <c r="J19" s="58" t="str">
        <f t="shared" ca="1" si="1"/>
        <v/>
      </c>
      <c r="K19" s="58" t="str">
        <f t="shared" ca="1" si="2"/>
        <v/>
      </c>
      <c r="L19" s="58" t="str">
        <f t="shared" ca="1" si="3"/>
        <v/>
      </c>
      <c r="M19" s="61" t="str">
        <f t="shared" ca="1" si="4"/>
        <v/>
      </c>
      <c r="N19" s="61"/>
      <c r="O19" s="61"/>
      <c r="P19" s="61"/>
      <c r="Q19" s="61" t="str">
        <f t="shared" ca="1" si="16"/>
        <v/>
      </c>
      <c r="R19" s="61" t="str">
        <f t="shared" ca="1" si="5"/>
        <v/>
      </c>
      <c r="S19" s="61" t="str">
        <f t="shared" ca="1" si="6"/>
        <v/>
      </c>
      <c r="T19" s="61" t="str">
        <f t="shared" ca="1" si="7"/>
        <v/>
      </c>
      <c r="AD19" s="62">
        <f t="shared" si="18"/>
        <v>2023</v>
      </c>
      <c r="AE19" s="58">
        <f>AE18*(1+Calculator!$D$6)</f>
        <v>846.01975321445457</v>
      </c>
      <c r="AF19" s="62">
        <f t="shared" si="19"/>
        <v>2022</v>
      </c>
      <c r="AG19" s="62">
        <f t="shared" si="20"/>
        <v>2022</v>
      </c>
      <c r="AH19" s="62">
        <f t="shared" si="21"/>
        <v>2022</v>
      </c>
      <c r="AI19" s="62">
        <f t="shared" si="22"/>
        <v>2022</v>
      </c>
      <c r="AJ19" s="62">
        <f t="shared" si="22"/>
        <v>2022</v>
      </c>
      <c r="AL19" s="62" t="str">
        <f>'AADT Input'!A22&amp;"- "&amp;'AADT Input'!B22</f>
        <v>12018- SC 211/Irene Bridge HWY  - York Co SC</v>
      </c>
      <c r="AM19" s="62">
        <f t="shared" si="23"/>
        <v>18</v>
      </c>
      <c r="AO19" s="62">
        <f t="shared" si="24"/>
        <v>2023</v>
      </c>
      <c r="AP19" s="58">
        <f>AP18*(1+Calculator!$D$11)</f>
        <v>914.76193777264825</v>
      </c>
    </row>
    <row r="20" spans="1:42" x14ac:dyDescent="0.2">
      <c r="A20" s="68">
        <v>1985</v>
      </c>
      <c r="B20" s="66"/>
      <c r="C20" s="295"/>
      <c r="D20" s="64">
        <f t="shared" si="17"/>
        <v>1985</v>
      </c>
      <c r="E20" s="58">
        <f t="shared" si="12"/>
        <v>0</v>
      </c>
      <c r="F20" s="59" t="str">
        <f t="shared" si="13"/>
        <v>N</v>
      </c>
      <c r="G20" s="60" t="e">
        <f t="shared" ca="1" si="14"/>
        <v>#N/A</v>
      </c>
      <c r="H20" s="60" t="e">
        <f t="shared" ca="1" si="15"/>
        <v>#N/A</v>
      </c>
      <c r="I20" s="60" t="e">
        <f t="shared" ca="1" si="0"/>
        <v>#N/A</v>
      </c>
      <c r="J20" s="58" t="str">
        <f t="shared" ca="1" si="1"/>
        <v/>
      </c>
      <c r="K20" s="58" t="str">
        <f t="shared" ca="1" si="2"/>
        <v/>
      </c>
      <c r="L20" s="58" t="str">
        <f t="shared" ca="1" si="3"/>
        <v/>
      </c>
      <c r="M20" s="61" t="str">
        <f t="shared" ca="1" si="4"/>
        <v/>
      </c>
      <c r="N20" s="61"/>
      <c r="O20" s="61"/>
      <c r="P20" s="61"/>
      <c r="Q20" s="61" t="str">
        <f t="shared" ca="1" si="16"/>
        <v/>
      </c>
      <c r="R20" s="61" t="str">
        <f t="shared" ca="1" si="5"/>
        <v/>
      </c>
      <c r="S20" s="61" t="str">
        <f t="shared" ca="1" si="6"/>
        <v/>
      </c>
      <c r="T20" s="61" t="str">
        <f t="shared" ca="1" si="7"/>
        <v/>
      </c>
      <c r="AD20" s="62">
        <f t="shared" si="18"/>
        <v>2024</v>
      </c>
      <c r="AE20" s="58">
        <f>AE19*(1+Calculator!$D$6)</f>
        <v>867.17024704481582</v>
      </c>
      <c r="AF20" s="62">
        <f t="shared" si="19"/>
        <v>2023</v>
      </c>
      <c r="AG20" s="62">
        <f t="shared" si="20"/>
        <v>2023</v>
      </c>
      <c r="AH20" s="62">
        <f t="shared" si="21"/>
        <v>2023</v>
      </c>
      <c r="AI20" s="62">
        <f t="shared" si="22"/>
        <v>2023</v>
      </c>
      <c r="AJ20" s="62">
        <f t="shared" si="22"/>
        <v>2023</v>
      </c>
      <c r="AL20" s="62" t="str">
        <f>'AADT Input'!A23&amp;"- "&amp;'AADT Input'!B23</f>
        <v>12019- US 321/Chester Hwy  - York Co SC</v>
      </c>
      <c r="AM20" s="62">
        <f t="shared" si="23"/>
        <v>19</v>
      </c>
      <c r="AO20" s="62">
        <f t="shared" si="24"/>
        <v>2024</v>
      </c>
      <c r="AP20" s="58">
        <f>AP19*(1+Calculator!$D$11)</f>
        <v>941.94965489295555</v>
      </c>
    </row>
    <row r="21" spans="1:42" x14ac:dyDescent="0.2">
      <c r="A21" s="55">
        <v>1986</v>
      </c>
      <c r="B21" s="66"/>
      <c r="C21" s="295"/>
      <c r="D21" s="64">
        <f t="shared" si="17"/>
        <v>1986</v>
      </c>
      <c r="E21" s="58">
        <f t="shared" si="12"/>
        <v>0</v>
      </c>
      <c r="F21" s="59" t="str">
        <f t="shared" si="13"/>
        <v>N</v>
      </c>
      <c r="G21" s="60" t="e">
        <f t="shared" ca="1" si="14"/>
        <v>#N/A</v>
      </c>
      <c r="H21" s="60" t="e">
        <f t="shared" ca="1" si="15"/>
        <v>#N/A</v>
      </c>
      <c r="I21" s="60" t="e">
        <f t="shared" ca="1" si="0"/>
        <v>#N/A</v>
      </c>
      <c r="J21" s="58" t="str">
        <f t="shared" ca="1" si="1"/>
        <v/>
      </c>
      <c r="K21" s="58" t="str">
        <f t="shared" ca="1" si="2"/>
        <v/>
      </c>
      <c r="L21" s="58" t="str">
        <f t="shared" ca="1" si="3"/>
        <v/>
      </c>
      <c r="M21" s="61" t="str">
        <f t="shared" ca="1" si="4"/>
        <v/>
      </c>
      <c r="N21" s="61"/>
      <c r="O21" s="61"/>
      <c r="P21" s="61"/>
      <c r="Q21" s="61" t="str">
        <f t="shared" ca="1" si="16"/>
        <v/>
      </c>
      <c r="R21" s="61" t="str">
        <f t="shared" ca="1" si="5"/>
        <v/>
      </c>
      <c r="S21" s="61" t="str">
        <f t="shared" ca="1" si="6"/>
        <v/>
      </c>
      <c r="T21" s="61" t="str">
        <f t="shared" ca="1" si="7"/>
        <v/>
      </c>
      <c r="AD21" s="62">
        <f t="shared" si="18"/>
        <v>2025</v>
      </c>
      <c r="AE21" s="58">
        <f>AE20*(1+Calculator!$D$6)</f>
        <v>888.84950322093619</v>
      </c>
      <c r="AF21" s="62">
        <f t="shared" si="19"/>
        <v>2024</v>
      </c>
      <c r="AG21" s="62">
        <f t="shared" si="20"/>
        <v>2024</v>
      </c>
      <c r="AH21" s="62">
        <f t="shared" si="21"/>
        <v>2024</v>
      </c>
      <c r="AI21" s="62">
        <f t="shared" si="22"/>
        <v>2024</v>
      </c>
      <c r="AJ21" s="62">
        <f t="shared" si="22"/>
        <v>2024</v>
      </c>
      <c r="AL21" s="62" t="str">
        <f>'AADT Input'!A24&amp;"- "&amp;'AADT Input'!B24</f>
        <v>12020- S-165/Brattonsville Rd  - York Co SC</v>
      </c>
      <c r="AM21" s="62">
        <f t="shared" si="23"/>
        <v>20</v>
      </c>
      <c r="AO21" s="62">
        <f t="shared" si="24"/>
        <v>2025</v>
      </c>
      <c r="AP21" s="58">
        <f>AP20*(1+Calculator!$D$11)</f>
        <v>969.94542045919366</v>
      </c>
    </row>
    <row r="22" spans="1:42" x14ac:dyDescent="0.2">
      <c r="A22" s="68">
        <v>1987</v>
      </c>
      <c r="B22" s="66"/>
      <c r="C22" s="295"/>
      <c r="D22" s="64">
        <f t="shared" si="17"/>
        <v>1987</v>
      </c>
      <c r="E22" s="58">
        <f t="shared" si="12"/>
        <v>0</v>
      </c>
      <c r="F22" s="59" t="str">
        <f t="shared" si="13"/>
        <v>N</v>
      </c>
      <c r="G22" s="60" t="e">
        <f t="shared" ca="1" si="14"/>
        <v>#N/A</v>
      </c>
      <c r="H22" s="60" t="e">
        <f t="shared" ca="1" si="15"/>
        <v>#N/A</v>
      </c>
      <c r="I22" s="60" t="e">
        <f t="shared" ca="1" si="0"/>
        <v>#N/A</v>
      </c>
      <c r="J22" s="58" t="str">
        <f t="shared" ca="1" si="1"/>
        <v/>
      </c>
      <c r="K22" s="58" t="str">
        <f ca="1">IF(ISNA(H22),"",H22)</f>
        <v/>
      </c>
      <c r="L22" s="58" t="str">
        <f t="shared" ca="1" si="3"/>
        <v/>
      </c>
      <c r="M22" s="61" t="str">
        <f t="shared" ca="1" si="4"/>
        <v/>
      </c>
      <c r="N22" s="61"/>
      <c r="O22" s="61"/>
      <c r="P22" s="61"/>
      <c r="Q22" s="61" t="str">
        <f t="shared" ca="1" si="16"/>
        <v/>
      </c>
      <c r="R22" s="61" t="str">
        <f t="shared" ca="1" si="5"/>
        <v/>
      </c>
      <c r="S22" s="61" t="str">
        <f t="shared" ca="1" si="6"/>
        <v/>
      </c>
      <c r="T22" s="61" t="str">
        <f t="shared" ca="1" si="7"/>
        <v/>
      </c>
      <c r="AD22" s="62">
        <f t="shared" si="18"/>
        <v>2026</v>
      </c>
      <c r="AE22" s="58">
        <f>AE21*(1+Calculator!$D$6)</f>
        <v>911.07074080145946</v>
      </c>
      <c r="AF22" s="62">
        <f t="shared" si="19"/>
        <v>2025</v>
      </c>
      <c r="AG22" s="62">
        <f t="shared" si="20"/>
        <v>2025</v>
      </c>
      <c r="AH22" s="62">
        <f t="shared" si="21"/>
        <v>2025</v>
      </c>
      <c r="AI22" s="62">
        <f t="shared" si="22"/>
        <v>2025</v>
      </c>
      <c r="AJ22" s="62">
        <f t="shared" si="22"/>
        <v>2025</v>
      </c>
      <c r="AL22" s="62" t="str">
        <f>'AADT Input'!A25&amp;"- "&amp;'AADT Input'!B25</f>
        <v>12021- SC 72/Saluda Rd  - York Co SC</v>
      </c>
      <c r="AM22" s="62">
        <f t="shared" si="23"/>
        <v>21</v>
      </c>
      <c r="AO22" s="62">
        <f t="shared" si="24"/>
        <v>2026</v>
      </c>
      <c r="AP22" s="58">
        <f>AP21*(1+Calculator!$D$11)</f>
        <v>998.77325054774303</v>
      </c>
    </row>
    <row r="23" spans="1:42" x14ac:dyDescent="0.2">
      <c r="A23" s="55">
        <v>1988</v>
      </c>
      <c r="B23" s="66"/>
      <c r="C23" s="295"/>
      <c r="D23" s="64">
        <f t="shared" si="17"/>
        <v>1988</v>
      </c>
      <c r="E23" s="58">
        <f t="shared" si="12"/>
        <v>0</v>
      </c>
      <c r="F23" s="59" t="str">
        <f t="shared" si="13"/>
        <v>N</v>
      </c>
      <c r="G23" s="60" t="e">
        <f t="shared" ca="1" si="14"/>
        <v>#N/A</v>
      </c>
      <c r="H23" s="60" t="e">
        <f t="shared" ca="1" si="15"/>
        <v>#N/A</v>
      </c>
      <c r="I23" s="60" t="e">
        <f t="shared" ca="1" si="0"/>
        <v>#N/A</v>
      </c>
      <c r="J23" s="58" t="str">
        <f t="shared" ca="1" si="1"/>
        <v/>
      </c>
      <c r="K23" s="58" t="str">
        <f t="shared" ca="1" si="2"/>
        <v/>
      </c>
      <c r="L23" s="58" t="str">
        <f t="shared" ca="1" si="3"/>
        <v/>
      </c>
      <c r="M23" s="61" t="str">
        <f t="shared" ca="1" si="4"/>
        <v/>
      </c>
      <c r="N23" s="61"/>
      <c r="O23" s="61"/>
      <c r="P23" s="61"/>
      <c r="Q23" s="61" t="str">
        <f t="shared" ca="1" si="16"/>
        <v/>
      </c>
      <c r="R23" s="61" t="str">
        <f t="shared" ca="1" si="5"/>
        <v/>
      </c>
      <c r="S23" s="61" t="str">
        <f t="shared" ca="1" si="6"/>
        <v/>
      </c>
      <c r="T23" s="61" t="str">
        <f t="shared" ca="1" si="7"/>
        <v/>
      </c>
      <c r="AD23" s="62">
        <f t="shared" si="18"/>
        <v>2027</v>
      </c>
      <c r="AE23" s="58">
        <f>AE22*(1+Calculator!$D$6)</f>
        <v>933.84750932149586</v>
      </c>
      <c r="AF23" s="62">
        <f t="shared" si="19"/>
        <v>2026</v>
      </c>
      <c r="AG23" s="62">
        <f t="shared" si="20"/>
        <v>2026</v>
      </c>
      <c r="AH23" s="62">
        <f t="shared" si="21"/>
        <v>2026</v>
      </c>
      <c r="AI23" s="62">
        <f t="shared" si="22"/>
        <v>2026</v>
      </c>
      <c r="AJ23" s="62">
        <f t="shared" si="22"/>
        <v>2026</v>
      </c>
      <c r="AL23" s="62" t="str">
        <f>'AADT Input'!A26&amp;"- "&amp;'AADT Input'!B26</f>
        <v>12022- I-77 - York Co SC</v>
      </c>
      <c r="AM23" s="62">
        <f t="shared" si="23"/>
        <v>22</v>
      </c>
      <c r="AO23" s="62">
        <f t="shared" si="24"/>
        <v>2027</v>
      </c>
      <c r="AP23" s="58">
        <f>AP22*(1+Calculator!$D$11)</f>
        <v>1028.4578750188266</v>
      </c>
    </row>
    <row r="24" spans="1:42" x14ac:dyDescent="0.2">
      <c r="A24" s="68">
        <v>1989</v>
      </c>
      <c r="B24" s="66"/>
      <c r="C24" s="295"/>
      <c r="D24" s="64">
        <f t="shared" si="17"/>
        <v>1989</v>
      </c>
      <c r="E24" s="58">
        <f t="shared" si="12"/>
        <v>0</v>
      </c>
      <c r="F24" s="59" t="str">
        <f t="shared" si="13"/>
        <v>N</v>
      </c>
      <c r="G24" s="60" t="e">
        <f t="shared" ca="1" si="14"/>
        <v>#N/A</v>
      </c>
      <c r="H24" s="60" t="e">
        <f t="shared" ca="1" si="15"/>
        <v>#N/A</v>
      </c>
      <c r="I24" s="60" t="e">
        <f t="shared" ca="1" si="0"/>
        <v>#N/A</v>
      </c>
      <c r="J24" s="58" t="str">
        <f t="shared" ca="1" si="1"/>
        <v/>
      </c>
      <c r="K24" s="58" t="str">
        <f t="shared" ca="1" si="2"/>
        <v/>
      </c>
      <c r="L24" s="58" t="str">
        <f t="shared" ca="1" si="3"/>
        <v/>
      </c>
      <c r="M24" s="61" t="str">
        <f t="shared" ca="1" si="4"/>
        <v/>
      </c>
      <c r="N24" s="61"/>
      <c r="O24" s="61"/>
      <c r="P24" s="61"/>
      <c r="Q24" s="61" t="str">
        <f t="shared" ca="1" si="16"/>
        <v/>
      </c>
      <c r="R24" s="61" t="str">
        <f t="shared" ca="1" si="5"/>
        <v/>
      </c>
      <c r="S24" s="61" t="str">
        <f t="shared" ca="1" si="6"/>
        <v/>
      </c>
      <c r="T24" s="61" t="str">
        <f t="shared" ca="1" si="7"/>
        <v/>
      </c>
      <c r="AD24" s="62">
        <f t="shared" si="18"/>
        <v>2028</v>
      </c>
      <c r="AE24" s="58">
        <f>AE23*(1+Calculator!$D$6)</f>
        <v>957.19369705453323</v>
      </c>
      <c r="AF24" s="62">
        <f t="shared" si="19"/>
        <v>2027</v>
      </c>
      <c r="AG24" s="62">
        <f t="shared" si="20"/>
        <v>2027</v>
      </c>
      <c r="AH24" s="62">
        <f t="shared" si="21"/>
        <v>2027</v>
      </c>
      <c r="AI24" s="62">
        <f t="shared" si="22"/>
        <v>2027</v>
      </c>
      <c r="AJ24" s="62">
        <f t="shared" si="22"/>
        <v>2027</v>
      </c>
      <c r="AL24" s="62" t="str">
        <f>'AADT Input'!A27&amp;"- "&amp;'AADT Input'!B27</f>
        <v>12023- US 21  - York Co SC</v>
      </c>
      <c r="AM24" s="62">
        <f t="shared" si="23"/>
        <v>23</v>
      </c>
      <c r="AO24" s="62">
        <f t="shared" si="24"/>
        <v>2028</v>
      </c>
      <c r="AP24" s="58">
        <f>AP23*(1+Calculator!$D$11)</f>
        <v>1059.0247587309402</v>
      </c>
    </row>
    <row r="25" spans="1:42" x14ac:dyDescent="0.2">
      <c r="A25" s="55">
        <v>1990</v>
      </c>
      <c r="B25" s="66"/>
      <c r="C25" s="295"/>
      <c r="D25" s="64">
        <f t="shared" si="17"/>
        <v>1990</v>
      </c>
      <c r="E25" s="58">
        <f t="shared" si="12"/>
        <v>0</v>
      </c>
      <c r="F25" s="59" t="str">
        <f t="shared" si="13"/>
        <v>N</v>
      </c>
      <c r="G25" s="60" t="e">
        <f t="shared" ca="1" si="14"/>
        <v>#N/A</v>
      </c>
      <c r="H25" s="60" t="e">
        <f t="shared" ca="1" si="15"/>
        <v>#N/A</v>
      </c>
      <c r="I25" s="60" t="e">
        <f t="shared" ca="1" si="0"/>
        <v>#N/A</v>
      </c>
      <c r="J25" s="58" t="str">
        <f t="shared" ca="1" si="1"/>
        <v/>
      </c>
      <c r="K25" s="58" t="str">
        <f t="shared" ca="1" si="2"/>
        <v/>
      </c>
      <c r="L25" s="58" t="str">
        <f t="shared" ca="1" si="3"/>
        <v/>
      </c>
      <c r="M25" s="61" t="str">
        <f t="shared" ca="1" si="4"/>
        <v/>
      </c>
      <c r="N25" s="61"/>
      <c r="O25" s="61"/>
      <c r="P25" s="61"/>
      <c r="Q25" s="61" t="str">
        <f t="shared" ca="1" si="16"/>
        <v/>
      </c>
      <c r="R25" s="61" t="str">
        <f t="shared" ca="1" si="5"/>
        <v/>
      </c>
      <c r="S25" s="61" t="str">
        <f t="shared" ca="1" si="6"/>
        <v/>
      </c>
      <c r="T25" s="61" t="str">
        <f t="shared" ca="1" si="7"/>
        <v/>
      </c>
      <c r="AD25" s="62">
        <f t="shared" si="18"/>
        <v>2029</v>
      </c>
      <c r="AE25" s="58">
        <f>AE24*(1+Calculator!$D$6)</f>
        <v>981.12353948089651</v>
      </c>
      <c r="AF25" s="62">
        <f t="shared" si="19"/>
        <v>2028</v>
      </c>
      <c r="AG25" s="62">
        <f t="shared" si="20"/>
        <v>2028</v>
      </c>
      <c r="AH25" s="62">
        <f t="shared" si="21"/>
        <v>2028</v>
      </c>
      <c r="AI25" s="62">
        <f t="shared" si="22"/>
        <v>2028</v>
      </c>
      <c r="AJ25" s="62">
        <f t="shared" si="22"/>
        <v>2028</v>
      </c>
      <c r="AL25" s="62" t="str">
        <f>'AADT Input'!A28&amp;"- "&amp;'AADT Input'!B28</f>
        <v>12024- SC 901/Mt Holly Rd  - York Co SC</v>
      </c>
      <c r="AM25" s="62">
        <f t="shared" si="23"/>
        <v>24</v>
      </c>
      <c r="AO25" s="62">
        <f t="shared" si="24"/>
        <v>2029</v>
      </c>
      <c r="AP25" s="58">
        <f>AP24*(1+Calculator!$D$11)</f>
        <v>1090.5001233857981</v>
      </c>
    </row>
    <row r="26" spans="1:42" x14ac:dyDescent="0.2">
      <c r="A26" s="68">
        <v>1991</v>
      </c>
      <c r="B26" s="66"/>
      <c r="C26" s="295"/>
      <c r="D26" s="64">
        <f t="shared" si="17"/>
        <v>1991</v>
      </c>
      <c r="E26" s="58">
        <f t="shared" si="12"/>
        <v>0</v>
      </c>
      <c r="F26" s="59" t="str">
        <f t="shared" si="13"/>
        <v>N</v>
      </c>
      <c r="G26" s="60" t="e">
        <f t="shared" ca="1" si="14"/>
        <v>#N/A</v>
      </c>
      <c r="H26" s="60" t="e">
        <f t="shared" ca="1" si="15"/>
        <v>#N/A</v>
      </c>
      <c r="I26" s="60" t="e">
        <f t="shared" ca="1" si="0"/>
        <v>#N/A</v>
      </c>
      <c r="J26" s="58" t="str">
        <f t="shared" ca="1" si="1"/>
        <v/>
      </c>
      <c r="K26" s="58" t="str">
        <f t="shared" ca="1" si="2"/>
        <v/>
      </c>
      <c r="L26" s="58" t="str">
        <f t="shared" ca="1" si="3"/>
        <v/>
      </c>
      <c r="M26" s="61" t="str">
        <f t="shared" ca="1" si="4"/>
        <v/>
      </c>
      <c r="N26" s="61"/>
      <c r="O26" s="61"/>
      <c r="P26" s="61"/>
      <c r="Q26" s="61" t="str">
        <f t="shared" ca="1" si="16"/>
        <v/>
      </c>
      <c r="R26" s="61" t="str">
        <f t="shared" ca="1" si="5"/>
        <v/>
      </c>
      <c r="S26" s="61" t="str">
        <f t="shared" ca="1" si="6"/>
        <v/>
      </c>
      <c r="T26" s="61" t="str">
        <f t="shared" ca="1" si="7"/>
        <v/>
      </c>
      <c r="AD26" s="62">
        <f t="shared" si="18"/>
        <v>2030</v>
      </c>
      <c r="AE26" s="58">
        <f>AE25*(1+Calculator!$D$6)</f>
        <v>1005.6516279679188</v>
      </c>
      <c r="AF26" s="62">
        <f t="shared" si="19"/>
        <v>2029</v>
      </c>
      <c r="AG26" s="62">
        <f t="shared" si="20"/>
        <v>2029</v>
      </c>
      <c r="AH26" s="62">
        <f t="shared" si="21"/>
        <v>2029</v>
      </c>
      <c r="AI26" s="62">
        <f t="shared" si="22"/>
        <v>2029</v>
      </c>
      <c r="AJ26" s="62">
        <f t="shared" si="22"/>
        <v>2029</v>
      </c>
      <c r="AL26" s="62" t="str">
        <f>'AADT Input'!A29&amp;"- "&amp;'AADT Input'!B29</f>
        <v>12025- S-52/Collins RD  - York Co SC</v>
      </c>
      <c r="AM26" s="62">
        <f t="shared" si="23"/>
        <v>25</v>
      </c>
      <c r="AO26" s="62">
        <f t="shared" si="24"/>
        <v>2030</v>
      </c>
      <c r="AP26" s="58">
        <f>AP25*(1+Calculator!$D$11)</f>
        <v>1122.9109700225347</v>
      </c>
    </row>
    <row r="27" spans="1:42" x14ac:dyDescent="0.2">
      <c r="A27" s="55">
        <v>1992</v>
      </c>
      <c r="B27" s="66"/>
      <c r="C27" s="295"/>
      <c r="D27" s="64">
        <f t="shared" si="17"/>
        <v>1992</v>
      </c>
      <c r="E27" s="58">
        <f t="shared" si="12"/>
        <v>0</v>
      </c>
      <c r="F27" s="59" t="str">
        <f t="shared" si="13"/>
        <v>N</v>
      </c>
      <c r="G27" s="60" t="e">
        <f t="shared" ca="1" si="14"/>
        <v>#N/A</v>
      </c>
      <c r="H27" s="60" t="e">
        <f t="shared" ca="1" si="15"/>
        <v>#N/A</v>
      </c>
      <c r="I27" s="60" t="e">
        <f t="shared" ca="1" si="0"/>
        <v>#N/A</v>
      </c>
      <c r="J27" s="58" t="str">
        <f t="shared" ca="1" si="1"/>
        <v/>
      </c>
      <c r="K27" s="58" t="str">
        <f t="shared" ca="1" si="2"/>
        <v/>
      </c>
      <c r="L27" s="58" t="str">
        <f t="shared" ca="1" si="3"/>
        <v/>
      </c>
      <c r="M27" s="61" t="str">
        <f t="shared" ca="1" si="4"/>
        <v/>
      </c>
      <c r="N27" s="61"/>
      <c r="O27" s="61"/>
      <c r="P27" s="61"/>
      <c r="Q27" s="61" t="str">
        <f t="shared" ca="1" si="16"/>
        <v/>
      </c>
      <c r="R27" s="61" t="str">
        <f t="shared" ca="1" si="5"/>
        <v/>
      </c>
      <c r="S27" s="61" t="str">
        <f t="shared" ca="1" si="6"/>
        <v/>
      </c>
      <c r="T27" s="61" t="str">
        <f t="shared" ca="1" si="7"/>
        <v/>
      </c>
      <c r="AD27" s="62">
        <f t="shared" si="18"/>
        <v>2031</v>
      </c>
      <c r="AE27" s="58">
        <f>AE26*(1+Calculator!$D$6)</f>
        <v>1030.7929186671167</v>
      </c>
      <c r="AF27" s="62">
        <f t="shared" si="19"/>
        <v>2030</v>
      </c>
      <c r="AG27" s="62">
        <f t="shared" si="20"/>
        <v>2030</v>
      </c>
      <c r="AH27" s="62">
        <f t="shared" si="21"/>
        <v>2030</v>
      </c>
      <c r="AI27" s="62">
        <f t="shared" si="22"/>
        <v>2030</v>
      </c>
      <c r="AJ27" s="62">
        <f t="shared" si="22"/>
        <v>2030</v>
      </c>
      <c r="AL27" s="62" t="str">
        <f>'AADT Input'!A30&amp;"- "&amp;'AADT Input'!B30</f>
        <v xml:space="preserve">12028- NC 198/Blacksburg Rd. </v>
      </c>
      <c r="AM27" s="62">
        <f t="shared" si="23"/>
        <v>26</v>
      </c>
      <c r="AO27" s="62">
        <f t="shared" si="24"/>
        <v>2031</v>
      </c>
      <c r="AP27" s="58">
        <f>AP26*(1+Calculator!$D$11)</f>
        <v>1156.2851021804581</v>
      </c>
    </row>
    <row r="28" spans="1:42" x14ac:dyDescent="0.2">
      <c r="A28" s="68">
        <v>1993</v>
      </c>
      <c r="B28" s="66"/>
      <c r="C28" s="295"/>
      <c r="D28" s="64">
        <f t="shared" si="17"/>
        <v>1993</v>
      </c>
      <c r="E28" s="58">
        <f t="shared" si="12"/>
        <v>0</v>
      </c>
      <c r="F28" s="59" t="str">
        <f t="shared" si="13"/>
        <v>N</v>
      </c>
      <c r="G28" s="60" t="e">
        <f t="shared" ca="1" si="14"/>
        <v>#N/A</v>
      </c>
      <c r="H28" s="60" t="e">
        <f t="shared" ca="1" si="15"/>
        <v>#N/A</v>
      </c>
      <c r="I28" s="60" t="e">
        <f t="shared" ca="1" si="0"/>
        <v>#N/A</v>
      </c>
      <c r="J28" s="58" t="str">
        <f t="shared" ca="1" si="1"/>
        <v/>
      </c>
      <c r="K28" s="58" t="str">
        <f t="shared" ca="1" si="2"/>
        <v/>
      </c>
      <c r="L28" s="58" t="str">
        <f t="shared" ca="1" si="3"/>
        <v/>
      </c>
      <c r="M28" s="61" t="str">
        <f t="shared" ca="1" si="4"/>
        <v/>
      </c>
      <c r="N28" s="61"/>
      <c r="O28" s="61"/>
      <c r="P28" s="61"/>
      <c r="Q28" s="61" t="str">
        <f t="shared" ca="1" si="16"/>
        <v/>
      </c>
      <c r="R28" s="61" t="str">
        <f t="shared" ca="1" si="5"/>
        <v/>
      </c>
      <c r="S28" s="61" t="str">
        <f t="shared" ca="1" si="6"/>
        <v/>
      </c>
      <c r="T28" s="61" t="str">
        <f t="shared" ca="1" si="7"/>
        <v/>
      </c>
      <c r="AD28" s="62">
        <f t="shared" si="18"/>
        <v>2032</v>
      </c>
      <c r="AE28" s="58">
        <f>AE27*(1+Calculator!$D$6)</f>
        <v>1056.5627416337945</v>
      </c>
      <c r="AF28" s="62">
        <f t="shared" si="19"/>
        <v>2031</v>
      </c>
      <c r="AG28" s="62">
        <f t="shared" si="20"/>
        <v>2031</v>
      </c>
      <c r="AH28" s="62">
        <f t="shared" si="21"/>
        <v>2031</v>
      </c>
      <c r="AI28" s="62">
        <f t="shared" si="22"/>
        <v>2031</v>
      </c>
      <c r="AJ28" s="62">
        <f t="shared" si="22"/>
        <v>2031</v>
      </c>
      <c r="AL28" s="62" t="str">
        <f>'AADT Input'!A31&amp;"- "&amp;'AADT Input'!B31</f>
        <v>12029- US 29, Cleveland Co.</v>
      </c>
      <c r="AM28" s="62">
        <f t="shared" si="23"/>
        <v>27</v>
      </c>
      <c r="AO28" s="62">
        <f t="shared" si="24"/>
        <v>2032</v>
      </c>
      <c r="AP28" s="58">
        <f>AP27*(1+Calculator!$D$11)</f>
        <v>1190.6511497502261</v>
      </c>
    </row>
    <row r="29" spans="1:42" x14ac:dyDescent="0.2">
      <c r="A29" s="55">
        <v>1994</v>
      </c>
      <c r="B29" s="66"/>
      <c r="C29" s="295"/>
      <c r="D29" s="64">
        <f t="shared" si="17"/>
        <v>1994</v>
      </c>
      <c r="E29" s="58">
        <f t="shared" si="12"/>
        <v>0</v>
      </c>
      <c r="F29" s="59" t="str">
        <f t="shared" si="13"/>
        <v>N</v>
      </c>
      <c r="G29" s="60" t="e">
        <f t="shared" ca="1" si="14"/>
        <v>#N/A</v>
      </c>
      <c r="H29" s="60" t="e">
        <f t="shared" ca="1" si="15"/>
        <v>#N/A</v>
      </c>
      <c r="I29" s="60" t="e">
        <f t="shared" ca="1" si="0"/>
        <v>#N/A</v>
      </c>
      <c r="J29" s="58" t="str">
        <f t="shared" ca="1" si="1"/>
        <v/>
      </c>
      <c r="K29" s="58" t="str">
        <f t="shared" ca="1" si="2"/>
        <v/>
      </c>
      <c r="L29" s="58" t="str">
        <f t="shared" ca="1" si="3"/>
        <v/>
      </c>
      <c r="M29" s="61" t="str">
        <f t="shared" ca="1" si="4"/>
        <v/>
      </c>
      <c r="N29" s="61"/>
      <c r="O29" s="61"/>
      <c r="P29" s="61"/>
      <c r="Q29" s="61" t="str">
        <f t="shared" ca="1" si="16"/>
        <v/>
      </c>
      <c r="R29" s="61" t="str">
        <f t="shared" ca="1" si="5"/>
        <v/>
      </c>
      <c r="S29" s="61" t="str">
        <f t="shared" ca="1" si="6"/>
        <v/>
      </c>
      <c r="T29" s="61" t="str">
        <f t="shared" ca="1" si="7"/>
        <v/>
      </c>
      <c r="AD29" s="62">
        <f t="shared" si="18"/>
        <v>2033</v>
      </c>
      <c r="AE29" s="58">
        <f>AE28*(1+Calculator!$D$6)</f>
        <v>1082.9768101746392</v>
      </c>
      <c r="AF29" s="62">
        <f t="shared" si="19"/>
        <v>2032</v>
      </c>
      <c r="AG29" s="62">
        <f t="shared" si="20"/>
        <v>2032</v>
      </c>
      <c r="AH29" s="62">
        <f t="shared" si="21"/>
        <v>2032</v>
      </c>
      <c r="AI29" s="62">
        <f t="shared" si="22"/>
        <v>2032</v>
      </c>
      <c r="AJ29" s="62">
        <f t="shared" si="22"/>
        <v>2032</v>
      </c>
      <c r="AL29" s="62" t="str">
        <f>'AADT Input'!A32&amp;"- "&amp;'AADT Input'!B32</f>
        <v xml:space="preserve">12031- NC 18/Lafayett St., Cleveland Co. NC, </v>
      </c>
      <c r="AM29" s="62">
        <f t="shared" si="23"/>
        <v>28</v>
      </c>
      <c r="AO29" s="62">
        <f t="shared" si="24"/>
        <v>2033</v>
      </c>
      <c r="AP29" s="58">
        <f>AP28*(1+Calculator!$D$11)</f>
        <v>1226.0385935339038</v>
      </c>
    </row>
    <row r="30" spans="1:42" x14ac:dyDescent="0.2">
      <c r="A30" s="68">
        <v>1995</v>
      </c>
      <c r="B30" s="66"/>
      <c r="C30" s="295"/>
      <c r="D30" s="64">
        <f t="shared" si="17"/>
        <v>1995</v>
      </c>
      <c r="E30" s="58">
        <f t="shared" si="12"/>
        <v>0</v>
      </c>
      <c r="F30" s="59" t="str">
        <f t="shared" si="13"/>
        <v>N</v>
      </c>
      <c r="G30" s="60" t="e">
        <f t="shared" ca="1" si="14"/>
        <v>#N/A</v>
      </c>
      <c r="H30" s="60" t="e">
        <f t="shared" ca="1" si="15"/>
        <v>#N/A</v>
      </c>
      <c r="I30" s="60" t="e">
        <f t="shared" ca="1" si="0"/>
        <v>#N/A</v>
      </c>
      <c r="J30" s="58" t="str">
        <f t="shared" ca="1" si="1"/>
        <v/>
      </c>
      <c r="K30" s="58" t="str">
        <f t="shared" ca="1" si="2"/>
        <v/>
      </c>
      <c r="L30" s="58" t="str">
        <f t="shared" ca="1" si="3"/>
        <v/>
      </c>
      <c r="M30" s="61" t="str">
        <f t="shared" ca="1" si="4"/>
        <v/>
      </c>
      <c r="N30" s="61"/>
      <c r="O30" s="61"/>
      <c r="P30" s="61"/>
      <c r="Q30" s="61" t="str">
        <f t="shared" ca="1" si="16"/>
        <v/>
      </c>
      <c r="R30" s="61" t="str">
        <f t="shared" ca="1" si="5"/>
        <v/>
      </c>
      <c r="S30" s="61" t="str">
        <f t="shared" ca="1" si="6"/>
        <v/>
      </c>
      <c r="T30" s="61" t="str">
        <f t="shared" ca="1" si="7"/>
        <v/>
      </c>
      <c r="AD30" s="62">
        <f t="shared" si="18"/>
        <v>2034</v>
      </c>
      <c r="AE30" s="58">
        <f>AE29*(1+Calculator!$D$6)</f>
        <v>1110.051230429005</v>
      </c>
      <c r="AF30" s="62">
        <f t="shared" si="19"/>
        <v>2033</v>
      </c>
      <c r="AG30" s="62">
        <f t="shared" si="20"/>
        <v>2033</v>
      </c>
      <c r="AH30" s="62">
        <f t="shared" si="21"/>
        <v>2033</v>
      </c>
      <c r="AI30" s="62">
        <f t="shared" si="22"/>
        <v>2033</v>
      </c>
      <c r="AJ30" s="62">
        <f t="shared" si="22"/>
        <v>2033</v>
      </c>
      <c r="AL30" s="62" t="str">
        <f>'AADT Input'!A33&amp;"- "&amp;'AADT Input'!B33</f>
        <v xml:space="preserve">12036- Ext Sta 53, Network ID 12036, Cleveland Co. NC, NC 216/Battleground Ave. </v>
      </c>
      <c r="AM30" s="62">
        <f t="shared" si="23"/>
        <v>29</v>
      </c>
      <c r="AO30" s="62">
        <f t="shared" si="24"/>
        <v>2034</v>
      </c>
      <c r="AP30" s="58">
        <f>AP29*(1+Calculator!$D$11)</f>
        <v>1262.4777905349752</v>
      </c>
    </row>
    <row r="31" spans="1:42" x14ac:dyDescent="0.2">
      <c r="A31" s="55">
        <v>1996</v>
      </c>
      <c r="B31" s="66"/>
      <c r="C31" s="295"/>
      <c r="D31" s="64">
        <v>1983</v>
      </c>
      <c r="E31" s="58">
        <f t="shared" si="12"/>
        <v>0</v>
      </c>
      <c r="F31" s="59" t="str">
        <f t="shared" si="13"/>
        <v>N</v>
      </c>
      <c r="G31" s="60" t="e">
        <f t="shared" ca="1" si="14"/>
        <v>#N/A</v>
      </c>
      <c r="H31" s="60" t="e">
        <f t="shared" ca="1" si="15"/>
        <v>#N/A</v>
      </c>
      <c r="I31" s="60" t="e">
        <f t="shared" ca="1" si="0"/>
        <v>#N/A</v>
      </c>
      <c r="J31" s="58" t="str">
        <f t="shared" ca="1" si="1"/>
        <v/>
      </c>
      <c r="K31" s="58" t="str">
        <f t="shared" ca="1" si="2"/>
        <v/>
      </c>
      <c r="L31" s="58" t="str">
        <f t="shared" ca="1" si="3"/>
        <v/>
      </c>
      <c r="M31" s="61" t="str">
        <f t="shared" ca="1" si="4"/>
        <v/>
      </c>
      <c r="N31" s="61"/>
      <c r="O31" s="61"/>
      <c r="P31" s="61"/>
      <c r="Q31" s="61" t="str">
        <f t="shared" ca="1" si="16"/>
        <v/>
      </c>
      <c r="R31" s="61" t="str">
        <f t="shared" ca="1" si="5"/>
        <v/>
      </c>
      <c r="S31" s="61" t="str">
        <f t="shared" ca="1" si="6"/>
        <v/>
      </c>
      <c r="T31" s="61" t="str">
        <f t="shared" ca="1" si="7"/>
        <v/>
      </c>
      <c r="AD31" s="62">
        <f t="shared" si="18"/>
        <v>2035</v>
      </c>
      <c r="AE31" s="58">
        <f>AE30*(1+Calculator!$D$6)</f>
        <v>1137.80251118973</v>
      </c>
      <c r="AF31" s="62">
        <f t="shared" si="19"/>
        <v>2034</v>
      </c>
      <c r="AG31" s="62">
        <f t="shared" si="20"/>
        <v>2034</v>
      </c>
      <c r="AH31" s="62">
        <f t="shared" si="21"/>
        <v>2034</v>
      </c>
      <c r="AI31" s="62">
        <f t="shared" si="22"/>
        <v>2034</v>
      </c>
      <c r="AJ31" s="62">
        <f t="shared" si="22"/>
        <v>2034</v>
      </c>
      <c r="AL31" s="62" t="str">
        <f>'AADT Input'!A34&amp;"- "&amp;'AADT Input'!B34</f>
        <v>12037- Ext Sta 52, Network ID 12037, Cleveland Co. NC, I-85</v>
      </c>
      <c r="AM31" s="62">
        <f t="shared" si="23"/>
        <v>30</v>
      </c>
      <c r="AO31" s="62">
        <f t="shared" si="24"/>
        <v>2035</v>
      </c>
      <c r="AP31" s="58">
        <f>AP30*(1+Calculator!$D$11)</f>
        <v>1299.999999999998</v>
      </c>
    </row>
    <row r="32" spans="1:42" x14ac:dyDescent="0.2">
      <c r="A32" s="68">
        <v>1997</v>
      </c>
      <c r="B32" s="66"/>
      <c r="C32" s="295"/>
      <c r="D32" s="64">
        <f>D31+1</f>
        <v>1984</v>
      </c>
      <c r="E32" s="58">
        <f t="shared" si="12"/>
        <v>0</v>
      </c>
      <c r="F32" s="59" t="str">
        <f t="shared" si="13"/>
        <v>N</v>
      </c>
      <c r="G32" s="60" t="e">
        <f t="shared" ca="1" si="14"/>
        <v>#N/A</v>
      </c>
      <c r="H32" s="60" t="e">
        <f t="shared" ca="1" si="15"/>
        <v>#N/A</v>
      </c>
      <c r="I32" s="60" t="e">
        <f t="shared" ca="1" si="0"/>
        <v>#N/A</v>
      </c>
      <c r="J32" s="58" t="str">
        <f t="shared" ca="1" si="1"/>
        <v/>
      </c>
      <c r="K32" s="58" t="str">
        <f t="shared" ca="1" si="2"/>
        <v/>
      </c>
      <c r="L32" s="58" t="str">
        <f t="shared" ca="1" si="3"/>
        <v/>
      </c>
      <c r="M32" s="61" t="str">
        <f t="shared" ca="1" si="4"/>
        <v/>
      </c>
      <c r="N32" s="61"/>
      <c r="O32" s="61"/>
      <c r="P32" s="61"/>
      <c r="Q32" s="61" t="str">
        <f t="shared" ca="1" si="16"/>
        <v/>
      </c>
      <c r="R32" s="61" t="str">
        <f t="shared" ca="1" si="5"/>
        <v/>
      </c>
      <c r="S32" s="61" t="str">
        <f t="shared" ca="1" si="6"/>
        <v/>
      </c>
      <c r="T32" s="61" t="str">
        <f t="shared" ca="1" si="7"/>
        <v/>
      </c>
      <c r="AD32" s="62">
        <f t="shared" si="18"/>
        <v>2036</v>
      </c>
      <c r="AE32" s="58">
        <f>AE31*(1+Calculator!$D$6)</f>
        <v>1166.2475739694733</v>
      </c>
      <c r="AF32" s="62">
        <f t="shared" si="19"/>
        <v>2035</v>
      </c>
      <c r="AG32" s="62">
        <f t="shared" si="20"/>
        <v>2035</v>
      </c>
      <c r="AH32" s="62">
        <f t="shared" si="21"/>
        <v>2035</v>
      </c>
      <c r="AI32" s="62">
        <f t="shared" si="22"/>
        <v>2035</v>
      </c>
      <c r="AJ32" s="62">
        <f t="shared" si="22"/>
        <v>2035</v>
      </c>
      <c r="AL32" s="62" t="str">
        <f>'AADT Input'!A35&amp;"- "&amp;'AADT Input'!B35</f>
        <v xml:space="preserve">12038- Ext Sta 37, Network ID 12038, Lincoln Co. NC, SR 1005/Startown Rd. </v>
      </c>
      <c r="AM32" s="62">
        <f t="shared" si="23"/>
        <v>31</v>
      </c>
      <c r="AO32" s="62">
        <f t="shared" si="24"/>
        <v>2036</v>
      </c>
      <c r="AP32" s="58">
        <f>AP31*(1+Calculator!$D$11)</f>
        <v>1338.6374102342481</v>
      </c>
    </row>
    <row r="33" spans="1:42" x14ac:dyDescent="0.2">
      <c r="A33" s="55">
        <v>1998</v>
      </c>
      <c r="B33" s="66"/>
      <c r="C33" s="295"/>
      <c r="D33" s="64">
        <f t="shared" ref="D33:D58" si="25">D32+1</f>
        <v>1985</v>
      </c>
      <c r="E33" s="58">
        <f t="shared" si="12"/>
        <v>0</v>
      </c>
      <c r="F33" s="59" t="str">
        <f t="shared" si="13"/>
        <v>N</v>
      </c>
      <c r="G33" s="60" t="e">
        <f t="shared" ca="1" si="14"/>
        <v>#N/A</v>
      </c>
      <c r="H33" s="60" t="e">
        <f t="shared" ca="1" si="15"/>
        <v>#N/A</v>
      </c>
      <c r="I33" s="60" t="e">
        <f t="shared" ca="1" si="0"/>
        <v>#N/A</v>
      </c>
      <c r="J33" s="58" t="str">
        <f t="shared" ca="1" si="1"/>
        <v/>
      </c>
      <c r="K33" s="58" t="str">
        <f t="shared" ca="1" si="2"/>
        <v/>
      </c>
      <c r="L33" s="58" t="str">
        <f t="shared" ca="1" si="3"/>
        <v/>
      </c>
      <c r="M33" s="61" t="str">
        <f t="shared" ca="1" si="4"/>
        <v/>
      </c>
      <c r="N33" s="61"/>
      <c r="O33" s="61"/>
      <c r="P33" s="61"/>
      <c r="Q33" s="61" t="str">
        <f t="shared" ca="1" si="16"/>
        <v/>
      </c>
      <c r="R33" s="61" t="str">
        <f t="shared" ca="1" si="5"/>
        <v/>
      </c>
      <c r="S33" s="61" t="str">
        <f t="shared" ca="1" si="6"/>
        <v/>
      </c>
      <c r="T33" s="61" t="str">
        <f t="shared" ca="1" si="7"/>
        <v/>
      </c>
      <c r="AD33" s="62">
        <f t="shared" si="18"/>
        <v>2037</v>
      </c>
      <c r="AE33" s="58">
        <f>AE32*(1+Calculator!$D$6)</f>
        <v>1195.4037633187099</v>
      </c>
      <c r="AF33" s="62">
        <f t="shared" si="19"/>
        <v>2036</v>
      </c>
      <c r="AG33" s="62">
        <f t="shared" si="20"/>
        <v>2036</v>
      </c>
      <c r="AH33" s="62">
        <f t="shared" si="21"/>
        <v>2036</v>
      </c>
      <c r="AI33" s="62">
        <f t="shared" si="22"/>
        <v>2036</v>
      </c>
      <c r="AJ33" s="62">
        <f t="shared" si="22"/>
        <v>2036</v>
      </c>
      <c r="AL33" s="62" t="str">
        <f>'AADT Input'!A36&amp;"- "&amp;'AADT Input'!B36</f>
        <v xml:space="preserve">12039- Ext Sta 38, Network ID 12039, Lincoln Co. NC, SR 1008/Killian Rd.  </v>
      </c>
      <c r="AM33" s="62">
        <f t="shared" si="23"/>
        <v>32</v>
      </c>
      <c r="AO33" s="62">
        <f t="shared" si="24"/>
        <v>2037</v>
      </c>
      <c r="AP33" s="58">
        <f>AP32*(1+Calculator!$D$11)</f>
        <v>1378.423166214352</v>
      </c>
    </row>
    <row r="34" spans="1:42" x14ac:dyDescent="0.2">
      <c r="A34" s="68">
        <v>1999</v>
      </c>
      <c r="B34" s="66"/>
      <c r="C34" s="295"/>
      <c r="D34" s="64">
        <f t="shared" si="25"/>
        <v>1986</v>
      </c>
      <c r="E34" s="58">
        <f t="shared" si="12"/>
        <v>0</v>
      </c>
      <c r="F34" s="59" t="str">
        <f t="shared" si="13"/>
        <v>N</v>
      </c>
      <c r="G34" s="60" t="e">
        <f t="shared" ca="1" si="14"/>
        <v>#N/A</v>
      </c>
      <c r="H34" s="60" t="e">
        <f t="shared" ca="1" si="15"/>
        <v>#N/A</v>
      </c>
      <c r="I34" s="60" t="e">
        <f t="shared" ref="I34:I60" ca="1" si="26">INDEX(E$2:E$60,$G34)</f>
        <v>#N/A</v>
      </c>
      <c r="J34" s="58" t="str">
        <f t="shared" ref="J34:J60" ca="1" si="27">IF(ISNA(G34),"",G34)</f>
        <v/>
      </c>
      <c r="K34" s="58" t="str">
        <f t="shared" ref="K34:K60" ca="1" si="28">IF(ISNA(H34),"",H34)</f>
        <v/>
      </c>
      <c r="L34" s="58" t="str">
        <f t="shared" ref="L34:L60" ca="1" si="29">IF(ISNA(I34),"",I34)</f>
        <v/>
      </c>
      <c r="M34" s="61" t="str">
        <f t="shared" ref="M34:M60" ca="1" si="30">IF(L34="","",VALUE(LN(L34)))</f>
        <v/>
      </c>
      <c r="N34" s="61"/>
      <c r="O34" s="61"/>
      <c r="P34" s="61"/>
      <c r="Q34" s="61" t="str">
        <f t="shared" ref="Q34:Q60" ca="1" si="31">IF(K34="","",$O$2+$P$2*(K34-$N$2))</f>
        <v/>
      </c>
      <c r="R34" s="61" t="str">
        <f t="shared" ref="R34:R60" ca="1" si="32">IF(L34="","",$O$2*(1+$P$3)^(K34-$N$2))</f>
        <v/>
      </c>
      <c r="S34" s="61" t="str">
        <f t="shared" ref="S34:S60" ca="1" si="33">IF(K34="","",$P$5+(K34*$P$4))</f>
        <v/>
      </c>
      <c r="T34" s="61" t="str">
        <f t="shared" ref="T34:T60" ca="1" si="34">IF(K34="","",EXP($P$6*K34+$P$7))</f>
        <v/>
      </c>
      <c r="AD34" s="62">
        <f t="shared" si="18"/>
        <v>2038</v>
      </c>
      <c r="AE34" s="58">
        <f>AE33*(1+Calculator!$D$6)</f>
        <v>1225.2888574016777</v>
      </c>
      <c r="AF34" s="62">
        <f t="shared" si="19"/>
        <v>2037</v>
      </c>
      <c r="AG34" s="62">
        <f t="shared" si="20"/>
        <v>2037</v>
      </c>
      <c r="AH34" s="62">
        <f t="shared" si="21"/>
        <v>2037</v>
      </c>
      <c r="AI34" s="62">
        <f t="shared" si="22"/>
        <v>2037</v>
      </c>
      <c r="AJ34" s="62">
        <f t="shared" si="22"/>
        <v>2037</v>
      </c>
      <c r="AL34" s="62" t="str">
        <f>'AADT Input'!A37&amp;"- "&amp;'AADT Input'!B37</f>
        <v xml:space="preserve">12041- Ext Sta 36, Network ID 12041, Lincoln Co. NC, US 321 </v>
      </c>
      <c r="AM34" s="62">
        <f t="shared" si="23"/>
        <v>33</v>
      </c>
      <c r="AO34" s="62">
        <f t="shared" si="24"/>
        <v>2038</v>
      </c>
      <c r="AP34" s="58">
        <f>AP33*(1+Calculator!$D$11)</f>
        <v>1419.3913980215966</v>
      </c>
    </row>
    <row r="35" spans="1:42" x14ac:dyDescent="0.2">
      <c r="A35" s="55">
        <v>2000</v>
      </c>
      <c r="B35" s="66"/>
      <c r="C35" s="295"/>
      <c r="D35" s="64">
        <f t="shared" si="25"/>
        <v>1987</v>
      </c>
      <c r="E35" s="58">
        <f t="shared" si="12"/>
        <v>0</v>
      </c>
      <c r="F35" s="59" t="str">
        <f t="shared" si="13"/>
        <v>N</v>
      </c>
      <c r="G35" s="60" t="e">
        <f t="shared" ref="G35:G60" ca="1" si="35">MATCH("Y",INDIRECT("F"&amp;(2+G34)&amp;":F60"),0)+G34</f>
        <v>#N/A</v>
      </c>
      <c r="H35" s="60" t="e">
        <f t="shared" ca="1" si="15"/>
        <v>#N/A</v>
      </c>
      <c r="I35" s="60" t="e">
        <f t="shared" ca="1" si="26"/>
        <v>#N/A</v>
      </c>
      <c r="J35" s="58" t="str">
        <f t="shared" ca="1" si="27"/>
        <v/>
      </c>
      <c r="K35" s="58" t="str">
        <f t="shared" ca="1" si="28"/>
        <v/>
      </c>
      <c r="L35" s="58" t="str">
        <f t="shared" ca="1" si="29"/>
        <v/>
      </c>
      <c r="M35" s="61" t="str">
        <f t="shared" ca="1" si="30"/>
        <v/>
      </c>
      <c r="N35" s="61"/>
      <c r="O35" s="61"/>
      <c r="P35" s="61"/>
      <c r="Q35" s="61" t="str">
        <f t="shared" ca="1" si="31"/>
        <v/>
      </c>
      <c r="R35" s="61" t="str">
        <f t="shared" ca="1" si="32"/>
        <v/>
      </c>
      <c r="S35" s="61" t="str">
        <f t="shared" ca="1" si="33"/>
        <v/>
      </c>
      <c r="T35" s="61" t="str">
        <f t="shared" ca="1" si="34"/>
        <v/>
      </c>
      <c r="AD35" s="62">
        <f t="shared" si="18"/>
        <v>2039</v>
      </c>
      <c r="AE35" s="58">
        <f>AE34*(1+Calculator!$D$6)</f>
        <v>1255.9210788367195</v>
      </c>
      <c r="AF35" s="62">
        <f t="shared" si="19"/>
        <v>2038</v>
      </c>
      <c r="AG35" s="62">
        <f t="shared" si="20"/>
        <v>2038</v>
      </c>
      <c r="AH35" s="62">
        <f t="shared" si="21"/>
        <v>2038</v>
      </c>
      <c r="AI35" s="62">
        <f t="shared" si="22"/>
        <v>2038</v>
      </c>
      <c r="AJ35" s="62">
        <f t="shared" si="22"/>
        <v>2038</v>
      </c>
      <c r="AL35" s="62" t="str">
        <f>'AADT Input'!A38&amp;"- "&amp;'AADT Input'!B38</f>
        <v xml:space="preserve">12042- Ext Sta 35, Network ID 12042,  Lincoln Co. NC, US 321 B/Maiden Hwy.  </v>
      </c>
      <c r="AM35" s="62">
        <f t="shared" si="23"/>
        <v>34</v>
      </c>
      <c r="AO35" s="62">
        <f t="shared" si="24"/>
        <v>2039</v>
      </c>
      <c r="AP35" s="58">
        <f>AP34*(1+Calculator!$D$11)</f>
        <v>1461.5772501203091</v>
      </c>
    </row>
    <row r="36" spans="1:42" x14ac:dyDescent="0.2">
      <c r="A36" s="68">
        <v>2001</v>
      </c>
      <c r="B36" s="66"/>
      <c r="C36" s="295"/>
      <c r="D36" s="64">
        <f t="shared" si="25"/>
        <v>1988</v>
      </c>
      <c r="E36" s="58">
        <f t="shared" si="12"/>
        <v>0</v>
      </c>
      <c r="F36" s="59" t="str">
        <f t="shared" si="13"/>
        <v>N</v>
      </c>
      <c r="G36" s="60" t="e">
        <f t="shared" ca="1" si="35"/>
        <v>#N/A</v>
      </c>
      <c r="H36" s="60" t="e">
        <f t="shared" ca="1" si="15"/>
        <v>#N/A</v>
      </c>
      <c r="I36" s="60" t="e">
        <f t="shared" ca="1" si="26"/>
        <v>#N/A</v>
      </c>
      <c r="J36" s="58" t="str">
        <f t="shared" ca="1" si="27"/>
        <v/>
      </c>
      <c r="K36" s="58" t="str">
        <f t="shared" ca="1" si="28"/>
        <v/>
      </c>
      <c r="L36" s="58" t="str">
        <f t="shared" ca="1" si="29"/>
        <v/>
      </c>
      <c r="M36" s="61" t="str">
        <f t="shared" ca="1" si="30"/>
        <v/>
      </c>
      <c r="N36" s="61"/>
      <c r="O36" s="61"/>
      <c r="P36" s="61"/>
      <c r="Q36" s="61" t="str">
        <f t="shared" ca="1" si="31"/>
        <v/>
      </c>
      <c r="R36" s="61" t="str">
        <f t="shared" ca="1" si="32"/>
        <v/>
      </c>
      <c r="S36" s="61" t="str">
        <f t="shared" ca="1" si="33"/>
        <v/>
      </c>
      <c r="T36" s="61" t="str">
        <f t="shared" ca="1" si="34"/>
        <v/>
      </c>
      <c r="AD36" s="62">
        <f t="shared" si="18"/>
        <v>2040</v>
      </c>
      <c r="AE36" s="58">
        <f>AE35*(1+Calculator!$D$6)</f>
        <v>1287.3191058076375</v>
      </c>
      <c r="AF36" s="62">
        <f t="shared" si="19"/>
        <v>2039</v>
      </c>
      <c r="AG36" s="62">
        <f t="shared" si="20"/>
        <v>2039</v>
      </c>
      <c r="AH36" s="62">
        <f t="shared" si="21"/>
        <v>2039</v>
      </c>
      <c r="AI36" s="62">
        <f t="shared" si="22"/>
        <v>2039</v>
      </c>
      <c r="AJ36" s="62">
        <f t="shared" si="22"/>
        <v>2039</v>
      </c>
      <c r="AL36" s="62" t="str">
        <f>'AADT Input'!A39&amp;"- "&amp;'AADT Input'!B39</f>
        <v>12043- Ext Sta 33, Network ID 12043, Catawba NC, NC16 - Catawba Co</v>
      </c>
      <c r="AM36" s="62">
        <f t="shared" si="23"/>
        <v>35</v>
      </c>
      <c r="AO36" s="62">
        <f t="shared" si="24"/>
        <v>2040</v>
      </c>
      <c r="AP36" s="58">
        <f>AP35*(1+Calculator!$D$11)</f>
        <v>1505.0169115064214</v>
      </c>
    </row>
    <row r="37" spans="1:42" x14ac:dyDescent="0.2">
      <c r="A37" s="55">
        <v>2002</v>
      </c>
      <c r="B37" s="249">
        <v>24000</v>
      </c>
      <c r="C37" s="295"/>
      <c r="D37" s="64">
        <f t="shared" si="25"/>
        <v>1989</v>
      </c>
      <c r="E37" s="58">
        <f t="shared" si="12"/>
        <v>24000</v>
      </c>
      <c r="F37" s="59" t="str">
        <f t="shared" si="13"/>
        <v>Y</v>
      </c>
      <c r="G37" s="60" t="e">
        <f t="shared" ca="1" si="35"/>
        <v>#N/A</v>
      </c>
      <c r="H37" s="60" t="e">
        <f t="shared" ca="1" si="15"/>
        <v>#N/A</v>
      </c>
      <c r="I37" s="60" t="e">
        <f t="shared" ca="1" si="26"/>
        <v>#N/A</v>
      </c>
      <c r="J37" s="58" t="str">
        <f t="shared" ca="1" si="27"/>
        <v/>
      </c>
      <c r="K37" s="58" t="str">
        <f t="shared" ca="1" si="28"/>
        <v/>
      </c>
      <c r="L37" s="58" t="str">
        <f t="shared" ca="1" si="29"/>
        <v/>
      </c>
      <c r="M37" s="61" t="str">
        <f t="shared" ca="1" si="30"/>
        <v/>
      </c>
      <c r="N37" s="61"/>
      <c r="O37" s="61"/>
      <c r="P37" s="61"/>
      <c r="Q37" s="61" t="str">
        <f t="shared" ca="1" si="31"/>
        <v/>
      </c>
      <c r="R37" s="61" t="str">
        <f t="shared" ca="1" si="32"/>
        <v/>
      </c>
      <c r="S37" s="61" t="str">
        <f t="shared" ca="1" si="33"/>
        <v/>
      </c>
      <c r="T37" s="61" t="str">
        <f t="shared" ca="1" si="34"/>
        <v/>
      </c>
      <c r="AD37" s="62">
        <f t="shared" si="18"/>
        <v>2041</v>
      </c>
      <c r="AE37" s="58">
        <f>AE36*(1+Calculator!$D$6)</f>
        <v>1319.5020834528284</v>
      </c>
      <c r="AF37" s="62">
        <f t="shared" si="19"/>
        <v>2040</v>
      </c>
      <c r="AG37" s="62">
        <f t="shared" si="20"/>
        <v>2040</v>
      </c>
      <c r="AH37" s="62">
        <f t="shared" si="21"/>
        <v>2040</v>
      </c>
      <c r="AI37" s="62">
        <f t="shared" si="22"/>
        <v>2040</v>
      </c>
      <c r="AJ37" s="62">
        <f t="shared" si="22"/>
        <v>2040</v>
      </c>
      <c r="AL37" s="62" t="str">
        <f>'AADT Input'!A40&amp;"- "&amp;'AADT Input'!B40</f>
        <v>12044- Ext Sta 32, Network ID 12044, Catawba NC, Sherrils Ford Rd / SR1848 - Catawba Co</v>
      </c>
      <c r="AM37" s="62">
        <f t="shared" si="23"/>
        <v>36</v>
      </c>
      <c r="AO37" s="62">
        <f t="shared" si="24"/>
        <v>2041</v>
      </c>
      <c r="AP37" s="58">
        <f>AP36*(1+Calculator!$D$11)</f>
        <v>1549.7476467520812</v>
      </c>
    </row>
    <row r="38" spans="1:42" x14ac:dyDescent="0.2">
      <c r="A38" s="68">
        <v>2003</v>
      </c>
      <c r="B38" s="249">
        <v>24000</v>
      </c>
      <c r="C38" s="295"/>
      <c r="D38" s="64">
        <f t="shared" si="25"/>
        <v>1990</v>
      </c>
      <c r="E38" s="58">
        <f t="shared" si="12"/>
        <v>24000</v>
      </c>
      <c r="F38" s="59" t="str">
        <f t="shared" si="13"/>
        <v>Y</v>
      </c>
      <c r="G38" s="60" t="e">
        <f t="shared" ca="1" si="35"/>
        <v>#N/A</v>
      </c>
      <c r="H38" s="60" t="e">
        <f t="shared" ca="1" si="15"/>
        <v>#N/A</v>
      </c>
      <c r="I38" s="60" t="e">
        <f t="shared" ca="1" si="26"/>
        <v>#N/A</v>
      </c>
      <c r="J38" s="58" t="str">
        <f t="shared" ca="1" si="27"/>
        <v/>
      </c>
      <c r="K38" s="58" t="str">
        <f t="shared" ca="1" si="28"/>
        <v/>
      </c>
      <c r="L38" s="58" t="str">
        <f t="shared" ca="1" si="29"/>
        <v/>
      </c>
      <c r="M38" s="61" t="str">
        <f t="shared" ca="1" si="30"/>
        <v/>
      </c>
      <c r="N38" s="61"/>
      <c r="O38" s="61"/>
      <c r="P38" s="61"/>
      <c r="Q38" s="61" t="str">
        <f t="shared" ca="1" si="31"/>
        <v/>
      </c>
      <c r="R38" s="61" t="str">
        <f t="shared" ca="1" si="32"/>
        <v/>
      </c>
      <c r="S38" s="61" t="str">
        <f t="shared" ca="1" si="33"/>
        <v/>
      </c>
      <c r="T38" s="61" t="str">
        <f t="shared" ca="1" si="34"/>
        <v/>
      </c>
      <c r="AD38" s="62">
        <f t="shared" si="18"/>
        <v>2042</v>
      </c>
      <c r="AE38" s="58">
        <f>AE37*(1+Calculator!$D$6)</f>
        <v>1352.489635539149</v>
      </c>
      <c r="AF38" s="62">
        <f t="shared" si="19"/>
        <v>2041</v>
      </c>
      <c r="AG38" s="62">
        <f t="shared" si="20"/>
        <v>2041</v>
      </c>
      <c r="AH38" s="62">
        <f t="shared" si="21"/>
        <v>2041</v>
      </c>
      <c r="AI38" s="62">
        <f t="shared" si="22"/>
        <v>2041</v>
      </c>
      <c r="AJ38" s="62">
        <f t="shared" si="22"/>
        <v>2041</v>
      </c>
      <c r="AL38" s="62" t="str">
        <f>'AADT Input'!A41&amp;"- "&amp;'AADT Input'!B41</f>
        <v xml:space="preserve">12045- Ext Sta 34, Network ID 12045, Lincoln Co. NC, SR 1343/Ivey Church Rd. </v>
      </c>
      <c r="AM38" s="62">
        <f t="shared" si="23"/>
        <v>37</v>
      </c>
      <c r="AO38" s="62">
        <f t="shared" si="24"/>
        <v>2042</v>
      </c>
      <c r="AP38" s="58">
        <f>AP37*(1+Calculator!$D$11)</f>
        <v>1595.8078279729459</v>
      </c>
    </row>
    <row r="39" spans="1:42" x14ac:dyDescent="0.2">
      <c r="A39" s="55">
        <v>2004</v>
      </c>
      <c r="B39" s="249"/>
      <c r="C39" s="295"/>
      <c r="D39" s="64">
        <f t="shared" si="25"/>
        <v>1991</v>
      </c>
      <c r="E39" s="58">
        <f t="shared" si="12"/>
        <v>0</v>
      </c>
      <c r="F39" s="59" t="str">
        <f t="shared" si="13"/>
        <v>N</v>
      </c>
      <c r="G39" s="60" t="e">
        <f t="shared" ca="1" si="35"/>
        <v>#N/A</v>
      </c>
      <c r="H39" s="60" t="e">
        <f t="shared" ca="1" si="15"/>
        <v>#N/A</v>
      </c>
      <c r="I39" s="60" t="e">
        <f t="shared" ca="1" si="26"/>
        <v>#N/A</v>
      </c>
      <c r="J39" s="58" t="str">
        <f t="shared" ca="1" si="27"/>
        <v/>
      </c>
      <c r="K39" s="58" t="str">
        <f t="shared" ca="1" si="28"/>
        <v/>
      </c>
      <c r="L39" s="58" t="str">
        <f t="shared" ca="1" si="29"/>
        <v/>
      </c>
      <c r="M39" s="61" t="str">
        <f t="shared" ca="1" si="30"/>
        <v/>
      </c>
      <c r="N39" s="61"/>
      <c r="O39" s="61"/>
      <c r="P39" s="61"/>
      <c r="Q39" s="61" t="str">
        <f t="shared" ca="1" si="31"/>
        <v/>
      </c>
      <c r="R39" s="61" t="str">
        <f t="shared" ca="1" si="32"/>
        <v/>
      </c>
      <c r="S39" s="61" t="str">
        <f t="shared" ca="1" si="33"/>
        <v/>
      </c>
      <c r="T39" s="61" t="str">
        <f t="shared" ca="1" si="34"/>
        <v/>
      </c>
      <c r="AD39" s="62">
        <f t="shared" si="18"/>
        <v>2043</v>
      </c>
      <c r="AE39" s="58">
        <f>AE38*(1+Calculator!$D$6)</f>
        <v>1386.3018764276276</v>
      </c>
      <c r="AF39" s="62">
        <f t="shared" si="19"/>
        <v>2042</v>
      </c>
      <c r="AG39" s="62">
        <f t="shared" si="20"/>
        <v>2042</v>
      </c>
      <c r="AH39" s="62">
        <f t="shared" si="21"/>
        <v>2042</v>
      </c>
      <c r="AI39" s="62">
        <f t="shared" si="22"/>
        <v>2042</v>
      </c>
      <c r="AJ39" s="62">
        <f t="shared" si="22"/>
        <v>2042</v>
      </c>
      <c r="AL39" s="62" t="str">
        <f>'AADT Input'!A42&amp;"- "&amp;'AADT Input'!B42</f>
        <v>12047- US 521/Lancaster Hwy - Lancaster Co SC</v>
      </c>
      <c r="AM39" s="62">
        <f t="shared" si="23"/>
        <v>38</v>
      </c>
      <c r="AO39" s="62">
        <f t="shared" si="24"/>
        <v>2043</v>
      </c>
      <c r="AP39" s="58">
        <f>AP38*(1+Calculator!$D$11)</f>
        <v>1643.2369677455756</v>
      </c>
    </row>
    <row r="40" spans="1:42" x14ac:dyDescent="0.2">
      <c r="A40" s="68">
        <v>2005</v>
      </c>
      <c r="B40" s="290">
        <v>29000</v>
      </c>
      <c r="C40" s="295"/>
      <c r="D40" s="64">
        <f t="shared" si="25"/>
        <v>1992</v>
      </c>
      <c r="E40" s="58">
        <f t="shared" si="12"/>
        <v>29000</v>
      </c>
      <c r="F40" s="59" t="str">
        <f t="shared" si="13"/>
        <v>Y</v>
      </c>
      <c r="G40" s="60" t="e">
        <f t="shared" ca="1" si="35"/>
        <v>#N/A</v>
      </c>
      <c r="H40" s="60" t="e">
        <f t="shared" ca="1" si="15"/>
        <v>#N/A</v>
      </c>
      <c r="I40" s="60" t="e">
        <f t="shared" ca="1" si="26"/>
        <v>#N/A</v>
      </c>
      <c r="J40" s="58" t="str">
        <f t="shared" ca="1" si="27"/>
        <v/>
      </c>
      <c r="K40" s="58" t="str">
        <f t="shared" ca="1" si="28"/>
        <v/>
      </c>
      <c r="L40" s="58" t="str">
        <f t="shared" ca="1" si="29"/>
        <v/>
      </c>
      <c r="M40" s="61" t="str">
        <f t="shared" ca="1" si="30"/>
        <v/>
      </c>
      <c r="N40" s="61"/>
      <c r="O40" s="61"/>
      <c r="P40" s="61"/>
      <c r="Q40" s="61" t="str">
        <f t="shared" ca="1" si="31"/>
        <v/>
      </c>
      <c r="R40" s="61" t="str">
        <f t="shared" ca="1" si="32"/>
        <v/>
      </c>
      <c r="S40" s="61" t="str">
        <f t="shared" ca="1" si="33"/>
        <v/>
      </c>
      <c r="T40" s="61" t="str">
        <f t="shared" ca="1" si="34"/>
        <v/>
      </c>
      <c r="AD40" s="62">
        <f t="shared" si="18"/>
        <v>2044</v>
      </c>
      <c r="AE40" s="58">
        <f>AE39*(1+Calculator!$D$6)</f>
        <v>1420.9594233383182</v>
      </c>
      <c r="AF40" s="62">
        <f t="shared" si="19"/>
        <v>2043</v>
      </c>
      <c r="AG40" s="62">
        <f t="shared" si="20"/>
        <v>2043</v>
      </c>
      <c r="AH40" s="62">
        <f t="shared" si="21"/>
        <v>2043</v>
      </c>
      <c r="AI40" s="62">
        <f t="shared" si="22"/>
        <v>2043</v>
      </c>
      <c r="AJ40" s="62">
        <f t="shared" si="22"/>
        <v>2043</v>
      </c>
      <c r="AL40" s="62" t="str">
        <f>'AADT Input'!A43&amp;"- "&amp;'AADT Input'!B43</f>
        <v>12048- [12048] US 52 -                                   Stanly County</v>
      </c>
      <c r="AM40" s="62">
        <f t="shared" si="23"/>
        <v>39</v>
      </c>
      <c r="AO40" s="62">
        <f t="shared" si="24"/>
        <v>2044</v>
      </c>
      <c r="AP40" s="58">
        <f>AP39*(1+Calculator!$D$11)</f>
        <v>1692.075753003169</v>
      </c>
    </row>
    <row r="41" spans="1:42" x14ac:dyDescent="0.2">
      <c r="A41" s="55">
        <v>2006</v>
      </c>
      <c r="B41" s="290"/>
      <c r="C41" s="295"/>
      <c r="D41" s="64">
        <f t="shared" si="25"/>
        <v>1993</v>
      </c>
      <c r="E41" s="58">
        <f t="shared" si="12"/>
        <v>0</v>
      </c>
      <c r="F41" s="59" t="str">
        <f t="shared" si="13"/>
        <v>N</v>
      </c>
      <c r="G41" s="60" t="e">
        <f t="shared" ca="1" si="35"/>
        <v>#N/A</v>
      </c>
      <c r="H41" s="60" t="e">
        <f t="shared" ca="1" si="15"/>
        <v>#N/A</v>
      </c>
      <c r="I41" s="60" t="e">
        <f t="shared" ca="1" si="26"/>
        <v>#N/A</v>
      </c>
      <c r="J41" s="58" t="str">
        <f t="shared" ca="1" si="27"/>
        <v/>
      </c>
      <c r="K41" s="58" t="str">
        <f t="shared" ca="1" si="28"/>
        <v/>
      </c>
      <c r="L41" s="58" t="str">
        <f t="shared" ca="1" si="29"/>
        <v/>
      </c>
      <c r="M41" s="61" t="str">
        <f t="shared" ca="1" si="30"/>
        <v/>
      </c>
      <c r="N41" s="61"/>
      <c r="O41" s="61"/>
      <c r="P41" s="61"/>
      <c r="Q41" s="61" t="str">
        <f t="shared" ca="1" si="31"/>
        <v/>
      </c>
      <c r="R41" s="61" t="str">
        <f t="shared" ca="1" si="32"/>
        <v/>
      </c>
      <c r="S41" s="61" t="str">
        <f t="shared" ca="1" si="33"/>
        <v/>
      </c>
      <c r="T41" s="61" t="str">
        <f t="shared" ca="1" si="34"/>
        <v/>
      </c>
      <c r="AD41" s="62">
        <f t="shared" si="18"/>
        <v>2045</v>
      </c>
      <c r="AE41" s="58">
        <f>AE40*(1+Calculator!$D$6)</f>
        <v>1456.4834089217759</v>
      </c>
      <c r="AF41" s="62">
        <f t="shared" si="19"/>
        <v>2044</v>
      </c>
      <c r="AG41" s="62">
        <f t="shared" si="20"/>
        <v>2044</v>
      </c>
      <c r="AH41" s="62">
        <f t="shared" si="21"/>
        <v>2044</v>
      </c>
      <c r="AI41" s="62">
        <f t="shared" si="22"/>
        <v>2044</v>
      </c>
      <c r="AJ41" s="62">
        <f t="shared" si="22"/>
        <v>2044</v>
      </c>
      <c r="AL41" s="62" t="str">
        <f>'AADT Input'!A44&amp;"- "&amp;'AADT Input'!B44</f>
        <v>12049- [12049] NC 49-8                                 Stanly County</v>
      </c>
      <c r="AM41" s="62">
        <f t="shared" si="23"/>
        <v>40</v>
      </c>
      <c r="AO41" s="62">
        <f t="shared" si="24"/>
        <v>2045</v>
      </c>
      <c r="AP41" s="58">
        <f>AP40*(1+Calculator!$D$11)</f>
        <v>1742.3660799387162</v>
      </c>
    </row>
    <row r="42" spans="1:42" x14ac:dyDescent="0.2">
      <c r="A42" s="68">
        <v>2007</v>
      </c>
      <c r="B42" s="290">
        <v>30000</v>
      </c>
      <c r="C42" s="295"/>
      <c r="D42" s="64">
        <f t="shared" si="25"/>
        <v>1994</v>
      </c>
      <c r="E42" s="58">
        <f t="shared" si="12"/>
        <v>30000</v>
      </c>
      <c r="F42" s="59" t="str">
        <f t="shared" si="13"/>
        <v>Y</v>
      </c>
      <c r="G42" s="60" t="e">
        <f t="shared" ca="1" si="35"/>
        <v>#N/A</v>
      </c>
      <c r="H42" s="60" t="e">
        <f t="shared" ca="1" si="15"/>
        <v>#N/A</v>
      </c>
      <c r="I42" s="60" t="e">
        <f t="shared" ca="1" si="26"/>
        <v>#N/A</v>
      </c>
      <c r="J42" s="58" t="str">
        <f t="shared" ca="1" si="27"/>
        <v/>
      </c>
      <c r="K42" s="58" t="str">
        <f t="shared" ca="1" si="28"/>
        <v/>
      </c>
      <c r="L42" s="58" t="str">
        <f t="shared" ca="1" si="29"/>
        <v/>
      </c>
      <c r="M42" s="61" t="str">
        <f t="shared" ca="1" si="30"/>
        <v/>
      </c>
      <c r="N42" s="61"/>
      <c r="O42" s="61"/>
      <c r="P42" s="61"/>
      <c r="Q42" s="61" t="str">
        <f t="shared" ca="1" si="31"/>
        <v/>
      </c>
      <c r="R42" s="61" t="str">
        <f t="shared" ca="1" si="32"/>
        <v/>
      </c>
      <c r="S42" s="61" t="str">
        <f t="shared" ca="1" si="33"/>
        <v/>
      </c>
      <c r="T42" s="61" t="str">
        <f t="shared" ca="1" si="34"/>
        <v/>
      </c>
      <c r="AD42" s="62">
        <f t="shared" si="18"/>
        <v>2046</v>
      </c>
      <c r="AE42" s="58">
        <f>AE41*(1+Calculator!$D$6)</f>
        <v>1492.8954941448201</v>
      </c>
      <c r="AF42" s="62">
        <f t="shared" si="19"/>
        <v>2045</v>
      </c>
      <c r="AG42" s="62">
        <f t="shared" si="20"/>
        <v>2045</v>
      </c>
      <c r="AH42" s="62">
        <f t="shared" si="21"/>
        <v>2045</v>
      </c>
      <c r="AI42" s="62">
        <f t="shared" si="22"/>
        <v>2045</v>
      </c>
      <c r="AJ42" s="62">
        <f t="shared" si="22"/>
        <v>2045</v>
      </c>
      <c r="AL42" s="62" t="str">
        <f>'AADT Input'!A45&amp;"- "&amp;'AADT Input'!B45</f>
        <v>12050- [12050] NC 24/27/73                          Stanly County</v>
      </c>
      <c r="AM42" s="62">
        <f t="shared" si="23"/>
        <v>41</v>
      </c>
      <c r="AO42" s="62">
        <f t="shared" si="24"/>
        <v>2046</v>
      </c>
      <c r="AP42" s="58">
        <f>AP41*(1+Calculator!$D$11)</f>
        <v>1794.151089945512</v>
      </c>
    </row>
    <row r="43" spans="1:42" x14ac:dyDescent="0.2">
      <c r="A43" s="55">
        <v>2008</v>
      </c>
      <c r="B43" s="249"/>
      <c r="C43" s="295"/>
      <c r="D43" s="64">
        <f t="shared" si="25"/>
        <v>1995</v>
      </c>
      <c r="E43" s="58">
        <f t="shared" si="12"/>
        <v>0</v>
      </c>
      <c r="F43" s="59" t="str">
        <f t="shared" si="13"/>
        <v>N</v>
      </c>
      <c r="G43" s="60" t="e">
        <f t="shared" ca="1" si="35"/>
        <v>#N/A</v>
      </c>
      <c r="H43" s="60" t="e">
        <f t="shared" ca="1" si="15"/>
        <v>#N/A</v>
      </c>
      <c r="I43" s="60" t="e">
        <f t="shared" ca="1" si="26"/>
        <v>#N/A</v>
      </c>
      <c r="J43" s="58" t="str">
        <f t="shared" ca="1" si="27"/>
        <v/>
      </c>
      <c r="K43" s="58" t="str">
        <f t="shared" ca="1" si="28"/>
        <v/>
      </c>
      <c r="L43" s="58" t="str">
        <f t="shared" ca="1" si="29"/>
        <v/>
      </c>
      <c r="M43" s="61" t="str">
        <f t="shared" ca="1" si="30"/>
        <v/>
      </c>
      <c r="N43" s="61"/>
      <c r="O43" s="61"/>
      <c r="P43" s="61"/>
      <c r="Q43" s="61" t="str">
        <f t="shared" ca="1" si="31"/>
        <v/>
      </c>
      <c r="R43" s="61" t="str">
        <f t="shared" ca="1" si="32"/>
        <v/>
      </c>
      <c r="S43" s="61" t="str">
        <f t="shared" ca="1" si="33"/>
        <v/>
      </c>
      <c r="T43" s="61" t="str">
        <f t="shared" ca="1" si="34"/>
        <v/>
      </c>
      <c r="AD43" s="62">
        <f t="shared" si="18"/>
        <v>2047</v>
      </c>
      <c r="AE43" s="58">
        <f>AE42*(1+Calculator!$D$6)</f>
        <v>1530.2178814984404</v>
      </c>
      <c r="AF43" s="62">
        <f t="shared" si="19"/>
        <v>2046</v>
      </c>
      <c r="AG43" s="62">
        <f t="shared" si="20"/>
        <v>2046</v>
      </c>
      <c r="AH43" s="62">
        <f t="shared" si="21"/>
        <v>2046</v>
      </c>
      <c r="AI43" s="62">
        <f t="shared" si="22"/>
        <v>2046</v>
      </c>
      <c r="AJ43" s="62">
        <f t="shared" si="22"/>
        <v>2046</v>
      </c>
      <c r="AL43" s="62" t="str">
        <f>'AADT Input'!A46&amp;"- "&amp;'AADT Input'!B46</f>
        <v>12051- [12051] NC 731                                   Stanly County</v>
      </c>
      <c r="AM43" s="62">
        <f t="shared" si="23"/>
        <v>42</v>
      </c>
      <c r="AO43" s="62">
        <f t="shared" si="24"/>
        <v>2047</v>
      </c>
      <c r="AP43" s="58">
        <f>AP42*(1+Calculator!$D$11)</f>
        <v>1847.4752066258598</v>
      </c>
    </row>
    <row r="44" spans="1:42" x14ac:dyDescent="0.2">
      <c r="A44" s="68">
        <v>2009</v>
      </c>
      <c r="B44" s="249">
        <v>26000</v>
      </c>
      <c r="C44" s="295"/>
      <c r="D44" s="64">
        <f t="shared" si="25"/>
        <v>1996</v>
      </c>
      <c r="E44" s="58">
        <f t="shared" si="12"/>
        <v>26000</v>
      </c>
      <c r="F44" s="59" t="str">
        <f t="shared" si="13"/>
        <v>Y</v>
      </c>
      <c r="G44" s="60" t="e">
        <f t="shared" ca="1" si="35"/>
        <v>#N/A</v>
      </c>
      <c r="H44" s="60" t="e">
        <f t="shared" ca="1" si="15"/>
        <v>#N/A</v>
      </c>
      <c r="I44" s="60" t="e">
        <f t="shared" ca="1" si="26"/>
        <v>#N/A</v>
      </c>
      <c r="J44" s="58" t="str">
        <f t="shared" ca="1" si="27"/>
        <v/>
      </c>
      <c r="K44" s="58" t="str">
        <f t="shared" ca="1" si="28"/>
        <v/>
      </c>
      <c r="L44" s="58" t="str">
        <f t="shared" ca="1" si="29"/>
        <v/>
      </c>
      <c r="M44" s="61" t="str">
        <f t="shared" ca="1" si="30"/>
        <v/>
      </c>
      <c r="N44" s="61"/>
      <c r="O44" s="61"/>
      <c r="P44" s="61"/>
      <c r="Q44" s="61" t="str">
        <f t="shared" ca="1" si="31"/>
        <v/>
      </c>
      <c r="R44" s="61" t="str">
        <f t="shared" ca="1" si="32"/>
        <v/>
      </c>
      <c r="S44" s="61" t="str">
        <f t="shared" ca="1" si="33"/>
        <v/>
      </c>
      <c r="T44" s="61" t="str">
        <f t="shared" ca="1" si="34"/>
        <v/>
      </c>
      <c r="AD44" s="62">
        <f t="shared" si="18"/>
        <v>2048</v>
      </c>
      <c r="AE44" s="58">
        <f>AE43*(1+Calculator!$D$6)</f>
        <v>1568.4733285359014</v>
      </c>
      <c r="AF44" s="62">
        <f t="shared" si="19"/>
        <v>2047</v>
      </c>
      <c r="AG44" s="62">
        <f t="shared" si="20"/>
        <v>2047</v>
      </c>
      <c r="AH44" s="62">
        <f t="shared" si="21"/>
        <v>2047</v>
      </c>
      <c r="AI44" s="62">
        <f t="shared" si="22"/>
        <v>2047</v>
      </c>
      <c r="AJ44" s="62">
        <f t="shared" si="22"/>
        <v>2047</v>
      </c>
      <c r="AL44" s="62" t="str">
        <f>'AADT Input'!A47&amp;"- "&amp;'AADT Input'!B47</f>
        <v>12052- [12052] Plank Road/SR 1935 -          Stanly County</v>
      </c>
      <c r="AM44" s="62">
        <f t="shared" si="23"/>
        <v>43</v>
      </c>
      <c r="AO44" s="62">
        <f t="shared" si="24"/>
        <v>2048</v>
      </c>
      <c r="AP44" s="58">
        <f>AP43*(1+Calculator!$D$11)</f>
        <v>1902.3841738997132</v>
      </c>
    </row>
    <row r="45" spans="1:42" x14ac:dyDescent="0.2">
      <c r="A45" s="55">
        <v>2010</v>
      </c>
      <c r="B45" s="249"/>
      <c r="C45" s="295"/>
      <c r="D45" s="64">
        <f t="shared" si="25"/>
        <v>1997</v>
      </c>
      <c r="E45" s="58">
        <f t="shared" si="12"/>
        <v>0</v>
      </c>
      <c r="F45" s="59" t="str">
        <f t="shared" si="13"/>
        <v>N</v>
      </c>
      <c r="G45" s="60" t="e">
        <f t="shared" ca="1" si="35"/>
        <v>#N/A</v>
      </c>
      <c r="H45" s="60" t="e">
        <f t="shared" ca="1" si="15"/>
        <v>#N/A</v>
      </c>
      <c r="I45" s="60" t="e">
        <f t="shared" ca="1" si="26"/>
        <v>#N/A</v>
      </c>
      <c r="J45" s="58" t="str">
        <f t="shared" ca="1" si="27"/>
        <v/>
      </c>
      <c r="K45" s="58" t="str">
        <f t="shared" ca="1" si="28"/>
        <v/>
      </c>
      <c r="L45" s="58" t="str">
        <f t="shared" ca="1" si="29"/>
        <v/>
      </c>
      <c r="M45" s="61" t="str">
        <f t="shared" ca="1" si="30"/>
        <v/>
      </c>
      <c r="N45" s="61"/>
      <c r="O45" s="61"/>
      <c r="P45" s="61"/>
      <c r="Q45" s="61" t="str">
        <f t="shared" ca="1" si="31"/>
        <v/>
      </c>
      <c r="R45" s="61" t="str">
        <f t="shared" ca="1" si="32"/>
        <v/>
      </c>
      <c r="S45" s="61" t="str">
        <f t="shared" ca="1" si="33"/>
        <v/>
      </c>
      <c r="T45" s="61" t="str">
        <f t="shared" ca="1" si="34"/>
        <v/>
      </c>
      <c r="AD45" s="62">
        <f t="shared" si="18"/>
        <v>2049</v>
      </c>
      <c r="AE45" s="58">
        <f>AE44*(1+Calculator!$D$6)</f>
        <v>1607.6851617492987</v>
      </c>
      <c r="AF45" s="62">
        <f t="shared" si="19"/>
        <v>2048</v>
      </c>
      <c r="AG45" s="62">
        <f t="shared" si="20"/>
        <v>2048</v>
      </c>
      <c r="AH45" s="62">
        <f t="shared" si="21"/>
        <v>2048</v>
      </c>
      <c r="AI45" s="62">
        <f t="shared" si="22"/>
        <v>2048</v>
      </c>
      <c r="AJ45" s="62">
        <f t="shared" si="22"/>
        <v>2048</v>
      </c>
      <c r="AL45" s="62" t="str">
        <f>'AADT Input'!A48&amp;"- "&amp;'AADT Input'!B48</f>
        <v>12053- Ext Sta 21, Network ID 12053, Rowan NC, Bringle Ferry Rd/SR 1002 - Rowan Co</v>
      </c>
      <c r="AM45" s="62">
        <f t="shared" si="23"/>
        <v>44</v>
      </c>
      <c r="AO45" s="62">
        <f t="shared" si="24"/>
        <v>2049</v>
      </c>
      <c r="AP45" s="58">
        <f>AP44*(1+Calculator!$D$11)</f>
        <v>1958.9250952459506</v>
      </c>
    </row>
    <row r="46" spans="1:42" x14ac:dyDescent="0.2">
      <c r="A46" s="68">
        <v>2011</v>
      </c>
      <c r="B46" s="249">
        <v>29000</v>
      </c>
      <c r="C46" s="295"/>
      <c r="D46" s="64">
        <f t="shared" si="25"/>
        <v>1998</v>
      </c>
      <c r="E46" s="58">
        <f t="shared" si="12"/>
        <v>29000</v>
      </c>
      <c r="F46" s="59" t="str">
        <f t="shared" si="13"/>
        <v>Y</v>
      </c>
      <c r="G46" s="60" t="e">
        <f t="shared" ca="1" si="35"/>
        <v>#N/A</v>
      </c>
      <c r="H46" s="60" t="e">
        <f t="shared" ca="1" si="15"/>
        <v>#N/A</v>
      </c>
      <c r="I46" s="60" t="e">
        <f t="shared" ca="1" si="26"/>
        <v>#N/A</v>
      </c>
      <c r="J46" s="58" t="str">
        <f t="shared" ca="1" si="27"/>
        <v/>
      </c>
      <c r="K46" s="58" t="str">
        <f t="shared" ca="1" si="28"/>
        <v/>
      </c>
      <c r="L46" s="58" t="str">
        <f t="shared" ca="1" si="29"/>
        <v/>
      </c>
      <c r="M46" s="61" t="str">
        <f t="shared" ca="1" si="30"/>
        <v/>
      </c>
      <c r="N46" s="61"/>
      <c r="O46" s="61"/>
      <c r="P46" s="61"/>
      <c r="Q46" s="61" t="str">
        <f t="shared" ca="1" si="31"/>
        <v/>
      </c>
      <c r="R46" s="61" t="str">
        <f t="shared" ca="1" si="32"/>
        <v/>
      </c>
      <c r="S46" s="61" t="str">
        <f t="shared" ca="1" si="33"/>
        <v/>
      </c>
      <c r="T46" s="61" t="str">
        <f t="shared" ca="1" si="34"/>
        <v/>
      </c>
      <c r="AD46" s="62">
        <f t="shared" si="18"/>
        <v>2050</v>
      </c>
      <c r="AE46" s="58">
        <f>AE45*(1+Calculator!$D$6)</f>
        <v>1647.8772907930311</v>
      </c>
      <c r="AF46" s="62">
        <f t="shared" si="19"/>
        <v>2049</v>
      </c>
      <c r="AG46" s="62">
        <f t="shared" si="20"/>
        <v>2049</v>
      </c>
      <c r="AH46" s="62">
        <f t="shared" si="21"/>
        <v>2049</v>
      </c>
      <c r="AI46" s="62">
        <f t="shared" si="22"/>
        <v>2049</v>
      </c>
      <c r="AJ46" s="62">
        <f t="shared" si="22"/>
        <v>2049</v>
      </c>
      <c r="AL46" s="62" t="str">
        <f>'AADT Input'!A49&amp;"- "&amp;'AADT Input'!B49</f>
        <v>12055- Ext Sta 24, Network ID 12055, Rowan NC, US 601 - Rowan Co</v>
      </c>
      <c r="AM46" s="62">
        <f t="shared" si="23"/>
        <v>45</v>
      </c>
      <c r="AO46" s="62">
        <f t="shared" si="24"/>
        <v>2050</v>
      </c>
      <c r="AP46" s="58">
        <f>AP45*(1+Calculator!$D$11)</f>
        <v>2017.1464741099394</v>
      </c>
    </row>
    <row r="47" spans="1:42" x14ac:dyDescent="0.2">
      <c r="A47" s="55">
        <v>2012</v>
      </c>
      <c r="B47" s="249">
        <v>26600</v>
      </c>
      <c r="C47" s="295"/>
      <c r="D47" s="64">
        <f t="shared" si="25"/>
        <v>1999</v>
      </c>
      <c r="E47" s="58">
        <f t="shared" si="12"/>
        <v>26600</v>
      </c>
      <c r="F47" s="59" t="str">
        <f t="shared" si="13"/>
        <v>Y</v>
      </c>
      <c r="G47" s="60" t="e">
        <f t="shared" ca="1" si="35"/>
        <v>#N/A</v>
      </c>
      <c r="H47" s="60" t="e">
        <f t="shared" ca="1" si="15"/>
        <v>#N/A</v>
      </c>
      <c r="I47" s="60" t="e">
        <f t="shared" ca="1" si="26"/>
        <v>#N/A</v>
      </c>
      <c r="J47" s="58" t="str">
        <f t="shared" ca="1" si="27"/>
        <v/>
      </c>
      <c r="K47" s="58" t="str">
        <f t="shared" ca="1" si="28"/>
        <v/>
      </c>
      <c r="L47" s="58" t="str">
        <f t="shared" ca="1" si="29"/>
        <v/>
      </c>
      <c r="M47" s="61" t="str">
        <f t="shared" ca="1" si="30"/>
        <v/>
      </c>
      <c r="N47" s="61"/>
      <c r="O47" s="61"/>
      <c r="P47" s="61"/>
      <c r="Q47" s="61" t="str">
        <f t="shared" ca="1" si="31"/>
        <v/>
      </c>
      <c r="R47" s="61" t="str">
        <f t="shared" ca="1" si="32"/>
        <v/>
      </c>
      <c r="S47" s="61" t="str">
        <f t="shared" ca="1" si="33"/>
        <v/>
      </c>
      <c r="T47" s="61" t="str">
        <f t="shared" ca="1" si="34"/>
        <v/>
      </c>
      <c r="AD47" s="62">
        <f t="shared" si="18"/>
        <v>2051</v>
      </c>
      <c r="AE47" s="58">
        <f>AE46*(1+Calculator!$D$6)</f>
        <v>1689.0742230628566</v>
      </c>
      <c r="AF47" s="62">
        <f t="shared" si="19"/>
        <v>2050</v>
      </c>
      <c r="AG47" s="62">
        <f t="shared" si="20"/>
        <v>2050</v>
      </c>
      <c r="AH47" s="62">
        <f t="shared" si="21"/>
        <v>2050</v>
      </c>
      <c r="AI47" s="62">
        <f t="shared" si="22"/>
        <v>2050</v>
      </c>
      <c r="AJ47" s="62">
        <f t="shared" si="22"/>
        <v>2050</v>
      </c>
      <c r="AL47" s="62" t="str">
        <f>'AADT Input'!A50&amp;"- "&amp;'AADT Input'!B50</f>
        <v>12056- Ext Sta 25, Network ID 12056, Rowan NC, NC 801 - Rowan Co</v>
      </c>
      <c r="AM47" s="62">
        <f t="shared" si="23"/>
        <v>46</v>
      </c>
      <c r="AO47" s="62">
        <f t="shared" si="24"/>
        <v>2051</v>
      </c>
      <c r="AP47" s="58">
        <f>AP46*(1+Calculator!$D$11)</f>
        <v>2077.0982555120604</v>
      </c>
    </row>
    <row r="48" spans="1:42" x14ac:dyDescent="0.2">
      <c r="A48" s="68">
        <v>2013</v>
      </c>
      <c r="B48" s="249">
        <v>29000</v>
      </c>
      <c r="C48" s="295"/>
      <c r="D48" s="64">
        <f t="shared" si="25"/>
        <v>2000</v>
      </c>
      <c r="E48" s="58">
        <f t="shared" si="12"/>
        <v>29000</v>
      </c>
      <c r="F48" s="59" t="str">
        <f t="shared" si="13"/>
        <v>Y</v>
      </c>
      <c r="G48" s="60" t="e">
        <f t="shared" ca="1" si="35"/>
        <v>#N/A</v>
      </c>
      <c r="H48" s="60" t="e">
        <f t="shared" ca="1" si="15"/>
        <v>#N/A</v>
      </c>
      <c r="I48" s="60" t="e">
        <f t="shared" ca="1" si="26"/>
        <v>#N/A</v>
      </c>
      <c r="J48" s="58" t="str">
        <f t="shared" ca="1" si="27"/>
        <v/>
      </c>
      <c r="K48" s="58" t="str">
        <f t="shared" ca="1" si="28"/>
        <v/>
      </c>
      <c r="L48" s="58" t="str">
        <f t="shared" ca="1" si="29"/>
        <v/>
      </c>
      <c r="M48" s="61" t="str">
        <f t="shared" ca="1" si="30"/>
        <v/>
      </c>
      <c r="N48" s="61"/>
      <c r="O48" s="61"/>
      <c r="P48" s="61"/>
      <c r="Q48" s="61" t="str">
        <f t="shared" ca="1" si="31"/>
        <v/>
      </c>
      <c r="R48" s="61" t="str">
        <f t="shared" ca="1" si="32"/>
        <v/>
      </c>
      <c r="S48" s="61" t="str">
        <f t="shared" ca="1" si="33"/>
        <v/>
      </c>
      <c r="T48" s="61" t="str">
        <f t="shared" ca="1" si="34"/>
        <v/>
      </c>
      <c r="AD48" s="62">
        <f t="shared" si="18"/>
        <v>2052</v>
      </c>
      <c r="AE48" s="58">
        <f>AE47*(1+Calculator!$D$6)</f>
        <v>1731.3010786394279</v>
      </c>
      <c r="AF48" s="62">
        <f t="shared" si="19"/>
        <v>2051</v>
      </c>
      <c r="AG48" s="62">
        <f t="shared" si="20"/>
        <v>2051</v>
      </c>
      <c r="AH48" s="62">
        <f t="shared" si="21"/>
        <v>2051</v>
      </c>
      <c r="AI48" s="62">
        <f t="shared" si="22"/>
        <v>2051</v>
      </c>
      <c r="AJ48" s="62">
        <f t="shared" si="22"/>
        <v>2051</v>
      </c>
      <c r="AL48" s="62" t="str">
        <f>'AADT Input'!A51&amp;"- "&amp;'AADT Input'!B51</f>
        <v>12057- Ext Sta 22, Network ID 12057, Rowan NC, I-85 - Rowan Co</v>
      </c>
      <c r="AM48" s="62">
        <f t="shared" si="23"/>
        <v>47</v>
      </c>
      <c r="AO48" s="62">
        <f t="shared" si="24"/>
        <v>2052</v>
      </c>
      <c r="AP48" s="58">
        <f>AP47*(1+Calculator!$D$11)</f>
        <v>2138.8318688928798</v>
      </c>
    </row>
    <row r="49" spans="1:42" x14ac:dyDescent="0.2">
      <c r="A49" s="55">
        <v>2014</v>
      </c>
      <c r="B49" s="249"/>
      <c r="C49" s="295"/>
      <c r="D49" s="64">
        <f t="shared" si="25"/>
        <v>2001</v>
      </c>
      <c r="E49" s="58">
        <f t="shared" si="12"/>
        <v>0</v>
      </c>
      <c r="F49" s="59" t="str">
        <f t="shared" si="13"/>
        <v>N</v>
      </c>
      <c r="G49" s="60" t="e">
        <f t="shared" ca="1" si="35"/>
        <v>#N/A</v>
      </c>
      <c r="H49" s="60" t="e">
        <f t="shared" ca="1" si="15"/>
        <v>#N/A</v>
      </c>
      <c r="I49" s="60" t="e">
        <f t="shared" ca="1" si="26"/>
        <v>#N/A</v>
      </c>
      <c r="J49" s="58" t="str">
        <f t="shared" ca="1" si="27"/>
        <v/>
      </c>
      <c r="K49" s="58" t="str">
        <f t="shared" ca="1" si="28"/>
        <v/>
      </c>
      <c r="L49" s="58" t="str">
        <f t="shared" ca="1" si="29"/>
        <v/>
      </c>
      <c r="M49" s="61" t="str">
        <f t="shared" ca="1" si="30"/>
        <v/>
      </c>
      <c r="N49" s="61"/>
      <c r="O49" s="61"/>
      <c r="P49" s="61"/>
      <c r="Q49" s="61" t="str">
        <f t="shared" ca="1" si="31"/>
        <v/>
      </c>
      <c r="R49" s="61" t="str">
        <f t="shared" ca="1" si="32"/>
        <v/>
      </c>
      <c r="S49" s="61" t="str">
        <f t="shared" ca="1" si="33"/>
        <v/>
      </c>
      <c r="T49" s="61" t="str">
        <f t="shared" ca="1" si="34"/>
        <v/>
      </c>
      <c r="AD49" s="62">
        <f t="shared" si="18"/>
        <v>2053</v>
      </c>
      <c r="AE49" s="58">
        <f>AE48*(1+Calculator!$D$6)</f>
        <v>1774.5836056054136</v>
      </c>
      <c r="AF49" s="62">
        <f t="shared" si="19"/>
        <v>2052</v>
      </c>
      <c r="AG49" s="62">
        <f t="shared" si="20"/>
        <v>2052</v>
      </c>
      <c r="AH49" s="62">
        <f t="shared" si="21"/>
        <v>2052</v>
      </c>
      <c r="AI49" s="62">
        <f t="shared" si="22"/>
        <v>2052</v>
      </c>
      <c r="AJ49" s="62">
        <f t="shared" si="22"/>
        <v>2052</v>
      </c>
      <c r="AL49" s="62" t="str">
        <f>'AADT Input'!A52&amp;"- "&amp;'AADT Input'!B52</f>
        <v>12058- Ext Sta 23, Network ID 12058, Rowan NC, US 29/Main St - Rowan Co</v>
      </c>
      <c r="AM49" s="62">
        <f t="shared" si="23"/>
        <v>48</v>
      </c>
      <c r="AO49" s="62">
        <f t="shared" si="24"/>
        <v>2053</v>
      </c>
      <c r="AP49" s="58">
        <f>AP48*(1+Calculator!$D$11)</f>
        <v>2202.4002722317277</v>
      </c>
    </row>
    <row r="50" spans="1:42" x14ac:dyDescent="0.2">
      <c r="A50" s="68">
        <v>2015</v>
      </c>
      <c r="B50" s="249">
        <v>30000</v>
      </c>
      <c r="C50" s="295"/>
      <c r="D50" s="64">
        <f t="shared" si="25"/>
        <v>2002</v>
      </c>
      <c r="E50" s="58">
        <f t="shared" si="12"/>
        <v>30000</v>
      </c>
      <c r="F50" s="59" t="str">
        <f t="shared" si="13"/>
        <v>Y</v>
      </c>
      <c r="G50" s="60" t="e">
        <f t="shared" ca="1" si="35"/>
        <v>#N/A</v>
      </c>
      <c r="H50" s="60" t="e">
        <f t="shared" ca="1" si="15"/>
        <v>#N/A</v>
      </c>
      <c r="I50" s="60" t="e">
        <f t="shared" ca="1" si="26"/>
        <v>#N/A</v>
      </c>
      <c r="J50" s="58" t="str">
        <f t="shared" ca="1" si="27"/>
        <v/>
      </c>
      <c r="K50" s="58" t="str">
        <f t="shared" ca="1" si="28"/>
        <v/>
      </c>
      <c r="L50" s="58" t="str">
        <f t="shared" ca="1" si="29"/>
        <v/>
      </c>
      <c r="M50" s="61" t="str">
        <f t="shared" ca="1" si="30"/>
        <v/>
      </c>
      <c r="N50" s="61"/>
      <c r="O50" s="61"/>
      <c r="P50" s="61"/>
      <c r="Q50" s="61" t="str">
        <f t="shared" ca="1" si="31"/>
        <v/>
      </c>
      <c r="R50" s="61" t="str">
        <f t="shared" ca="1" si="32"/>
        <v/>
      </c>
      <c r="S50" s="61" t="str">
        <f t="shared" ca="1" si="33"/>
        <v/>
      </c>
      <c r="T50" s="61" t="str">
        <f t="shared" ca="1" si="34"/>
        <v/>
      </c>
      <c r="AD50" s="62">
        <f t="shared" si="18"/>
        <v>2054</v>
      </c>
      <c r="AE50" s="58">
        <f>AE49*(1+Calculator!$D$6)</f>
        <v>1818.9481957455487</v>
      </c>
      <c r="AF50" s="62">
        <f t="shared" si="19"/>
        <v>2053</v>
      </c>
      <c r="AG50" s="62">
        <f t="shared" si="20"/>
        <v>2053</v>
      </c>
      <c r="AH50" s="62">
        <f t="shared" si="21"/>
        <v>2053</v>
      </c>
      <c r="AI50" s="62">
        <f t="shared" si="22"/>
        <v>2053</v>
      </c>
      <c r="AJ50" s="62">
        <f t="shared" si="22"/>
        <v>2053</v>
      </c>
      <c r="AL50" s="62" t="str">
        <f>'AADT Input'!A53&amp;"- "&amp;'AADT Input'!B53</f>
        <v>12065- [12065] NC 742 -                                 Stanly County</v>
      </c>
      <c r="AM50" s="62">
        <f t="shared" si="23"/>
        <v>49</v>
      </c>
      <c r="AO50" s="62">
        <f t="shared" si="24"/>
        <v>2054</v>
      </c>
      <c r="AP50" s="58">
        <f>AP49*(1+Calculator!$D$11)</f>
        <v>2267.8579974765289</v>
      </c>
    </row>
    <row r="51" spans="1:42" x14ac:dyDescent="0.2">
      <c r="A51" s="55">
        <v>2016</v>
      </c>
      <c r="B51" s="249"/>
      <c r="C51" s="295"/>
      <c r="D51" s="64">
        <f t="shared" si="25"/>
        <v>2003</v>
      </c>
      <c r="E51" s="58">
        <f t="shared" si="12"/>
        <v>0</v>
      </c>
      <c r="F51" s="59" t="str">
        <f t="shared" si="13"/>
        <v>N</v>
      </c>
      <c r="G51" s="60" t="e">
        <f t="shared" ca="1" si="35"/>
        <v>#N/A</v>
      </c>
      <c r="H51" s="60" t="e">
        <f t="shared" ca="1" si="15"/>
        <v>#N/A</v>
      </c>
      <c r="I51" s="60" t="e">
        <f t="shared" ca="1" si="26"/>
        <v>#N/A</v>
      </c>
      <c r="J51" s="58" t="str">
        <f t="shared" ca="1" si="27"/>
        <v/>
      </c>
      <c r="K51" s="58" t="str">
        <f t="shared" ca="1" si="28"/>
        <v/>
      </c>
      <c r="L51" s="58" t="str">
        <f t="shared" ca="1" si="29"/>
        <v/>
      </c>
      <c r="M51" s="61" t="str">
        <f t="shared" ca="1" si="30"/>
        <v/>
      </c>
      <c r="N51" s="61"/>
      <c r="O51" s="61"/>
      <c r="P51" s="61"/>
      <c r="Q51" s="61" t="str">
        <f t="shared" ca="1" si="31"/>
        <v/>
      </c>
      <c r="R51" s="61" t="str">
        <f t="shared" ca="1" si="32"/>
        <v/>
      </c>
      <c r="S51" s="61" t="str">
        <f t="shared" ca="1" si="33"/>
        <v/>
      </c>
      <c r="T51" s="61" t="str">
        <f t="shared" ca="1" si="34"/>
        <v/>
      </c>
      <c r="AD51" s="62">
        <f t="shared" si="18"/>
        <v>2055</v>
      </c>
      <c r="AE51" s="58">
        <f>AE50*(1+Calculator!$D$6)</f>
        <v>1864.4219006391872</v>
      </c>
      <c r="AF51" s="62">
        <f t="shared" si="19"/>
        <v>2054</v>
      </c>
      <c r="AG51" s="62">
        <f t="shared" si="20"/>
        <v>2054</v>
      </c>
      <c r="AH51" s="62">
        <f t="shared" si="21"/>
        <v>2054</v>
      </c>
      <c r="AI51" s="62">
        <f t="shared" si="22"/>
        <v>2054</v>
      </c>
      <c r="AJ51" s="62">
        <f t="shared" si="22"/>
        <v>2054</v>
      </c>
      <c r="AL51" s="62" t="str">
        <f>'AADT Input'!A54&amp;"- "&amp;'AADT Input'!B54</f>
        <v xml:space="preserve">12066- Ext Sta 40, Network ID 12066, Lincoln Co. NC, SR 1125/Cat Square Rd.  </v>
      </c>
      <c r="AM51" s="62">
        <f t="shared" si="23"/>
        <v>50</v>
      </c>
      <c r="AO51" s="62">
        <f t="shared" si="24"/>
        <v>2055</v>
      </c>
      <c r="AP51" s="58">
        <f>AP50*(1+Calculator!$D$11)</f>
        <v>2335.2611973238563</v>
      </c>
    </row>
    <row r="52" spans="1:42" x14ac:dyDescent="0.2">
      <c r="A52" s="68">
        <v>2017</v>
      </c>
      <c r="B52" s="249">
        <v>32000</v>
      </c>
      <c r="C52" s="295"/>
      <c r="D52" s="64">
        <f t="shared" si="25"/>
        <v>2004</v>
      </c>
      <c r="E52" s="58">
        <f t="shared" si="12"/>
        <v>32000</v>
      </c>
      <c r="F52" s="59" t="str">
        <f t="shared" si="13"/>
        <v>Y</v>
      </c>
      <c r="G52" s="60" t="e">
        <f t="shared" ca="1" si="35"/>
        <v>#N/A</v>
      </c>
      <c r="H52" s="60" t="e">
        <f t="shared" ca="1" si="15"/>
        <v>#N/A</v>
      </c>
      <c r="I52" s="60" t="e">
        <f t="shared" ca="1" si="26"/>
        <v>#N/A</v>
      </c>
      <c r="J52" s="58" t="str">
        <f t="shared" ca="1" si="27"/>
        <v/>
      </c>
      <c r="K52" s="58" t="str">
        <f t="shared" ca="1" si="28"/>
        <v/>
      </c>
      <c r="L52" s="58" t="str">
        <f t="shared" ca="1" si="29"/>
        <v/>
      </c>
      <c r="M52" s="61" t="str">
        <f t="shared" ca="1" si="30"/>
        <v/>
      </c>
      <c r="N52" s="61"/>
      <c r="O52" s="61"/>
      <c r="P52" s="61"/>
      <c r="Q52" s="61" t="str">
        <f t="shared" ca="1" si="31"/>
        <v/>
      </c>
      <c r="R52" s="61" t="str">
        <f t="shared" ca="1" si="32"/>
        <v/>
      </c>
      <c r="S52" s="61" t="str">
        <f t="shared" ca="1" si="33"/>
        <v/>
      </c>
      <c r="T52" s="61" t="str">
        <f t="shared" ca="1" si="34"/>
        <v/>
      </c>
      <c r="AD52" s="62">
        <f t="shared" si="18"/>
        <v>2056</v>
      </c>
      <c r="AE52" s="58">
        <f>AE51*(1+Calculator!$D$6)</f>
        <v>1911.0324481551668</v>
      </c>
      <c r="AF52" s="62">
        <f t="shared" si="19"/>
        <v>2055</v>
      </c>
      <c r="AG52" s="62">
        <f t="shared" si="20"/>
        <v>2055</v>
      </c>
      <c r="AH52" s="62">
        <f t="shared" si="21"/>
        <v>2055</v>
      </c>
      <c r="AI52" s="62">
        <f t="shared" si="22"/>
        <v>2055</v>
      </c>
      <c r="AJ52" s="62">
        <f t="shared" si="22"/>
        <v>2055</v>
      </c>
      <c r="AL52" s="62" t="str">
        <f>'AADT Input'!A55&amp;"- "&amp;'AADT Input'!B55</f>
        <v xml:space="preserve">12067- Ext Sta 39, Network ID 12067, Lincoln Co. NC, SR 1197/Cansler Rd.  </v>
      </c>
      <c r="AM52" s="62">
        <f t="shared" si="23"/>
        <v>51</v>
      </c>
      <c r="AO52" s="62">
        <f t="shared" si="24"/>
        <v>2056</v>
      </c>
      <c r="AP52" s="58">
        <f>AP51*(1+Calculator!$D$11)</f>
        <v>2404.6676933893395</v>
      </c>
    </row>
    <row r="53" spans="1:42" x14ac:dyDescent="0.2">
      <c r="A53" s="55">
        <v>2018</v>
      </c>
      <c r="B53" s="291">
        <v>33000</v>
      </c>
      <c r="C53" s="295"/>
      <c r="D53" s="64">
        <f t="shared" si="25"/>
        <v>2005</v>
      </c>
      <c r="E53" s="58">
        <f t="shared" si="12"/>
        <v>33000</v>
      </c>
      <c r="F53" s="59" t="str">
        <f t="shared" si="13"/>
        <v>Y</v>
      </c>
      <c r="G53" s="60" t="e">
        <f t="shared" ca="1" si="35"/>
        <v>#N/A</v>
      </c>
      <c r="H53" s="60" t="e">
        <f t="shared" ca="1" si="15"/>
        <v>#N/A</v>
      </c>
      <c r="I53" s="60" t="e">
        <f t="shared" ca="1" si="26"/>
        <v>#N/A</v>
      </c>
      <c r="J53" s="58" t="str">
        <f t="shared" ca="1" si="27"/>
        <v/>
      </c>
      <c r="K53" s="58" t="str">
        <f t="shared" ca="1" si="28"/>
        <v/>
      </c>
      <c r="L53" s="58" t="str">
        <f t="shared" ca="1" si="29"/>
        <v/>
      </c>
      <c r="M53" s="61" t="str">
        <f t="shared" ca="1" si="30"/>
        <v/>
      </c>
      <c r="N53" s="61"/>
      <c r="O53" s="61"/>
      <c r="P53" s="61"/>
      <c r="Q53" s="61" t="str">
        <f t="shared" ca="1" si="31"/>
        <v/>
      </c>
      <c r="R53" s="61" t="str">
        <f t="shared" ca="1" si="32"/>
        <v/>
      </c>
      <c r="S53" s="61" t="str">
        <f t="shared" ca="1" si="33"/>
        <v/>
      </c>
      <c r="T53" s="61" t="str">
        <f t="shared" ca="1" si="34"/>
        <v/>
      </c>
      <c r="AD53" s="62">
        <f t="shared" si="18"/>
        <v>2057</v>
      </c>
      <c r="AE53" s="58">
        <f>AE52*(1+Calculator!$D$6)</f>
        <v>1958.8082593590457</v>
      </c>
      <c r="AF53" s="62">
        <f t="shared" si="19"/>
        <v>2056</v>
      </c>
      <c r="AG53" s="62">
        <f t="shared" si="20"/>
        <v>2056</v>
      </c>
      <c r="AH53" s="62">
        <f t="shared" si="21"/>
        <v>2056</v>
      </c>
      <c r="AI53" s="62">
        <f t="shared" si="22"/>
        <v>2056</v>
      </c>
      <c r="AJ53" s="62">
        <f t="shared" si="22"/>
        <v>2056</v>
      </c>
      <c r="AL53" s="62" t="str">
        <f>'AADT Input'!A56&amp;"- "&amp;'AADT Input'!B56</f>
        <v xml:space="preserve">12069- </v>
      </c>
      <c r="AM53" s="62">
        <f t="shared" si="23"/>
        <v>52</v>
      </c>
      <c r="AO53" s="62">
        <f t="shared" si="24"/>
        <v>2057</v>
      </c>
      <c r="AP53" s="58">
        <f>AP52*(1+Calculator!$D$11)</f>
        <v>2476.137025809749</v>
      </c>
    </row>
    <row r="54" spans="1:42" x14ac:dyDescent="0.2">
      <c r="A54" s="68">
        <v>2019</v>
      </c>
      <c r="B54" s="66"/>
      <c r="C54" s="295"/>
      <c r="D54" s="64">
        <f t="shared" si="25"/>
        <v>2006</v>
      </c>
      <c r="E54" s="58">
        <f t="shared" si="12"/>
        <v>0</v>
      </c>
      <c r="F54" s="59" t="str">
        <f t="shared" si="13"/>
        <v>N</v>
      </c>
      <c r="G54" s="60" t="e">
        <f t="shared" ca="1" si="35"/>
        <v>#N/A</v>
      </c>
      <c r="H54" s="60" t="e">
        <f t="shared" ca="1" si="15"/>
        <v>#N/A</v>
      </c>
      <c r="I54" s="60" t="e">
        <f t="shared" ca="1" si="26"/>
        <v>#N/A</v>
      </c>
      <c r="J54" s="58" t="str">
        <f t="shared" ca="1" si="27"/>
        <v/>
      </c>
      <c r="K54" s="58" t="str">
        <f t="shared" ca="1" si="28"/>
        <v/>
      </c>
      <c r="L54" s="58" t="str">
        <f t="shared" ca="1" si="29"/>
        <v/>
      </c>
      <c r="M54" s="61" t="str">
        <f t="shared" ca="1" si="30"/>
        <v/>
      </c>
      <c r="N54" s="61"/>
      <c r="O54" s="61"/>
      <c r="P54" s="61"/>
      <c r="Q54" s="61" t="str">
        <f t="shared" ca="1" si="31"/>
        <v/>
      </c>
      <c r="R54" s="61" t="str">
        <f t="shared" ca="1" si="32"/>
        <v/>
      </c>
      <c r="S54" s="61" t="str">
        <f t="shared" ca="1" si="33"/>
        <v/>
      </c>
      <c r="T54" s="61" t="str">
        <f t="shared" ca="1" si="34"/>
        <v/>
      </c>
      <c r="AD54" s="62">
        <f t="shared" si="18"/>
        <v>2058</v>
      </c>
      <c r="AE54" s="58">
        <f>AE53*(1+Calculator!$D$6)</f>
        <v>2007.7784658430216</v>
      </c>
      <c r="AF54" s="62">
        <f t="shared" si="19"/>
        <v>2057</v>
      </c>
      <c r="AG54" s="62">
        <f t="shared" si="20"/>
        <v>2057</v>
      </c>
      <c r="AH54" s="62">
        <f t="shared" si="21"/>
        <v>2057</v>
      </c>
      <c r="AI54" s="62">
        <f t="shared" si="22"/>
        <v>2057</v>
      </c>
      <c r="AJ54" s="62">
        <f t="shared" si="22"/>
        <v>2057</v>
      </c>
      <c r="AL54" s="62" t="str">
        <f>'AADT Input'!A57&amp;"- "&amp;'AADT Input'!B57</f>
        <v xml:space="preserve">12070- </v>
      </c>
      <c r="AM54" s="62">
        <f t="shared" si="23"/>
        <v>53</v>
      </c>
      <c r="AO54" s="62">
        <f t="shared" si="24"/>
        <v>2058</v>
      </c>
      <c r="AP54" s="58">
        <f>AP53*(1+Calculator!$D$11)</f>
        <v>2549.7305043193087</v>
      </c>
    </row>
    <row r="55" spans="1:42" x14ac:dyDescent="0.2">
      <c r="A55" s="55">
        <v>2020</v>
      </c>
      <c r="B55" s="66"/>
      <c r="C55" s="295"/>
      <c r="D55" s="64">
        <f t="shared" si="25"/>
        <v>2007</v>
      </c>
      <c r="E55" s="58">
        <f t="shared" si="12"/>
        <v>0</v>
      </c>
      <c r="F55" s="59" t="str">
        <f t="shared" si="13"/>
        <v>N</v>
      </c>
      <c r="G55" s="60" t="e">
        <f t="shared" ca="1" si="35"/>
        <v>#N/A</v>
      </c>
      <c r="H55" s="60" t="e">
        <f t="shared" ca="1" si="15"/>
        <v>#N/A</v>
      </c>
      <c r="I55" s="60" t="e">
        <f t="shared" ca="1" si="26"/>
        <v>#N/A</v>
      </c>
      <c r="J55" s="58" t="str">
        <f t="shared" ca="1" si="27"/>
        <v/>
      </c>
      <c r="K55" s="58" t="str">
        <f t="shared" ca="1" si="28"/>
        <v/>
      </c>
      <c r="L55" s="58" t="str">
        <f t="shared" ca="1" si="29"/>
        <v/>
      </c>
      <c r="M55" s="61" t="str">
        <f t="shared" ca="1" si="30"/>
        <v/>
      </c>
      <c r="N55" s="61"/>
      <c r="O55" s="61"/>
      <c r="P55" s="61"/>
      <c r="Q55" s="61" t="str">
        <f t="shared" ca="1" si="31"/>
        <v/>
      </c>
      <c r="R55" s="61" t="str">
        <f t="shared" ca="1" si="32"/>
        <v/>
      </c>
      <c r="S55" s="61" t="str">
        <f t="shared" ca="1" si="33"/>
        <v/>
      </c>
      <c r="T55" s="61" t="str">
        <f t="shared" ca="1" si="34"/>
        <v/>
      </c>
      <c r="AD55" s="62">
        <f t="shared" si="18"/>
        <v>2059</v>
      </c>
      <c r="AE55" s="58">
        <f>AE54*(1+Calculator!$D$6)</f>
        <v>2057.9729274890969</v>
      </c>
      <c r="AF55" s="62">
        <f t="shared" si="19"/>
        <v>2058</v>
      </c>
      <c r="AG55" s="62">
        <f t="shared" si="20"/>
        <v>2058</v>
      </c>
      <c r="AH55" s="62">
        <f t="shared" si="21"/>
        <v>2058</v>
      </c>
      <c r="AI55" s="62">
        <f t="shared" si="22"/>
        <v>2058</v>
      </c>
      <c r="AJ55" s="62">
        <f t="shared" si="22"/>
        <v>2058</v>
      </c>
      <c r="AL55" s="62" t="str">
        <f>'AADT Input'!A58&amp;"- "&amp;'AADT Input'!B58</f>
        <v>12079- NC-90</v>
      </c>
      <c r="AM55" s="62">
        <f t="shared" si="23"/>
        <v>54</v>
      </c>
      <c r="AO55" s="62">
        <f t="shared" si="24"/>
        <v>2059</v>
      </c>
      <c r="AP55" s="58">
        <f>AP54*(1+Calculator!$D$11)</f>
        <v>2625.5112608440527</v>
      </c>
    </row>
    <row r="56" spans="1:42" x14ac:dyDescent="0.2">
      <c r="A56" s="68">
        <v>2021</v>
      </c>
      <c r="B56" s="66"/>
      <c r="C56" s="295"/>
      <c r="D56" s="64">
        <f t="shared" si="25"/>
        <v>2008</v>
      </c>
      <c r="E56" s="58">
        <f t="shared" si="12"/>
        <v>0</v>
      </c>
      <c r="F56" s="59" t="str">
        <f t="shared" si="13"/>
        <v>N</v>
      </c>
      <c r="G56" s="60" t="e">
        <f t="shared" ca="1" si="35"/>
        <v>#N/A</v>
      </c>
      <c r="H56" s="60" t="e">
        <f t="shared" ca="1" si="15"/>
        <v>#N/A</v>
      </c>
      <c r="I56" s="60" t="e">
        <f t="shared" ca="1" si="26"/>
        <v>#N/A</v>
      </c>
      <c r="J56" s="58" t="str">
        <f t="shared" ca="1" si="27"/>
        <v/>
      </c>
      <c r="K56" s="58" t="str">
        <f t="shared" ca="1" si="28"/>
        <v/>
      </c>
      <c r="L56" s="58" t="str">
        <f t="shared" ca="1" si="29"/>
        <v/>
      </c>
      <c r="M56" s="61" t="str">
        <f t="shared" ca="1" si="30"/>
        <v/>
      </c>
      <c r="N56" s="61"/>
      <c r="O56" s="61"/>
      <c r="P56" s="61"/>
      <c r="Q56" s="61" t="str">
        <f t="shared" ca="1" si="31"/>
        <v/>
      </c>
      <c r="R56" s="61" t="str">
        <f t="shared" ca="1" si="32"/>
        <v/>
      </c>
      <c r="S56" s="61" t="str">
        <f t="shared" ca="1" si="33"/>
        <v/>
      </c>
      <c r="T56" s="61" t="str">
        <f t="shared" ca="1" si="34"/>
        <v/>
      </c>
      <c r="AD56" s="62">
        <f t="shared" si="18"/>
        <v>2060</v>
      </c>
      <c r="AE56" s="58">
        <f>AE55*(1+Calculator!$D$6)</f>
        <v>2109.422250676324</v>
      </c>
      <c r="AF56" s="62">
        <f t="shared" si="19"/>
        <v>2059</v>
      </c>
      <c r="AG56" s="62">
        <f t="shared" si="20"/>
        <v>2059</v>
      </c>
      <c r="AH56" s="62">
        <f t="shared" si="21"/>
        <v>2059</v>
      </c>
      <c r="AI56" s="62">
        <f t="shared" si="22"/>
        <v>2059</v>
      </c>
      <c r="AJ56" s="62">
        <f t="shared" si="22"/>
        <v>2059</v>
      </c>
      <c r="AL56" s="62" t="e">
        <f>'AADT Input'!A59&amp;"- "&amp;'AADT Input'!#REF!</f>
        <v>#REF!</v>
      </c>
      <c r="AM56" s="62">
        <f t="shared" si="23"/>
        <v>55</v>
      </c>
      <c r="AO56" s="62">
        <f t="shared" si="24"/>
        <v>2060</v>
      </c>
      <c r="AP56" s="58">
        <f>AP55*(1+Calculator!$D$11)</f>
        <v>2703.5443036593415</v>
      </c>
    </row>
    <row r="57" spans="1:42" x14ac:dyDescent="0.2">
      <c r="A57" s="55">
        <v>2022</v>
      </c>
      <c r="B57" s="66"/>
      <c r="C57" s="295"/>
      <c r="D57" s="64">
        <f t="shared" si="25"/>
        <v>2009</v>
      </c>
      <c r="E57" s="58">
        <f t="shared" si="12"/>
        <v>0</v>
      </c>
      <c r="F57" s="59" t="str">
        <f t="shared" si="13"/>
        <v>N</v>
      </c>
      <c r="G57" s="60" t="e">
        <f t="shared" ca="1" si="35"/>
        <v>#N/A</v>
      </c>
      <c r="H57" s="60" t="e">
        <f t="shared" ca="1" si="15"/>
        <v>#N/A</v>
      </c>
      <c r="I57" s="60" t="e">
        <f t="shared" ca="1" si="26"/>
        <v>#N/A</v>
      </c>
      <c r="J57" s="58" t="str">
        <f t="shared" ca="1" si="27"/>
        <v/>
      </c>
      <c r="K57" s="58" t="str">
        <f t="shared" ca="1" si="28"/>
        <v/>
      </c>
      <c r="L57" s="58" t="str">
        <f t="shared" ca="1" si="29"/>
        <v/>
      </c>
      <c r="M57" s="61" t="str">
        <f t="shared" ca="1" si="30"/>
        <v/>
      </c>
      <c r="N57" s="61"/>
      <c r="O57" s="61"/>
      <c r="P57" s="61"/>
      <c r="Q57" s="61" t="str">
        <f t="shared" ca="1" si="31"/>
        <v/>
      </c>
      <c r="R57" s="61" t="str">
        <f t="shared" ca="1" si="32"/>
        <v/>
      </c>
      <c r="S57" s="61" t="str">
        <f t="shared" ca="1" si="33"/>
        <v/>
      </c>
      <c r="T57" s="61" t="str">
        <f t="shared" ca="1" si="34"/>
        <v/>
      </c>
      <c r="AD57" s="62">
        <f t="shared" si="18"/>
        <v>2061</v>
      </c>
      <c r="AE57" s="58">
        <f>AE56*(1+Calculator!$D$6)</f>
        <v>2162.1578069432321</v>
      </c>
      <c r="AF57" s="62">
        <f t="shared" si="19"/>
        <v>2060</v>
      </c>
      <c r="AG57" s="62">
        <f t="shared" si="20"/>
        <v>2060</v>
      </c>
      <c r="AH57" s="62">
        <f t="shared" si="21"/>
        <v>2060</v>
      </c>
      <c r="AI57" s="62">
        <f t="shared" si="22"/>
        <v>2060</v>
      </c>
      <c r="AJ57" s="62">
        <f t="shared" si="22"/>
        <v>2060</v>
      </c>
      <c r="AL57" s="62" t="e">
        <f>'AADT Input'!A60&amp;"- "&amp;'AADT Input'!#REF!</f>
        <v>#REF!</v>
      </c>
      <c r="AM57" s="62">
        <f t="shared" si="23"/>
        <v>56</v>
      </c>
      <c r="AO57" s="62">
        <f t="shared" si="24"/>
        <v>2061</v>
      </c>
      <c r="AP57" s="58">
        <f>AP56*(1+Calculator!$D$11)</f>
        <v>2783.8965731570001</v>
      </c>
    </row>
    <row r="58" spans="1:42" x14ac:dyDescent="0.2">
      <c r="A58" s="68">
        <v>2023</v>
      </c>
      <c r="B58" s="66"/>
      <c r="C58" s="295"/>
      <c r="D58" s="64">
        <f t="shared" si="25"/>
        <v>2010</v>
      </c>
      <c r="E58" s="58">
        <f t="shared" si="12"/>
        <v>0</v>
      </c>
      <c r="F58" s="59" t="str">
        <f t="shared" si="13"/>
        <v>N</v>
      </c>
      <c r="G58" s="60" t="e">
        <f t="shared" ca="1" si="35"/>
        <v>#N/A</v>
      </c>
      <c r="H58" s="60" t="e">
        <f t="shared" ca="1" si="15"/>
        <v>#N/A</v>
      </c>
      <c r="I58" s="60" t="e">
        <f t="shared" ca="1" si="26"/>
        <v>#N/A</v>
      </c>
      <c r="J58" s="58" t="str">
        <f t="shared" ca="1" si="27"/>
        <v/>
      </c>
      <c r="K58" s="58" t="str">
        <f t="shared" ca="1" si="28"/>
        <v/>
      </c>
      <c r="L58" s="58" t="str">
        <f t="shared" ca="1" si="29"/>
        <v/>
      </c>
      <c r="M58" s="61" t="str">
        <f t="shared" ca="1" si="30"/>
        <v/>
      </c>
      <c r="N58" s="61"/>
      <c r="O58" s="61"/>
      <c r="P58" s="61"/>
      <c r="Q58" s="61" t="str">
        <f t="shared" ca="1" si="31"/>
        <v/>
      </c>
      <c r="R58" s="61" t="str">
        <f t="shared" ca="1" si="32"/>
        <v/>
      </c>
      <c r="S58" s="61" t="str">
        <f t="shared" ca="1" si="33"/>
        <v/>
      </c>
      <c r="T58" s="61" t="str">
        <f t="shared" ca="1" si="34"/>
        <v/>
      </c>
      <c r="AD58" s="62">
        <f t="shared" si="18"/>
        <v>2062</v>
      </c>
      <c r="AE58" s="58">
        <f>AE57*(1+Calculator!$D$6)</f>
        <v>2216.2117521168129</v>
      </c>
      <c r="AL58" s="62" t="e">
        <f>'AADT Input'!A61&amp;"- "&amp;'AADT Input'!#REF!</f>
        <v>#REF!</v>
      </c>
      <c r="AM58" s="62">
        <f t="shared" si="23"/>
        <v>57</v>
      </c>
      <c r="AO58" s="62">
        <f t="shared" si="24"/>
        <v>2062</v>
      </c>
      <c r="AP58" s="58">
        <f>AP57*(1+Calculator!$D$11)</f>
        <v>2866.636999269916</v>
      </c>
    </row>
    <row r="59" spans="1:42" x14ac:dyDescent="0.2">
      <c r="A59" s="55">
        <v>2024</v>
      </c>
      <c r="B59" s="66"/>
      <c r="C59" s="295"/>
      <c r="D59" s="64">
        <v>2011</v>
      </c>
      <c r="E59" s="58">
        <f t="shared" si="12"/>
        <v>0</v>
      </c>
      <c r="F59" s="59" t="str">
        <f t="shared" si="13"/>
        <v>N</v>
      </c>
      <c r="G59" s="60" t="e">
        <f t="shared" ca="1" si="35"/>
        <v>#N/A</v>
      </c>
      <c r="H59" s="60" t="e">
        <f t="shared" ca="1" si="15"/>
        <v>#N/A</v>
      </c>
      <c r="I59" s="60" t="e">
        <f t="shared" ca="1" si="26"/>
        <v>#N/A</v>
      </c>
      <c r="J59" s="58" t="str">
        <f t="shared" ca="1" si="27"/>
        <v/>
      </c>
      <c r="K59" s="58" t="str">
        <f t="shared" ca="1" si="28"/>
        <v/>
      </c>
      <c r="L59" s="58" t="str">
        <f t="shared" ca="1" si="29"/>
        <v/>
      </c>
      <c r="M59" s="61" t="str">
        <f t="shared" ca="1" si="30"/>
        <v/>
      </c>
      <c r="N59" s="61"/>
      <c r="O59" s="61"/>
      <c r="P59" s="61"/>
      <c r="Q59" s="61" t="str">
        <f t="shared" ca="1" si="31"/>
        <v/>
      </c>
      <c r="R59" s="61" t="str">
        <f t="shared" ca="1" si="32"/>
        <v/>
      </c>
      <c r="S59" s="61" t="str">
        <f t="shared" ca="1" si="33"/>
        <v/>
      </c>
      <c r="T59" s="61" t="str">
        <f t="shared" ca="1" si="34"/>
        <v/>
      </c>
      <c r="AD59" s="62">
        <f t="shared" si="18"/>
        <v>2063</v>
      </c>
      <c r="AE59" s="58">
        <f>AE58*(1+Calculator!$D$6)</f>
        <v>2271.6170459197328</v>
      </c>
      <c r="AL59" s="62" t="e">
        <f>'AADT Input'!A62&amp;"- "&amp;'AADT Input'!#REF!</f>
        <v>#REF!</v>
      </c>
      <c r="AM59" s="62">
        <f t="shared" si="23"/>
        <v>58</v>
      </c>
      <c r="AO59" s="62">
        <f t="shared" si="24"/>
        <v>2063</v>
      </c>
      <c r="AP59" s="58">
        <f>AP58*(1+Calculator!$D$11)</f>
        <v>2951.8365606033558</v>
      </c>
    </row>
    <row r="60" spans="1:42" x14ac:dyDescent="0.2">
      <c r="A60" s="68">
        <v>2025</v>
      </c>
      <c r="B60" s="69"/>
      <c r="C60" s="295"/>
      <c r="D60" s="64">
        <v>2012</v>
      </c>
      <c r="E60" s="58">
        <f t="shared" si="12"/>
        <v>0</v>
      </c>
      <c r="F60" s="59" t="str">
        <f t="shared" si="13"/>
        <v>N</v>
      </c>
      <c r="G60" s="60" t="e">
        <f t="shared" ca="1" si="35"/>
        <v>#N/A</v>
      </c>
      <c r="H60" s="60" t="e">
        <f t="shared" ca="1" si="15"/>
        <v>#N/A</v>
      </c>
      <c r="I60" s="60" t="e">
        <f t="shared" ca="1" si="26"/>
        <v>#N/A</v>
      </c>
      <c r="J60" s="58" t="str">
        <f t="shared" ca="1" si="27"/>
        <v/>
      </c>
      <c r="K60" s="58" t="str">
        <f t="shared" ca="1" si="28"/>
        <v/>
      </c>
      <c r="L60" s="58" t="str">
        <f t="shared" ca="1" si="29"/>
        <v/>
      </c>
      <c r="M60" s="61" t="str">
        <f t="shared" ca="1" si="30"/>
        <v/>
      </c>
      <c r="N60" s="61"/>
      <c r="O60" s="61"/>
      <c r="P60" s="61"/>
      <c r="Q60" s="61" t="str">
        <f t="shared" ca="1" si="31"/>
        <v/>
      </c>
      <c r="R60" s="61" t="str">
        <f t="shared" ca="1" si="32"/>
        <v/>
      </c>
      <c r="S60" s="61" t="str">
        <f t="shared" ca="1" si="33"/>
        <v/>
      </c>
      <c r="T60" s="61" t="str">
        <f t="shared" ca="1" si="34"/>
        <v/>
      </c>
      <c r="AD60" s="62">
        <f t="shared" si="18"/>
        <v>2064</v>
      </c>
      <c r="AE60" s="58">
        <f>AE59*(1+Calculator!$D$6)</f>
        <v>2328.4074720677258</v>
      </c>
      <c r="AL60" s="62" t="e">
        <f>'AADT Input'!A63&amp;"- "&amp;'AADT Input'!#REF!</f>
        <v>#REF!</v>
      </c>
      <c r="AM60" s="62">
        <f t="shared" si="23"/>
        <v>59</v>
      </c>
      <c r="AO60" s="62">
        <f t="shared" si="24"/>
        <v>2064</v>
      </c>
      <c r="AP60" s="58">
        <f>AP59*(1+Calculator!$D$11)</f>
        <v>3039.568345323733</v>
      </c>
    </row>
    <row r="61" spans="1:42" ht="13.5" thickBot="1" x14ac:dyDescent="0.25">
      <c r="A61" s="70" t="s">
        <v>35</v>
      </c>
      <c r="B61" s="71" t="s">
        <v>1</v>
      </c>
      <c r="AD61" s="62">
        <f t="shared" si="18"/>
        <v>2065</v>
      </c>
      <c r="AE61" s="58">
        <f>AE60*(1+Calculator!$D$6)</f>
        <v>2386.6176588694188</v>
      </c>
      <c r="AL61" s="62" t="e">
        <f>'AADT Input'!A64&amp;"- "&amp;'AADT Input'!#REF!</f>
        <v>#REF!</v>
      </c>
      <c r="AM61" s="62">
        <f t="shared" si="23"/>
        <v>60</v>
      </c>
      <c r="AO61" s="62">
        <f t="shared" si="24"/>
        <v>2065</v>
      </c>
      <c r="AP61" s="58">
        <f>AP60*(1+Calculator!$D$11)</f>
        <v>3129.9076138570517</v>
      </c>
    </row>
    <row r="62" spans="1:42" x14ac:dyDescent="0.2">
      <c r="AD62" s="62">
        <f t="shared" si="18"/>
        <v>2066</v>
      </c>
      <c r="AE62" s="58">
        <f>AE61*(1+Calculator!$D$6)</f>
        <v>2446.2831003411543</v>
      </c>
      <c r="AL62" s="62" t="e">
        <f>'AADT Input'!A65&amp;"- "&amp;'AADT Input'!#REF!</f>
        <v>#REF!</v>
      </c>
      <c r="AM62" s="62">
        <f t="shared" si="23"/>
        <v>61</v>
      </c>
      <c r="AO62" s="62">
        <f t="shared" si="24"/>
        <v>2066</v>
      </c>
      <c r="AP62" s="58">
        <f>AP61*(1+Calculator!$D$11)</f>
        <v>3222.9318634508195</v>
      </c>
    </row>
    <row r="63" spans="1:42" x14ac:dyDescent="0.2">
      <c r="AD63" s="62">
        <f t="shared" si="18"/>
        <v>2067</v>
      </c>
      <c r="AE63" s="58">
        <f>AE62*(1+Calculator!$D$6)</f>
        <v>2507.4401778496831</v>
      </c>
      <c r="AL63" s="62" t="e">
        <f>'AADT Input'!A66&amp;"- "&amp;'AADT Input'!#REF!</f>
        <v>#REF!</v>
      </c>
      <c r="AM63" s="62">
        <f t="shared" si="23"/>
        <v>62</v>
      </c>
      <c r="AO63" s="62">
        <f t="shared" si="24"/>
        <v>2067</v>
      </c>
      <c r="AP63" s="58">
        <f>AP62*(1+Calculator!$D$11)</f>
        <v>3318.7208946548085</v>
      </c>
    </row>
    <row r="64" spans="1:42" x14ac:dyDescent="0.2">
      <c r="AD64" s="62">
        <f t="shared" si="18"/>
        <v>2068</v>
      </c>
      <c r="AE64" s="58">
        <f>AE63*(1+Calculator!$D$6)</f>
        <v>2570.126182295925</v>
      </c>
      <c r="AL64" s="62" t="e">
        <f>'AADT Input'!A67&amp;"- "&amp;'AADT Input'!#REF!</f>
        <v>#REF!</v>
      </c>
      <c r="AM64" s="62">
        <f t="shared" si="23"/>
        <v>63</v>
      </c>
      <c r="AO64" s="62">
        <f t="shared" si="24"/>
        <v>2068</v>
      </c>
      <c r="AP64" s="58">
        <f>AP63*(1+Calculator!$D$11)</f>
        <v>3417.3568797776975</v>
      </c>
    </row>
    <row r="65" spans="30:42" x14ac:dyDescent="0.2">
      <c r="AD65" s="62">
        <f t="shared" si="18"/>
        <v>2069</v>
      </c>
      <c r="AE65" s="58">
        <f>AE64*(1+Calculator!$D$6)</f>
        <v>2634.3793368533229</v>
      </c>
      <c r="AL65" s="62" t="str">
        <f>'AADT Input'!A68&amp;"- "&amp;'AADT Input'!B68</f>
        <v>12089- Wards Gap Road_Cleveland County</v>
      </c>
      <c r="AM65" s="62">
        <f t="shared" si="23"/>
        <v>64</v>
      </c>
      <c r="AO65" s="62">
        <f t="shared" si="24"/>
        <v>2069</v>
      </c>
      <c r="AP65" s="58">
        <f>AP64*(1+Calculator!$D$11)</f>
        <v>3518.9244333783195</v>
      </c>
    </row>
    <row r="66" spans="30:42" x14ac:dyDescent="0.2">
      <c r="AD66" s="62">
        <f t="shared" si="18"/>
        <v>2070</v>
      </c>
      <c r="AE66" s="58">
        <f>AE65*(1+Calculator!$D$6)</f>
        <v>2700.2388202746556</v>
      </c>
      <c r="AL66" s="62" t="e">
        <f>'AADT Input'!A69&amp;"- "&amp;'AADT Input'!#REF!</f>
        <v>#REF!</v>
      </c>
      <c r="AM66" s="62">
        <f t="shared" si="23"/>
        <v>65</v>
      </c>
      <c r="AO66" s="62">
        <f t="shared" si="24"/>
        <v>2070</v>
      </c>
      <c r="AP66" s="58">
        <f>AP65*(1+Calculator!$D$11)</f>
        <v>3623.5106848519845</v>
      </c>
    </row>
    <row r="67" spans="30:42" x14ac:dyDescent="0.2">
      <c r="AD67" s="62">
        <f t="shared" si="18"/>
        <v>2071</v>
      </c>
      <c r="AE67" s="58">
        <f>AE66*(1+Calculator!$D$6)</f>
        <v>2767.7447907815217</v>
      </c>
      <c r="AL67" s="62" t="e">
        <f>'AADT Input'!A70&amp;"- "&amp;'AADT Input'!#REF!</f>
        <v>#REF!</v>
      </c>
      <c r="AM67" s="62">
        <f t="shared" si="23"/>
        <v>66</v>
      </c>
      <c r="AO67" s="62">
        <f t="shared" si="24"/>
        <v>2071</v>
      </c>
      <c r="AP67" s="58">
        <f>AP66*(1+Calculator!$D$11)</f>
        <v>3731.2053531741499</v>
      </c>
    </row>
    <row r="68" spans="30:42" x14ac:dyDescent="0.2">
      <c r="AD68" s="62">
        <f t="shared" ref="AD68:AD131" si="36">AD67+1</f>
        <v>2072</v>
      </c>
      <c r="AE68" s="58">
        <f>AE67*(1+Calculator!$D$6)</f>
        <v>2836.9384105510594</v>
      </c>
      <c r="AL68" s="62" t="e">
        <f>'AADT Input'!#REF!&amp;"- "&amp;'AADT Input'!B60</f>
        <v>#REF!</v>
      </c>
      <c r="AM68" s="62">
        <f t="shared" ref="AM68:AM131" si="37">AM67+1</f>
        <v>67</v>
      </c>
      <c r="AO68" s="62">
        <f t="shared" ref="AO68:AO131" si="38">AO67+1</f>
        <v>2072</v>
      </c>
      <c r="AP68" s="58">
        <f>AP67*(1+Calculator!$D$11)</f>
        <v>3842.10082386555</v>
      </c>
    </row>
    <row r="69" spans="30:42" x14ac:dyDescent="0.2">
      <c r="AD69" s="62">
        <f t="shared" si="36"/>
        <v>2073</v>
      </c>
      <c r="AE69" s="58">
        <f>AE68*(1+Calculator!$D$6)</f>
        <v>2907.8618708148356</v>
      </c>
      <c r="AL69" s="62" t="e">
        <f>'AADT Input'!#REF!&amp;"- "&amp;'AADT Input'!B62</f>
        <v>#REF!</v>
      </c>
      <c r="AM69" s="62">
        <f t="shared" si="37"/>
        <v>68</v>
      </c>
      <c r="AO69" s="62">
        <f t="shared" si="38"/>
        <v>2073</v>
      </c>
      <c r="AP69" s="58">
        <f>AP68*(1+Calculator!$D$11)</f>
        <v>3956.2922282448149</v>
      </c>
    </row>
    <row r="70" spans="30:42" x14ac:dyDescent="0.2">
      <c r="AD70" s="62">
        <f t="shared" si="36"/>
        <v>2074</v>
      </c>
      <c r="AE70" s="58">
        <f>AE69*(1+Calculator!$D$6)</f>
        <v>2980.5584175852064</v>
      </c>
      <c r="AL70" s="62" t="e">
        <f>'AADT Input'!#REF!&amp;"- "&amp;'AADT Input'!#REF!</f>
        <v>#REF!</v>
      </c>
      <c r="AM70" s="62">
        <f t="shared" si="37"/>
        <v>69</v>
      </c>
      <c r="AO70" s="62">
        <f t="shared" si="38"/>
        <v>2074</v>
      </c>
      <c r="AP70" s="58">
        <f>AP69*(1+Calculator!$D$11)</f>
        <v>4073.8775250365616</v>
      </c>
    </row>
    <row r="71" spans="30:42" x14ac:dyDescent="0.2">
      <c r="AD71" s="62">
        <f t="shared" si="36"/>
        <v>2075</v>
      </c>
      <c r="AE71" s="58">
        <f>AE70*(1+Calculator!$D$6)</f>
        <v>3055.0723780248363</v>
      </c>
      <c r="AL71" s="62" t="e">
        <f>'AADT Input'!#REF!&amp;"- "&amp;'AADT Input'!B69</f>
        <v>#REF!</v>
      </c>
      <c r="AM71" s="62">
        <f t="shared" si="37"/>
        <v>70</v>
      </c>
      <c r="AO71" s="62">
        <f t="shared" si="38"/>
        <v>2075</v>
      </c>
      <c r="AP71" s="58">
        <f>AP70*(1+Calculator!$D$11)</f>
        <v>4194.9575844049687</v>
      </c>
    </row>
    <row r="72" spans="30:42" x14ac:dyDescent="0.2">
      <c r="AD72" s="62">
        <f t="shared" si="36"/>
        <v>2076</v>
      </c>
      <c r="AE72" s="58">
        <f>AE71*(1+Calculator!$D$6)</f>
        <v>3131.4491874754572</v>
      </c>
      <c r="AL72" s="62" t="e">
        <f>'AADT Input'!#REF!&amp;"- "&amp;'AADT Input'!B67</f>
        <v>#REF!</v>
      </c>
      <c r="AM72" s="62">
        <f t="shared" si="37"/>
        <v>71</v>
      </c>
      <c r="AO72" s="62">
        <f t="shared" si="38"/>
        <v>2076</v>
      </c>
      <c r="AP72" s="58">
        <f>AP71*(1+Calculator!$D$11)</f>
        <v>4319.6362744849184</v>
      </c>
    </row>
    <row r="73" spans="30:42" x14ac:dyDescent="0.2">
      <c r="AD73" s="62">
        <f t="shared" si="36"/>
        <v>2077</v>
      </c>
      <c r="AE73" s="58">
        <f>AE72*(1+Calculator!$D$6)</f>
        <v>3209.7354171623433</v>
      </c>
      <c r="AL73" s="62" t="e">
        <f>'AADT Input'!#REF!&amp;"- "&amp;'AADT Input'!B64</f>
        <v>#REF!</v>
      </c>
      <c r="AM73" s="62">
        <f t="shared" si="37"/>
        <v>72</v>
      </c>
      <c r="AO73" s="62">
        <f t="shared" si="38"/>
        <v>2077</v>
      </c>
      <c r="AP73" s="58">
        <f>AP72*(1+Calculator!$D$11)</f>
        <v>4448.0205504849355</v>
      </c>
    </row>
    <row r="74" spans="30:42" x14ac:dyDescent="0.2">
      <c r="AD74" s="62">
        <f t="shared" si="36"/>
        <v>2078</v>
      </c>
      <c r="AE74" s="58">
        <f>AE73*(1+Calculator!$D$6)</f>
        <v>3289.9788025914017</v>
      </c>
      <c r="AL74" s="62" t="e">
        <f>'AADT Input'!#REF!&amp;"- "&amp;'AADT Input'!B61</f>
        <v>#REF!</v>
      </c>
      <c r="AM74" s="62">
        <f t="shared" si="37"/>
        <v>73</v>
      </c>
      <c r="AO74" s="62">
        <f t="shared" si="38"/>
        <v>2078</v>
      </c>
      <c r="AP74" s="58">
        <f>AP73*(1+Calculator!$D$11)</f>
        <v>4580.2205464383678</v>
      </c>
    </row>
    <row r="75" spans="30:42" x14ac:dyDescent="0.2">
      <c r="AD75" s="62">
        <f t="shared" si="36"/>
        <v>2079</v>
      </c>
      <c r="AE75" s="58">
        <f>AE74*(1+Calculator!$D$6)</f>
        <v>3372.2282726561866</v>
      </c>
      <c r="AL75" s="62" t="e">
        <f>'AADT Input'!#REF!&amp;"- "&amp;'AADT Input'!B65</f>
        <v>#REF!</v>
      </c>
      <c r="AM75" s="62">
        <f t="shared" si="37"/>
        <v>74</v>
      </c>
      <c r="AO75" s="62">
        <f t="shared" si="38"/>
        <v>2079</v>
      </c>
      <c r="AP75" s="58">
        <f>AP74*(1+Calculator!$D$11)</f>
        <v>4716.3496696815073</v>
      </c>
    </row>
    <row r="76" spans="30:42" x14ac:dyDescent="0.2">
      <c r="AD76" s="62">
        <f t="shared" si="36"/>
        <v>2080</v>
      </c>
      <c r="AE76" s="58">
        <f>AE75*(1+Calculator!$D$6)</f>
        <v>3456.533979472591</v>
      </c>
      <c r="AL76" s="62" t="e">
        <f>'AADT Input'!#REF!&amp;"- "&amp;'AADT Input'!B59</f>
        <v>#REF!</v>
      </c>
      <c r="AM76" s="62">
        <f t="shared" si="37"/>
        <v>75</v>
      </c>
      <c r="AO76" s="62">
        <f t="shared" si="38"/>
        <v>2080</v>
      </c>
      <c r="AP76" s="58">
        <f>AP75*(1+Calculator!$D$11)</f>
        <v>4856.5246981397031</v>
      </c>
    </row>
    <row r="77" spans="30:42" x14ac:dyDescent="0.2">
      <c r="AD77" s="62">
        <f t="shared" si="36"/>
        <v>2081</v>
      </c>
      <c r="AE77" s="58">
        <f>AE76*(1+Calculator!$D$6)</f>
        <v>3542.9473289594052</v>
      </c>
      <c r="AL77" s="62" t="e">
        <f>'AADT Input'!#REF!&amp;"- "&amp;'AADT Input'!B63</f>
        <v>#REF!</v>
      </c>
      <c r="AM77" s="62">
        <f t="shared" si="37"/>
        <v>76</v>
      </c>
      <c r="AO77" s="62">
        <f t="shared" si="38"/>
        <v>2081</v>
      </c>
      <c r="AP77" s="58">
        <f>AP76*(1+Calculator!$D$11)</f>
        <v>5000.8658805049281</v>
      </c>
    </row>
    <row r="78" spans="30:42" x14ac:dyDescent="0.2">
      <c r="AD78" s="62">
        <f t="shared" si="36"/>
        <v>2082</v>
      </c>
      <c r="AE78" s="58">
        <f>AE77*(1+Calculator!$D$6)</f>
        <v>3631.5210121833902</v>
      </c>
      <c r="AL78" s="62" t="e">
        <f>'AADT Input'!#REF!&amp;"- "&amp;'AADT Input'!B70</f>
        <v>#REF!</v>
      </c>
      <c r="AM78" s="62">
        <f t="shared" si="37"/>
        <v>77</v>
      </c>
      <c r="AO78" s="62">
        <f t="shared" si="38"/>
        <v>2082</v>
      </c>
      <c r="AP78" s="58">
        <f>AP77*(1+Calculator!$D$11)</f>
        <v>5149.4970393907233</v>
      </c>
    </row>
    <row r="79" spans="30:42" x14ac:dyDescent="0.2">
      <c r="AD79" s="62">
        <f t="shared" si="36"/>
        <v>2083</v>
      </c>
      <c r="AE79" s="58">
        <f>AE78*(1+Calculator!$D$6)</f>
        <v>3722.3090374879748</v>
      </c>
      <c r="AL79" s="62" t="e">
        <f>'AADT Input'!#REF!&amp;"- "&amp;'AADT Input'!B66</f>
        <v>#REF!</v>
      </c>
      <c r="AM79" s="62">
        <f t="shared" si="37"/>
        <v>78</v>
      </c>
      <c r="AO79" s="62">
        <f t="shared" si="38"/>
        <v>2083</v>
      </c>
      <c r="AP79" s="58">
        <f>AP78*(1+Calculator!$D$11)</f>
        <v>5302.5456775530283</v>
      </c>
    </row>
    <row r="80" spans="30:42" x14ac:dyDescent="0.2">
      <c r="AD80" s="62">
        <f t="shared" si="36"/>
        <v>2084</v>
      </c>
      <c r="AE80" s="58">
        <f>AE79*(1+Calculator!$D$6)</f>
        <v>3815.3667634251738</v>
      </c>
      <c r="AL80" s="62" t="str">
        <f>'AADT Input'!A71&amp;"- "&amp;'AADT Input'!B71</f>
        <v>12092- W Stage Coach Tr.(State Road 1361)_Cleveland County</v>
      </c>
      <c r="AM80" s="62">
        <f t="shared" si="37"/>
        <v>79</v>
      </c>
      <c r="AO80" s="62">
        <f t="shared" si="38"/>
        <v>2084</v>
      </c>
      <c r="AP80" s="58">
        <f>AP79*(1+Calculator!$D$11)</f>
        <v>5460.143087268003</v>
      </c>
    </row>
    <row r="81" spans="30:42" x14ac:dyDescent="0.2">
      <c r="AD81" s="62">
        <f t="shared" si="36"/>
        <v>2085</v>
      </c>
      <c r="AE81" s="58">
        <f>AE80*(1+Calculator!$D$6)</f>
        <v>3910.7509325108026</v>
      </c>
      <c r="AL81" s="62" t="str">
        <f>'AADT Input'!A72&amp;"- "&amp;'AADT Input'!B72</f>
        <v>12093- Elenboard Rd._Cleveland County</v>
      </c>
      <c r="AM81" s="62">
        <f t="shared" si="37"/>
        <v>80</v>
      </c>
      <c r="AO81" s="62">
        <f t="shared" si="38"/>
        <v>2085</v>
      </c>
      <c r="AP81" s="58">
        <f>AP80*(1+Calculator!$D$11)</f>
        <v>5622.4244629606792</v>
      </c>
    </row>
    <row r="82" spans="30:42" x14ac:dyDescent="0.2">
      <c r="AD82" s="62">
        <f t="shared" si="36"/>
        <v>2086</v>
      </c>
      <c r="AE82" s="58">
        <f>AE81*(1+Calculator!$D$6)</f>
        <v>4008.5197058235722</v>
      </c>
      <c r="AL82" s="62" t="e">
        <f>'AADT Input'!#REF!&amp;"- "&amp;'AADT Input'!#REF!</f>
        <v>#REF!</v>
      </c>
      <c r="AM82" s="62">
        <f t="shared" si="37"/>
        <v>81</v>
      </c>
      <c r="AO82" s="62">
        <f t="shared" si="38"/>
        <v>2086</v>
      </c>
      <c r="AP82" s="58">
        <f>AP81*(1+Calculator!$D$11)</f>
        <v>5789.5290171810602</v>
      </c>
    </row>
    <row r="83" spans="30:42" x14ac:dyDescent="0.2">
      <c r="AD83" s="62">
        <f t="shared" si="36"/>
        <v>2087</v>
      </c>
      <c r="AE83" s="58">
        <f>AE82*(1+Calculator!$D$6)</f>
        <v>4108.7326984691608</v>
      </c>
      <c r="AL83" s="62" t="e">
        <f>'AADT Input'!#REF!&amp;"- "&amp;'AADT Input'!#REF!</f>
        <v>#REF!</v>
      </c>
      <c r="AM83" s="62">
        <f t="shared" si="37"/>
        <v>82</v>
      </c>
      <c r="AO83" s="62">
        <f t="shared" si="38"/>
        <v>2087</v>
      </c>
      <c r="AP83" s="58">
        <f>AP82*(1+Calculator!$D$11)</f>
        <v>5961.6001000271526</v>
      </c>
    </row>
    <row r="84" spans="30:42" x14ac:dyDescent="0.2">
      <c r="AD84" s="62">
        <f t="shared" si="36"/>
        <v>2088</v>
      </c>
      <c r="AE84" s="58">
        <f>AE83*(1+Calculator!$D$6)</f>
        <v>4211.4510159308893</v>
      </c>
      <c r="AL84" s="62" t="e">
        <f>'AADT Input'!#REF!&amp;"- "&amp;'AADT Input'!#REF!</f>
        <v>#REF!</v>
      </c>
      <c r="AM84" s="62">
        <f t="shared" si="37"/>
        <v>83</v>
      </c>
      <c r="AO84" s="62">
        <f t="shared" si="38"/>
        <v>2088</v>
      </c>
      <c r="AP84" s="58">
        <f>AP83*(1+Calculator!$D$11)</f>
        <v>6138.7853221173809</v>
      </c>
    </row>
    <row r="85" spans="30:42" x14ac:dyDescent="0.2">
      <c r="AD85" s="62">
        <f t="shared" si="36"/>
        <v>2089</v>
      </c>
      <c r="AE85" s="58">
        <f>AE84*(1+Calculator!$D$6)</f>
        <v>4316.7372913291611</v>
      </c>
      <c r="AL85" s="62" t="e">
        <f>'AADT Input'!#REF!&amp;"- "&amp;'AADT Input'!#REF!</f>
        <v>#REF!</v>
      </c>
      <c r="AM85" s="62">
        <f t="shared" si="37"/>
        <v>84</v>
      </c>
      <c r="AO85" s="62">
        <f t="shared" si="38"/>
        <v>2089</v>
      </c>
      <c r="AP85" s="58">
        <f>AP84*(1+Calculator!$D$11)</f>
        <v>6321.2366812178761</v>
      </c>
    </row>
    <row r="86" spans="30:42" x14ac:dyDescent="0.2">
      <c r="AD86" s="62">
        <f t="shared" si="36"/>
        <v>2090</v>
      </c>
      <c r="AE86" s="58">
        <f>AE85*(1+Calculator!$D$6)</f>
        <v>4424.6557236123899</v>
      </c>
      <c r="AL86" s="62" t="e">
        <f>'AADT Input'!#REF!&amp;"- "&amp;'AADT Input'!#REF!</f>
        <v>#REF!</v>
      </c>
      <c r="AM86" s="62">
        <f t="shared" si="37"/>
        <v>85</v>
      </c>
      <c r="AO86" s="62">
        <f t="shared" si="38"/>
        <v>2090</v>
      </c>
      <c r="AP86" s="58">
        <f>AP85*(1+Calculator!$D$11)</f>
        <v>6509.110692633265</v>
      </c>
    </row>
    <row r="87" spans="30:42" x14ac:dyDescent="0.2">
      <c r="AD87" s="62">
        <f t="shared" si="36"/>
        <v>2091</v>
      </c>
      <c r="AE87" s="58">
        <f>AE86*(1+Calculator!$D$6)</f>
        <v>4535.2721167026993</v>
      </c>
      <c r="AL87" s="62" t="e">
        <f>'AADT Input'!#REF!&amp;"- "&amp;'AADT Input'!#REF!</f>
        <v>#REF!</v>
      </c>
      <c r="AM87" s="62">
        <f t="shared" si="37"/>
        <v>86</v>
      </c>
      <c r="AO87" s="62">
        <f t="shared" si="38"/>
        <v>2091</v>
      </c>
      <c r="AP87" s="58">
        <f>AP86*(1+Calculator!$D$11)</f>
        <v>6702.5685234728162</v>
      </c>
    </row>
    <row r="88" spans="30:42" x14ac:dyDescent="0.2">
      <c r="AD88" s="62">
        <f t="shared" si="36"/>
        <v>2092</v>
      </c>
      <c r="AE88" s="58">
        <f>AE87*(1+Calculator!$D$6)</f>
        <v>4648.6539196202666</v>
      </c>
      <c r="AL88" s="62" t="e">
        <f>'AADT Input'!#REF!&amp;"- "&amp;'AADT Input'!#REF!</f>
        <v>#REF!</v>
      </c>
      <c r="AM88" s="62">
        <f t="shared" si="37"/>
        <v>87</v>
      </c>
      <c r="AO88" s="62">
        <f t="shared" si="38"/>
        <v>2092</v>
      </c>
      <c r="AP88" s="58">
        <f>AP87*(1+Calculator!$D$11)</f>
        <v>6901.7761309071175</v>
      </c>
    </row>
    <row r="89" spans="30:42" x14ac:dyDescent="0.2">
      <c r="AD89" s="62">
        <f t="shared" si="36"/>
        <v>2093</v>
      </c>
      <c r="AE89" s="58">
        <f>AE88*(1+Calculator!$D$6)</f>
        <v>4764.8702676107732</v>
      </c>
      <c r="AL89" s="62" t="e">
        <f>'AADT Input'!#REF!&amp;"- "&amp;'AADT Input'!#REF!</f>
        <v>#REF!</v>
      </c>
      <c r="AM89" s="62">
        <f t="shared" si="37"/>
        <v>88</v>
      </c>
      <c r="AO89" s="62">
        <f t="shared" si="38"/>
        <v>2093</v>
      </c>
      <c r="AP89" s="58">
        <f>AP88*(1+Calculator!$D$11)</f>
        <v>7106.9044045338978</v>
      </c>
    </row>
    <row r="90" spans="30:42" x14ac:dyDescent="0.2">
      <c r="AD90" s="62">
        <f t="shared" si="36"/>
        <v>2094</v>
      </c>
      <c r="AE90" s="58">
        <f>AE89*(1+Calculator!$D$6)</f>
        <v>4883.992024301042</v>
      </c>
      <c r="AL90" s="62" t="e">
        <f>'AADT Input'!#REF!&amp;"- "&amp;'AADT Input'!#REF!</f>
        <v>#REF!</v>
      </c>
      <c r="AM90" s="62">
        <f t="shared" si="37"/>
        <v>89</v>
      </c>
      <c r="AO90" s="62">
        <f t="shared" si="38"/>
        <v>2094</v>
      </c>
      <c r="AP90" s="58">
        <f>AP89*(1+Calculator!$D$11)</f>
        <v>7318.1293129751102</v>
      </c>
    </row>
    <row r="91" spans="30:42" x14ac:dyDescent="0.2">
      <c r="AD91" s="62">
        <f t="shared" si="36"/>
        <v>2095</v>
      </c>
      <c r="AE91" s="58">
        <f>AE90*(1+Calculator!$D$6)</f>
        <v>5006.091824908568</v>
      </c>
      <c r="AL91" s="62" t="e">
        <f>'AADT Input'!#REF!&amp;"- "&amp;'AADT Input'!#REF!</f>
        <v>#REF!</v>
      </c>
      <c r="AM91" s="62">
        <f t="shared" si="37"/>
        <v>90</v>
      </c>
      <c r="AO91" s="62">
        <f t="shared" si="38"/>
        <v>2095</v>
      </c>
      <c r="AP91" s="58">
        <f>AP90*(1+Calculator!$D$11)</f>
        <v>7535.6320548310423</v>
      </c>
    </row>
    <row r="92" spans="30:42" x14ac:dyDescent="0.2">
      <c r="AD92" s="62">
        <f t="shared" si="36"/>
        <v>2096</v>
      </c>
      <c r="AE92" s="58">
        <f>AE91*(1+Calculator!$D$6)</f>
        <v>5131.2441205312816</v>
      </c>
      <c r="AL92" s="62" t="e">
        <f>'AADT Input'!#REF!&amp;"- "&amp;'AADT Input'!#REF!</f>
        <v>#REF!</v>
      </c>
      <c r="AM92" s="62">
        <f t="shared" si="37"/>
        <v>91</v>
      </c>
      <c r="AO92" s="62">
        <f t="shared" si="38"/>
        <v>2096</v>
      </c>
      <c r="AP92" s="58">
        <f>AP91*(1+Calculator!$D$11)</f>
        <v>7759.5992141209445</v>
      </c>
    </row>
    <row r="93" spans="30:42" x14ac:dyDescent="0.2">
      <c r="AD93" s="62">
        <f t="shared" si="36"/>
        <v>2097</v>
      </c>
      <c r="AE93" s="58">
        <f>AE92*(1+Calculator!$D$6)</f>
        <v>5259.5252235445632</v>
      </c>
      <c r="AL93" s="62" t="e">
        <f>'AADT Input'!#REF!&amp;"- "&amp;'AADT Input'!#REF!</f>
        <v>#REF!</v>
      </c>
      <c r="AM93" s="62">
        <f t="shared" si="37"/>
        <v>92</v>
      </c>
      <c r="AO93" s="62">
        <f t="shared" si="38"/>
        <v>2097</v>
      </c>
      <c r="AP93" s="58">
        <f>AP92*(1+Calculator!$D$11)</f>
        <v>7990.2229203435263</v>
      </c>
    </row>
    <row r="94" spans="30:42" x14ac:dyDescent="0.2">
      <c r="AD94" s="62">
        <f t="shared" si="36"/>
        <v>2098</v>
      </c>
      <c r="AE94" s="58">
        <f>AE93*(1+Calculator!$D$6)</f>
        <v>5391.013354133177</v>
      </c>
      <c r="AL94" s="62" t="e">
        <f>'AADT Input'!#REF!&amp;"- "&amp;'AADT Input'!#REF!</f>
        <v>#REF!</v>
      </c>
      <c r="AM94" s="62">
        <f t="shared" si="37"/>
        <v>93</v>
      </c>
      <c r="AO94" s="62">
        <f t="shared" si="38"/>
        <v>2098</v>
      </c>
      <c r="AP94" s="58">
        <f>AP93*(1+Calculator!$D$11)</f>
        <v>8227.7010132946198</v>
      </c>
    </row>
    <row r="95" spans="30:42" x14ac:dyDescent="0.2">
      <c r="AD95" s="62">
        <f t="shared" si="36"/>
        <v>2099</v>
      </c>
      <c r="AE95" s="58">
        <f>AE94*(1+Calculator!$D$6)</f>
        <v>5525.7886879865064</v>
      </c>
      <c r="AL95" s="62" t="e">
        <f>'AADT Input'!#REF!&amp;"- "&amp;'AADT Input'!#REF!</f>
        <v>#REF!</v>
      </c>
      <c r="AM95" s="62">
        <f t="shared" si="37"/>
        <v>94</v>
      </c>
      <c r="AO95" s="62">
        <f t="shared" si="38"/>
        <v>2099</v>
      </c>
      <c r="AP95" s="58">
        <f>AP94*(1+Calculator!$D$11)</f>
        <v>8472.2372127834042</v>
      </c>
    </row>
    <row r="96" spans="30:42" x14ac:dyDescent="0.2">
      <c r="AD96" s="62">
        <f t="shared" si="36"/>
        <v>2100</v>
      </c>
      <c r="AE96" s="58">
        <f>AE95*(1+Calculator!$D$6)</f>
        <v>5663.9334051861688</v>
      </c>
      <c r="AL96" s="62" t="str">
        <f>'AADT Input'!A73&amp;"- "&amp;'AADT Input'!B73</f>
        <v>12094- US Hwy 74(W Dixon Blvd.)_Cleveland County</v>
      </c>
      <c r="AM96" s="62">
        <f t="shared" si="37"/>
        <v>95</v>
      </c>
      <c r="AO96" s="62">
        <f t="shared" si="38"/>
        <v>2100</v>
      </c>
      <c r="AP96" s="58">
        <f>AP95*(1+Calculator!$D$11)</f>
        <v>8724.0412933927837</v>
      </c>
    </row>
    <row r="97" spans="30:42" x14ac:dyDescent="0.2">
      <c r="AD97" s="62">
        <f t="shared" si="36"/>
        <v>2101</v>
      </c>
      <c r="AE97" s="58">
        <f>AE96*(1+Calculator!$D$6)</f>
        <v>5805.5317403158224</v>
      </c>
      <c r="AL97" s="62" t="e">
        <f>'AADT Input'!#REF!&amp;"- "&amp;'AADT Input'!#REF!</f>
        <v>#REF!</v>
      </c>
      <c r="AM97" s="62">
        <f t="shared" si="37"/>
        <v>96</v>
      </c>
      <c r="AO97" s="62">
        <f t="shared" si="38"/>
        <v>2101</v>
      </c>
      <c r="AP97" s="58">
        <f>AP96*(1+Calculator!$D$11)</f>
        <v>8983.3292644338271</v>
      </c>
    </row>
    <row r="98" spans="30:42" x14ac:dyDescent="0.2">
      <c r="AD98" s="62">
        <f t="shared" si="36"/>
        <v>2102</v>
      </c>
      <c r="AE98" s="58">
        <f>AE97*(1+Calculator!$D$6)</f>
        <v>5950.6700338237179</v>
      </c>
      <c r="AL98" s="62" t="str">
        <f>'AADT Input'!A74&amp;"- "&amp;'AADT Input'!B74</f>
        <v>12095- McKinney Rd.(State Road 1184)_Cleveland County</v>
      </c>
      <c r="AM98" s="62">
        <f t="shared" si="37"/>
        <v>97</v>
      </c>
      <c r="AO98" s="62">
        <f t="shared" si="38"/>
        <v>2102</v>
      </c>
      <c r="AP98" s="58">
        <f>AP97*(1+Calculator!$D$11)</f>
        <v>9250.3235552486549</v>
      </c>
    </row>
    <row r="99" spans="30:42" x14ac:dyDescent="0.2">
      <c r="AD99" s="62">
        <f t="shared" si="36"/>
        <v>2103</v>
      </c>
      <c r="AE99" s="58">
        <f>AE98*(1+Calculator!$D$6)</f>
        <v>6099.4367846693103</v>
      </c>
      <c r="AL99" s="62" t="str">
        <f>'AADT Input'!A75&amp;"- "&amp;'AADT Input'!B75</f>
        <v>12096- Cliffside Rd.(State Road 1003)_Cleveland County</v>
      </c>
      <c r="AM99" s="62">
        <f t="shared" si="37"/>
        <v>98</v>
      </c>
      <c r="AO99" s="62">
        <f t="shared" si="38"/>
        <v>2103</v>
      </c>
      <c r="AP99" s="58">
        <f>AP98*(1+Calculator!$D$11)</f>
        <v>9525.253206020725</v>
      </c>
    </row>
    <row r="100" spans="30:42" x14ac:dyDescent="0.2">
      <c r="AD100" s="62">
        <f t="shared" si="36"/>
        <v>2104</v>
      </c>
      <c r="AE100" s="58">
        <f>AE99*(1+Calculator!$D$6)</f>
        <v>6251.922704286043</v>
      </c>
      <c r="AL100" s="62" t="str">
        <f>'AADT Input'!A76&amp;"- "&amp;'AADT Input'!B76</f>
        <v>12097- McCraw Rd.(State Road 1002)_Cleveland County</v>
      </c>
      <c r="AM100" s="62">
        <f t="shared" si="37"/>
        <v>99</v>
      </c>
      <c r="AO100" s="62">
        <f t="shared" si="38"/>
        <v>2104</v>
      </c>
      <c r="AP100" s="58">
        <f>AP99*(1+Calculator!$D$11)</f>
        <v>9808.3540642562093</v>
      </c>
    </row>
    <row r="101" spans="30:42" x14ac:dyDescent="0.2">
      <c r="AD101" s="62">
        <f t="shared" si="36"/>
        <v>2105</v>
      </c>
      <c r="AE101" s="58">
        <f>AE100*(1+Calculator!$D$6)</f>
        <v>6408.2207718931932</v>
      </c>
      <c r="AL101" s="62" t="str">
        <f>'AADT Input'!A77&amp;"- "&amp;'AADT Input'!B77</f>
        <v>12098- Baily Rd(State Road 1206)_Cleveland County</v>
      </c>
      <c r="AM101" s="62">
        <f t="shared" si="37"/>
        <v>100</v>
      </c>
      <c r="AO101" s="62">
        <f t="shared" si="38"/>
        <v>2105</v>
      </c>
      <c r="AP101" s="58">
        <f>AP100*(1+Calculator!$D$11)</f>
        <v>10099.868987105012</v>
      </c>
    </row>
    <row r="102" spans="30:42" x14ac:dyDescent="0.2">
      <c r="AD102" s="62">
        <f t="shared" si="36"/>
        <v>2106</v>
      </c>
      <c r="AE102" s="58">
        <f>AE101*(1+Calculator!$D$6)</f>
        <v>6568.4262911905225</v>
      </c>
      <c r="AL102" s="62" t="str">
        <f>'AADT Input'!A78&amp;"- "&amp;'AADT Input'!B78</f>
        <v>12099- Gaffney Road (NC 150)_Cleveland County</v>
      </c>
      <c r="AM102" s="62">
        <f t="shared" si="37"/>
        <v>101</v>
      </c>
      <c r="AO102" s="62">
        <f t="shared" si="38"/>
        <v>2106</v>
      </c>
      <c r="AP102" s="58">
        <f>AP101*(1+Calculator!$D$11)</f>
        <v>10400.04804969498</v>
      </c>
    </row>
    <row r="103" spans="30:42" x14ac:dyDescent="0.2">
      <c r="AD103" s="62">
        <f t="shared" si="36"/>
        <v>2107</v>
      </c>
      <c r="AE103" s="58">
        <f>AE102*(1+Calculator!$D$6)</f>
        <v>6732.6369484702855</v>
      </c>
      <c r="AL103" s="62" t="str">
        <f>'AADT Input'!A79&amp;"- "&amp;'AADT Input'!B79</f>
        <v>12100- RIDGE RD</v>
      </c>
      <c r="AM103" s="62">
        <f t="shared" si="37"/>
        <v>102</v>
      </c>
      <c r="AO103" s="62">
        <f t="shared" si="38"/>
        <v>2107</v>
      </c>
      <c r="AP103" s="58">
        <f>AP102*(1+Calculator!$D$11)</f>
        <v>10709.148759658041</v>
      </c>
    </row>
    <row r="104" spans="30:42" x14ac:dyDescent="0.2">
      <c r="AD104" s="62">
        <f t="shared" si="36"/>
        <v>2108</v>
      </c>
      <c r="AE104" s="58">
        <f>AE103*(1+Calculator!$D$6)</f>
        <v>6900.9528721820416</v>
      </c>
      <c r="AL104" s="62" t="str">
        <f>'AADT Input'!A80&amp;"- "&amp;'AADT Input'!B80</f>
        <v>12101- WEST MEMORIAL HWY</v>
      </c>
      <c r="AM104" s="62">
        <f t="shared" si="37"/>
        <v>103</v>
      </c>
      <c r="AO104" s="62">
        <f t="shared" si="38"/>
        <v>2108</v>
      </c>
      <c r="AP104" s="58">
        <f>AP103*(1+Calculator!$D$11)</f>
        <v>11027.436278032286</v>
      </c>
    </row>
    <row r="105" spans="30:42" x14ac:dyDescent="0.2">
      <c r="AD105" s="62">
        <f t="shared" si="36"/>
        <v>2109</v>
      </c>
      <c r="AE105" s="58">
        <f>AE104*(1+Calculator!$D$6)</f>
        <v>7073.4766939865922</v>
      </c>
      <c r="AL105" s="62" t="str">
        <f>'AADT Input'!A81&amp;"- "&amp;'AADT Input'!B81</f>
        <v>12102- SANDY SPRINGS RD</v>
      </c>
      <c r="AM105" s="62">
        <f t="shared" si="37"/>
        <v>104</v>
      </c>
      <c r="AO105" s="62">
        <f t="shared" si="38"/>
        <v>2109</v>
      </c>
      <c r="AP105" s="58">
        <f>AP104*(1+Calculator!$D$11)</f>
        <v>11355.183646729507</v>
      </c>
    </row>
    <row r="106" spans="30:42" x14ac:dyDescent="0.2">
      <c r="AD106" s="62">
        <f t="shared" si="36"/>
        <v>2110</v>
      </c>
      <c r="AE106" s="58">
        <f>AE105*(1+Calculator!$D$6)</f>
        <v>7250.3136113362561</v>
      </c>
      <c r="AL106" s="62" t="str">
        <f>'AADT Input'!A82&amp;"- "&amp;'AADT Input'!B82</f>
        <v>12103- SANDY SPRINGS RD</v>
      </c>
      <c r="AM106" s="62">
        <f t="shared" si="37"/>
        <v>105</v>
      </c>
      <c r="AO106" s="62">
        <f t="shared" si="38"/>
        <v>2110</v>
      </c>
      <c r="AP106" s="58">
        <f>AP105*(1+Calculator!$D$11)</f>
        <v>11692.672022763305</v>
      </c>
    </row>
    <row r="107" spans="30:42" x14ac:dyDescent="0.2">
      <c r="AD107" s="62">
        <f t="shared" si="36"/>
        <v>2111</v>
      </c>
      <c r="AE107" s="58">
        <f>AE106*(1+Calculator!$D$6)</f>
        <v>7431.5714516196622</v>
      </c>
      <c r="AL107" s="62" t="str">
        <f>'AADT Input'!A83&amp;"- "&amp;'AADT Input'!B83</f>
        <v>12104- TURNERSBURG HWY (US 21)</v>
      </c>
      <c r="AM107" s="62">
        <f t="shared" si="37"/>
        <v>106</v>
      </c>
      <c r="AO107" s="62">
        <f t="shared" si="38"/>
        <v>2111</v>
      </c>
      <c r="AP107" s="58">
        <f>AP106*(1+Calculator!$D$11)</f>
        <v>12040.190919438724</v>
      </c>
    </row>
    <row r="108" spans="30:42" x14ac:dyDescent="0.2">
      <c r="AD108" s="62">
        <f t="shared" si="36"/>
        <v>2112</v>
      </c>
      <c r="AE108" s="58">
        <f>AE107*(1+Calculator!$D$6)</f>
        <v>7617.3607379101531</v>
      </c>
      <c r="AL108" s="62" t="str">
        <f>'AADT Input'!A84&amp;"- "&amp;'AADT Input'!B84</f>
        <v>12105- I-77 North</v>
      </c>
      <c r="AM108" s="62">
        <f t="shared" si="37"/>
        <v>107</v>
      </c>
      <c r="AO108" s="62">
        <f t="shared" si="38"/>
        <v>2112</v>
      </c>
      <c r="AP108" s="58">
        <f>AP107*(1+Calculator!$D$11)</f>
        <v>12398.0384547103</v>
      </c>
    </row>
    <row r="109" spans="30:42" x14ac:dyDescent="0.2">
      <c r="AD109" s="62">
        <f t="shared" si="36"/>
        <v>2113</v>
      </c>
      <c r="AE109" s="58">
        <f>AE108*(1+Calculator!$D$6)</f>
        <v>7807.7947563579064</v>
      </c>
      <c r="AL109" s="62" t="str">
        <f>'AADT Input'!A85&amp;"- "&amp;'AADT Input'!B85</f>
        <v>12106- ZION LIBERTY RD</v>
      </c>
      <c r="AM109" s="62">
        <f t="shared" si="37"/>
        <v>108</v>
      </c>
      <c r="AO109" s="62">
        <f t="shared" si="38"/>
        <v>2113</v>
      </c>
      <c r="AP109" s="58">
        <f>AP108*(1+Calculator!$D$11)</f>
        <v>12766.521606921571</v>
      </c>
    </row>
    <row r="110" spans="30:42" x14ac:dyDescent="0.2">
      <c r="AD110" s="62">
        <f t="shared" si="36"/>
        <v>2114</v>
      </c>
      <c r="AE110" s="58">
        <f>AE109*(1+Calculator!$D$6)</f>
        <v>8002.9896252668532</v>
      </c>
      <c r="AL110" s="62" t="str">
        <f>'AADT Input'!A86&amp;"- "&amp;'AADT Input'!B86</f>
        <v>12107- WARREN BRIDGE RD</v>
      </c>
      <c r="AM110" s="62">
        <f t="shared" si="37"/>
        <v>109</v>
      </c>
      <c r="AO110" s="62">
        <f t="shared" si="38"/>
        <v>2114</v>
      </c>
      <c r="AP110" s="58">
        <f>AP109*(1+Calculator!$D$11)</f>
        <v>13145.956478145454</v>
      </c>
    </row>
    <row r="111" spans="30:42" x14ac:dyDescent="0.2">
      <c r="AD111" s="62">
        <f t="shared" si="36"/>
        <v>2115</v>
      </c>
      <c r="AE111" s="58">
        <f>AE110*(1+Calculator!$D$6)</f>
        <v>8203.0643658985246</v>
      </c>
      <c r="AL111" s="62" t="str">
        <f>'AADT Input'!A87&amp;"- "&amp;'AADT Input'!B87</f>
        <v>12108- WILKESBORO HWY</v>
      </c>
      <c r="AM111" s="62">
        <f t="shared" si="37"/>
        <v>110</v>
      </c>
      <c r="AO111" s="62">
        <f t="shared" si="38"/>
        <v>2115</v>
      </c>
      <c r="AP111" s="58">
        <f>AP110*(1+Calculator!$D$11)</f>
        <v>13536.668565351381</v>
      </c>
    </row>
    <row r="112" spans="30:42" x14ac:dyDescent="0.2">
      <c r="AD112" s="62">
        <f t="shared" si="36"/>
        <v>2116</v>
      </c>
      <c r="AE112" s="58">
        <f>AE111*(1+Calculator!$D$6)</f>
        <v>8408.1409750459861</v>
      </c>
      <c r="AL112" s="62" t="str">
        <f>'AADT Input'!A88&amp;"- "&amp;'AADT Input'!B88</f>
        <v>12109- LINNEYS MILL RD</v>
      </c>
      <c r="AM112" s="62">
        <f t="shared" si="37"/>
        <v>111</v>
      </c>
      <c r="AO112" s="62">
        <f t="shared" si="38"/>
        <v>2116</v>
      </c>
      <c r="AP112" s="58">
        <f>AP111*(1+Calculator!$D$11)</f>
        <v>13938.993039631812</v>
      </c>
    </row>
    <row r="113" spans="30:42" x14ac:dyDescent="0.2">
      <c r="AD113" s="62">
        <f t="shared" si="36"/>
        <v>2117</v>
      </c>
      <c r="AE113" s="58">
        <f>AE112*(1+Calculator!$D$6)</f>
        <v>8618.3444994221354</v>
      </c>
      <c r="AL113" s="62" t="str">
        <f>'AADT Input'!A89&amp;"- "&amp;'AADT Input'!B89</f>
        <v>12110- MOUNTAIN VIEW RD</v>
      </c>
      <c r="AM113" s="62">
        <f t="shared" si="37"/>
        <v>112</v>
      </c>
      <c r="AO113" s="62">
        <f t="shared" si="38"/>
        <v>2117</v>
      </c>
      <c r="AP113" s="58">
        <f>AP112*(1+Calculator!$D$11)</f>
        <v>14353.275033727668</v>
      </c>
    </row>
    <row r="114" spans="30:42" x14ac:dyDescent="0.2">
      <c r="AD114" s="62">
        <f t="shared" si="36"/>
        <v>2118</v>
      </c>
      <c r="AE114" s="58">
        <f>AE113*(1+Calculator!$D$6)</f>
        <v>8833.8031119076877</v>
      </c>
      <c r="AL114" s="62" t="str">
        <f>'AADT Input'!A90&amp;"- "&amp;'AADT Input'!B90</f>
        <v>12111- TUCKERS GROVE</v>
      </c>
      <c r="AM114" s="62">
        <f t="shared" si="37"/>
        <v>113</v>
      </c>
      <c r="AO114" s="62">
        <f t="shared" si="38"/>
        <v>2118</v>
      </c>
      <c r="AP114" s="58">
        <f>AP113*(1+Calculator!$D$11)</f>
        <v>14779.869938099328</v>
      </c>
    </row>
    <row r="115" spans="30:42" x14ac:dyDescent="0.2">
      <c r="AD115" s="62">
        <f t="shared" si="36"/>
        <v>2119</v>
      </c>
      <c r="AE115" s="58">
        <f>AE114*(1+Calculator!$D$6)</f>
        <v>9054.64818970538</v>
      </c>
      <c r="AL115" s="62" t="str">
        <f>'AADT Input'!A91&amp;"- "&amp;'AADT Input'!B91</f>
        <v>12112- PISGAH CHURCH RD</v>
      </c>
      <c r="AM115" s="62">
        <f t="shared" si="37"/>
        <v>114</v>
      </c>
      <c r="AO115" s="62">
        <f t="shared" si="38"/>
        <v>2119</v>
      </c>
      <c r="AP115" s="58">
        <f>AP114*(1+Calculator!$D$11)</f>
        <v>15219.143705797178</v>
      </c>
    </row>
    <row r="116" spans="30:42" x14ac:dyDescent="0.2">
      <c r="AD116" s="62">
        <f t="shared" si="36"/>
        <v>2120</v>
      </c>
      <c r="AE116" s="58">
        <f>AE115*(1+Calculator!$D$6)</f>
        <v>9281.0143944480133</v>
      </c>
      <c r="AL116" s="62" t="str">
        <f>'AADT Input'!A92&amp;"- "&amp;'AADT Input'!B92</f>
        <v>12113- SHEFFIELD RD</v>
      </c>
      <c r="AM116" s="62">
        <f t="shared" si="37"/>
        <v>115</v>
      </c>
      <c r="AO116" s="62">
        <f t="shared" si="38"/>
        <v>2120</v>
      </c>
      <c r="AP116" s="58">
        <f>AP115*(1+Calculator!$D$11)</f>
        <v>15671.473166393249</v>
      </c>
    </row>
    <row r="117" spans="30:42" x14ac:dyDescent="0.2">
      <c r="AD117" s="62">
        <f t="shared" si="36"/>
        <v>2121</v>
      </c>
      <c r="AE117" s="58">
        <f>AE116*(1+Calculator!$D$6)</f>
        <v>9513.0397543092131</v>
      </c>
      <c r="AL117" s="62" t="str">
        <f>'AADT Input'!A93&amp;"- "&amp;'AADT Input'!B93</f>
        <v xml:space="preserve">- </v>
      </c>
      <c r="AM117" s="62">
        <f t="shared" si="37"/>
        <v>116</v>
      </c>
      <c r="AO117" s="62">
        <f t="shared" si="38"/>
        <v>2121</v>
      </c>
      <c r="AP117" s="58">
        <f>AP116*(1+Calculator!$D$11)</f>
        <v>16137.246349243234</v>
      </c>
    </row>
    <row r="118" spans="30:42" x14ac:dyDescent="0.2">
      <c r="AD118" s="62">
        <f t="shared" si="36"/>
        <v>2122</v>
      </c>
      <c r="AE118" s="58">
        <f>AE117*(1+Calculator!$D$6)</f>
        <v>9750.8657481669434</v>
      </c>
      <c r="AL118" s="62" t="str">
        <f>'AADT Input'!A94&amp;"- "&amp;'AADT Input'!B94</f>
        <v xml:space="preserve">- </v>
      </c>
      <c r="AM118" s="62">
        <f t="shared" si="37"/>
        <v>117</v>
      </c>
      <c r="AO118" s="62">
        <f t="shared" si="38"/>
        <v>2122</v>
      </c>
      <c r="AP118" s="58">
        <f>AP117*(1+Calculator!$D$11)</f>
        <v>16616.86281635621</v>
      </c>
    </row>
    <row r="119" spans="30:42" x14ac:dyDescent="0.2">
      <c r="AD119" s="62">
        <f t="shared" si="36"/>
        <v>2123</v>
      </c>
      <c r="AE119" s="58">
        <f>AE118*(1+Calculator!$D$6)</f>
        <v>9994.6373918711161</v>
      </c>
      <c r="AL119" s="62" t="str">
        <f>'AADT Input'!A95&amp;"- "&amp;'AADT Input'!B95</f>
        <v xml:space="preserve">- </v>
      </c>
      <c r="AM119" s="62">
        <f t="shared" si="37"/>
        <v>118</v>
      </c>
      <c r="AO119" s="62">
        <f t="shared" si="38"/>
        <v>2123</v>
      </c>
      <c r="AP119" s="58">
        <f>AP118*(1+Calculator!$D$11)</f>
        <v>17110.734005157607</v>
      </c>
    </row>
    <row r="120" spans="30:42" x14ac:dyDescent="0.2">
      <c r="AD120" s="62">
        <f t="shared" si="36"/>
        <v>2124</v>
      </c>
      <c r="AE120" s="58">
        <f>AE119*(1+Calculator!$D$6)</f>
        <v>10244.503326667893</v>
      </c>
      <c r="AL120" s="62" t="str">
        <f>'AADT Input'!A96&amp;"- "&amp;'AADT Input'!B96</f>
        <v xml:space="preserve">- </v>
      </c>
      <c r="AM120" s="62">
        <f t="shared" si="37"/>
        <v>119</v>
      </c>
      <c r="AO120" s="62">
        <f t="shared" si="38"/>
        <v>2124</v>
      </c>
      <c r="AP120" s="58">
        <f>AP119*(1+Calculator!$D$11)</f>
        <v>17619.28358143946</v>
      </c>
    </row>
    <row r="121" spans="30:42" x14ac:dyDescent="0.2">
      <c r="AD121" s="62">
        <f t="shared" si="36"/>
        <v>2125</v>
      </c>
      <c r="AE121" s="58">
        <f>AE120*(1+Calculator!$D$6)</f>
        <v>10500.615909834589</v>
      </c>
      <c r="AL121" s="62" t="str">
        <f>'AADT Input'!A97&amp;"- "&amp;'AADT Input'!B97</f>
        <v xml:space="preserve">- </v>
      </c>
      <c r="AM121" s="62">
        <f t="shared" si="37"/>
        <v>120</v>
      </c>
      <c r="AO121" s="62">
        <f t="shared" si="38"/>
        <v>2125</v>
      </c>
      <c r="AP121" s="58">
        <f>AP120*(1+Calculator!$D$11)</f>
        <v>18142.947802800743</v>
      </c>
    </row>
    <row r="122" spans="30:42" x14ac:dyDescent="0.2">
      <c r="AD122" s="62">
        <f t="shared" si="36"/>
        <v>2126</v>
      </c>
      <c r="AE122" s="58">
        <f>AE121*(1+Calculator!$D$6)</f>
        <v>10763.131307580452</v>
      </c>
      <c r="AL122" s="62" t="str">
        <f>'AADT Input'!A98&amp;"- "&amp;'AADT Input'!B98</f>
        <v xml:space="preserve">- </v>
      </c>
      <c r="AM122" s="62">
        <f t="shared" si="37"/>
        <v>121</v>
      </c>
      <c r="AO122" s="62">
        <f t="shared" si="38"/>
        <v>2126</v>
      </c>
      <c r="AP122" s="58">
        <f>AP121*(1+Calculator!$D$11)</f>
        <v>18682.175892889514</v>
      </c>
    </row>
    <row r="123" spans="30:42" x14ac:dyDescent="0.2">
      <c r="AD123" s="62">
        <f t="shared" si="36"/>
        <v>2127</v>
      </c>
      <c r="AE123" s="58">
        <f>AE122*(1+Calculator!$D$6)</f>
        <v>11032.209590269962</v>
      </c>
      <c r="AL123" s="62" t="str">
        <f>'AADT Input'!A99&amp;"- "&amp;'AADT Input'!B99</f>
        <v xml:space="preserve">- </v>
      </c>
      <c r="AM123" s="62">
        <f t="shared" si="37"/>
        <v>122</v>
      </c>
      <c r="AO123" s="62">
        <f t="shared" si="38"/>
        <v>2127</v>
      </c>
      <c r="AP123" s="58">
        <f>AP122*(1+Calculator!$D$11)</f>
        <v>19237.430426767969</v>
      </c>
    </row>
    <row r="124" spans="30:42" x14ac:dyDescent="0.2">
      <c r="AD124" s="62">
        <f t="shared" si="36"/>
        <v>2128</v>
      </c>
      <c r="AE124" s="58">
        <f>AE123*(1+Calculator!$D$6)</f>
        <v>11308.01483002671</v>
      </c>
      <c r="AL124" s="62" t="str">
        <f>'AADT Input'!A100&amp;"- "&amp;'AADT Input'!B100</f>
        <v xml:space="preserve">- </v>
      </c>
      <c r="AM124" s="62">
        <f t="shared" si="37"/>
        <v>123</v>
      </c>
      <c r="AO124" s="62">
        <f t="shared" si="38"/>
        <v>2128</v>
      </c>
      <c r="AP124" s="58">
        <f>AP123*(1+Calculator!$D$11)</f>
        <v>19809.187727730954</v>
      </c>
    </row>
    <row r="125" spans="30:42" x14ac:dyDescent="0.2">
      <c r="AD125" s="62">
        <f t="shared" si="36"/>
        <v>2129</v>
      </c>
      <c r="AE125" s="58">
        <f>AE124*(1+Calculator!$D$6)</f>
        <v>11590.715200777377</v>
      </c>
      <c r="AL125" s="62" t="str">
        <f>'AADT Input'!A101&amp;"- "&amp;'AADT Input'!B101</f>
        <v xml:space="preserve">- </v>
      </c>
      <c r="AM125" s="62">
        <f t="shared" si="37"/>
        <v>124</v>
      </c>
      <c r="AO125" s="62">
        <f t="shared" si="38"/>
        <v>2129</v>
      </c>
      <c r="AP125" s="58">
        <f>AP124*(1+Calculator!$D$11)</f>
        <v>20397.93827591835</v>
      </c>
    </row>
    <row r="126" spans="30:42" x14ac:dyDescent="0.2">
      <c r="AD126" s="62">
        <f t="shared" si="36"/>
        <v>2130</v>
      </c>
      <c r="AE126" s="58">
        <f>AE125*(1+Calculator!$D$6)</f>
        <v>11880.48308079681</v>
      </c>
      <c r="AL126" s="62" t="str">
        <f>'AADT Input'!A102&amp;"- "&amp;'AADT Input'!B102</f>
        <v xml:space="preserve">- </v>
      </c>
      <c r="AM126" s="62">
        <f t="shared" si="37"/>
        <v>125</v>
      </c>
      <c r="AO126" s="62">
        <f t="shared" si="38"/>
        <v>2130</v>
      </c>
      <c r="AP126" s="58">
        <f>AP125*(1+Calculator!$D$11)</f>
        <v>21004.187129071866</v>
      </c>
    </row>
    <row r="127" spans="30:42" x14ac:dyDescent="0.2">
      <c r="AD127" s="62">
        <f t="shared" si="36"/>
        <v>2131</v>
      </c>
      <c r="AE127" s="58">
        <f>AE126*(1+Calculator!$D$6)</f>
        <v>12177.495157816729</v>
      </c>
      <c r="AL127" s="62" t="str">
        <f>'AADT Input'!A103&amp;"- "&amp;'AADT Input'!B103</f>
        <v xml:space="preserve">- </v>
      </c>
      <c r="AM127" s="62">
        <f t="shared" si="37"/>
        <v>126</v>
      </c>
      <c r="AO127" s="62">
        <f t="shared" si="38"/>
        <v>2131</v>
      </c>
      <c r="AP127" s="58">
        <f>AP126*(1+Calculator!$D$11)</f>
        <v>21628.454355797181</v>
      </c>
    </row>
    <row r="128" spans="30:42" x14ac:dyDescent="0.2">
      <c r="AD128" s="62">
        <f t="shared" si="36"/>
        <v>2132</v>
      </c>
      <c r="AE128" s="58">
        <f>AE127*(1+Calculator!$D$6)</f>
        <v>12481.932536762146</v>
      </c>
      <c r="AL128" s="62" t="str">
        <f>'AADT Input'!A104&amp;"- "&amp;'AADT Input'!B104</f>
        <v xml:space="preserve">- </v>
      </c>
      <c r="AM128" s="62">
        <f t="shared" si="37"/>
        <v>127</v>
      </c>
      <c r="AO128" s="62">
        <f t="shared" si="38"/>
        <v>2132</v>
      </c>
      <c r="AP128" s="58">
        <f>AP127*(1+Calculator!$D$11)</f>
        <v>22271.275481703098</v>
      </c>
    </row>
    <row r="129" spans="30:42" x14ac:dyDescent="0.2">
      <c r="AD129" s="62">
        <f t="shared" si="36"/>
        <v>2133</v>
      </c>
      <c r="AE129" s="58">
        <f>AE128*(1+Calculator!$D$6)</f>
        <v>12793.980850181199</v>
      </c>
      <c r="AL129" s="62" t="str">
        <f>'AADT Input'!A105&amp;"- "&amp;'AADT Input'!B105</f>
        <v xml:space="preserve">- </v>
      </c>
      <c r="AM129" s="62">
        <f t="shared" si="37"/>
        <v>128</v>
      </c>
      <c r="AO129" s="62">
        <f t="shared" si="38"/>
        <v>2133</v>
      </c>
      <c r="AP129" s="58">
        <f>AP128*(1+Calculator!$D$11)</f>
        <v>22933.201948800455</v>
      </c>
    </row>
    <row r="130" spans="30:42" x14ac:dyDescent="0.2">
      <c r="AD130" s="62">
        <f t="shared" si="36"/>
        <v>2134</v>
      </c>
      <c r="AE130" s="58">
        <f>AE129*(1+Calculator!$D$6)</f>
        <v>13113.830371435728</v>
      </c>
      <c r="AL130" s="62" t="str">
        <f>'AADT Input'!A106&amp;"- "&amp;'AADT Input'!B106</f>
        <v xml:space="preserve">- </v>
      </c>
      <c r="AM130" s="62">
        <f t="shared" si="37"/>
        <v>129</v>
      </c>
      <c r="AO130" s="62">
        <f t="shared" si="38"/>
        <v>2134</v>
      </c>
      <c r="AP130" s="58">
        <f>AP129*(1+Calculator!$D$11)</f>
        <v>23614.801588554848</v>
      </c>
    </row>
    <row r="131" spans="30:42" x14ac:dyDescent="0.2">
      <c r="AD131" s="62">
        <f t="shared" si="36"/>
        <v>2135</v>
      </c>
      <c r="AE131" s="58">
        <f>AE130*(1+Calculator!$D$6)</f>
        <v>13441.67613072162</v>
      </c>
      <c r="AL131" s="62" t="str">
        <f>'AADT Input'!A107&amp;"- "&amp;'AADT Input'!B107</f>
        <v xml:space="preserve">- </v>
      </c>
      <c r="AM131" s="62">
        <f t="shared" si="37"/>
        <v>130</v>
      </c>
      <c r="AO131" s="62">
        <f t="shared" si="38"/>
        <v>2135</v>
      </c>
      <c r="AP131" s="58">
        <f>AP130*(1+Calculator!$D$11)</f>
        <v>24316.659108999018</v>
      </c>
    </row>
    <row r="132" spans="30:42" x14ac:dyDescent="0.2">
      <c r="AD132" s="62">
        <f t="shared" ref="AD132:AD152" si="39">AD131+1</f>
        <v>2136</v>
      </c>
      <c r="AE132" s="58">
        <f>AE131*(1+Calculator!$D$6)</f>
        <v>13777.71803398966</v>
      </c>
      <c r="AL132" s="62" t="str">
        <f>'AADT Input'!A108&amp;"- "&amp;'AADT Input'!B108</f>
        <v xml:space="preserve">- </v>
      </c>
      <c r="AM132" s="62">
        <f t="shared" ref="AM132:AM195" si="40">AM131+1</f>
        <v>131</v>
      </c>
      <c r="AO132" s="62">
        <f t="shared" ref="AO132:AO152" si="41">AO131+1</f>
        <v>2136</v>
      </c>
      <c r="AP132" s="58">
        <f>AP131*(1+Calculator!$D$11)</f>
        <v>25039.37659632272</v>
      </c>
    </row>
    <row r="133" spans="30:42" x14ac:dyDescent="0.2">
      <c r="AD133" s="62">
        <f t="shared" si="39"/>
        <v>2137</v>
      </c>
      <c r="AE133" s="58">
        <f>AE132*(1+Calculator!$D$6)</f>
        <v>14122.1609848394</v>
      </c>
      <c r="AL133" s="62" t="str">
        <f>'AADT Input'!A109&amp;"- "&amp;'AADT Input'!B109</f>
        <v xml:space="preserve">- </v>
      </c>
      <c r="AM133" s="62">
        <f t="shared" si="40"/>
        <v>132</v>
      </c>
      <c r="AO133" s="62">
        <f t="shared" si="41"/>
        <v>2137</v>
      </c>
      <c r="AP133" s="58">
        <f>AP132*(1+Calculator!$D$11)</f>
        <v>25783.574031370415</v>
      </c>
    </row>
    <row r="134" spans="30:42" x14ac:dyDescent="0.2">
      <c r="AD134" s="62">
        <f t="shared" si="39"/>
        <v>2138</v>
      </c>
      <c r="AE134" s="58">
        <f>AE133*(1+Calculator!$D$6)</f>
        <v>14475.215009460384</v>
      </c>
      <c r="AL134" s="62" t="str">
        <f>'AADT Input'!A110&amp;"- "&amp;'AADT Input'!B110</f>
        <v xml:space="preserve">- </v>
      </c>
      <c r="AM134" s="62">
        <f t="shared" si="40"/>
        <v>133</v>
      </c>
      <c r="AO134" s="62">
        <f t="shared" si="41"/>
        <v>2138</v>
      </c>
      <c r="AP134" s="58">
        <f>AP133*(1+Calculator!$D$11)</f>
        <v>26549.889821489814</v>
      </c>
    </row>
    <row r="135" spans="30:42" x14ac:dyDescent="0.2">
      <c r="AD135" s="62">
        <f t="shared" si="39"/>
        <v>2139</v>
      </c>
      <c r="AE135" s="58">
        <f>AE134*(1+Calculator!$D$6)</f>
        <v>14837.095384696891</v>
      </c>
      <c r="AL135" s="62" t="str">
        <f>'AADT Input'!A111&amp;"- "&amp;'AADT Input'!B111</f>
        <v xml:space="preserve">- </v>
      </c>
      <c r="AM135" s="62">
        <f t="shared" si="40"/>
        <v>134</v>
      </c>
      <c r="AO135" s="62">
        <f t="shared" si="41"/>
        <v>2139</v>
      </c>
      <c r="AP135" s="58">
        <f>AP134*(1+Calculator!$D$11)</f>
        <v>27338.981348187543</v>
      </c>
    </row>
    <row r="136" spans="30:42" x14ac:dyDescent="0.2">
      <c r="AD136" s="62">
        <f t="shared" si="39"/>
        <v>2140</v>
      </c>
      <c r="AE136" s="58">
        <f>AE135*(1+Calculator!$D$6)</f>
        <v>15208.022769314312</v>
      </c>
      <c r="AL136" s="62" t="str">
        <f>'AADT Input'!A112&amp;"- "&amp;'AADT Input'!B112</f>
        <v xml:space="preserve">- </v>
      </c>
      <c r="AM136" s="62">
        <f t="shared" si="40"/>
        <v>135</v>
      </c>
      <c r="AO136" s="62">
        <f t="shared" si="41"/>
        <v>2140</v>
      </c>
      <c r="AP136" s="58">
        <f>AP135*(1+Calculator!$D$11)</f>
        <v>28151.525531061725</v>
      </c>
    </row>
    <row r="137" spans="30:42" x14ac:dyDescent="0.2">
      <c r="AD137" s="62">
        <f t="shared" si="39"/>
        <v>2141</v>
      </c>
      <c r="AE137" s="58">
        <f>AE136*(1+Calculator!$D$6)</f>
        <v>15588.223338547168</v>
      </c>
      <c r="AL137" s="62" t="str">
        <f>'AADT Input'!A113&amp;"- "&amp;'AADT Input'!B113</f>
        <v xml:space="preserve">- </v>
      </c>
      <c r="AM137" s="62">
        <f t="shared" si="40"/>
        <v>136</v>
      </c>
      <c r="AO137" s="62">
        <f t="shared" si="41"/>
        <v>2141</v>
      </c>
      <c r="AP137" s="58">
        <f>AP136*(1+Calculator!$D$11)</f>
        <v>28988.219408495264</v>
      </c>
    </row>
    <row r="138" spans="30:42" x14ac:dyDescent="0.2">
      <c r="AD138" s="62">
        <f t="shared" si="39"/>
        <v>2142</v>
      </c>
      <c r="AE138" s="58">
        <f>AE137*(1+Calculator!$D$6)</f>
        <v>15977.928922010846</v>
      </c>
      <c r="AL138" s="62" t="str">
        <f>'AADT Input'!A114&amp;"- "&amp;'AADT Input'!B114</f>
        <v xml:space="preserve">- </v>
      </c>
      <c r="AM138" s="62">
        <f t="shared" si="40"/>
        <v>137</v>
      </c>
      <c r="AO138" s="62">
        <f t="shared" si="41"/>
        <v>2142</v>
      </c>
      <c r="AP138" s="58">
        <f>AP137*(1+Calculator!$D$11)</f>
        <v>29849.780735607947</v>
      </c>
    </row>
    <row r="139" spans="30:42" x14ac:dyDescent="0.2">
      <c r="AD139" s="62">
        <f t="shared" si="39"/>
        <v>2143</v>
      </c>
      <c r="AE139" s="58">
        <f>AE138*(1+Calculator!$D$6)</f>
        <v>16377.377145061115</v>
      </c>
      <c r="AL139" s="62" t="str">
        <f>'AADT Input'!A115&amp;"- "&amp;'AADT Input'!B115</f>
        <v xml:space="preserve">- </v>
      </c>
      <c r="AM139" s="62">
        <f t="shared" si="40"/>
        <v>138</v>
      </c>
      <c r="AO139" s="62">
        <f t="shared" si="41"/>
        <v>2143</v>
      </c>
      <c r="AP139" s="58">
        <f>AP138*(1+Calculator!$D$11)</f>
        <v>30736.948599980333</v>
      </c>
    </row>
    <row r="140" spans="30:42" x14ac:dyDescent="0.2">
      <c r="AD140" s="62">
        <f t="shared" si="39"/>
        <v>2144</v>
      </c>
      <c r="AE140" s="58">
        <f>AE139*(1+Calculator!$D$6)</f>
        <v>16786.811573687643</v>
      </c>
      <c r="AL140" s="62" t="str">
        <f>'AADT Input'!A116&amp;"- "&amp;'AADT Input'!B116</f>
        <v xml:space="preserve">- </v>
      </c>
      <c r="AM140" s="62">
        <f t="shared" si="40"/>
        <v>139</v>
      </c>
      <c r="AO140" s="62">
        <f t="shared" si="41"/>
        <v>2144</v>
      </c>
      <c r="AP140" s="58">
        <f>AP139*(1+Calculator!$D$11)</f>
        <v>31650.484055677643</v>
      </c>
    </row>
    <row r="141" spans="30:42" x14ac:dyDescent="0.2">
      <c r="AD141" s="62">
        <f t="shared" si="39"/>
        <v>2145</v>
      </c>
      <c r="AE141" s="58">
        <f>AE140*(1+Calculator!$D$6)</f>
        <v>17206.481863029832</v>
      </c>
      <c r="AL141" s="62" t="str">
        <f>'AADT Input'!A117&amp;"- "&amp;'AADT Input'!B117</f>
        <v xml:space="preserve">- </v>
      </c>
      <c r="AM141" s="62">
        <f t="shared" si="40"/>
        <v>140</v>
      </c>
      <c r="AO141" s="62">
        <f t="shared" si="41"/>
        <v>2145</v>
      </c>
      <c r="AP141" s="58">
        <f>AP140*(1+Calculator!$D$11)</f>
        <v>32591.170776117498</v>
      </c>
    </row>
    <row r="142" spans="30:42" x14ac:dyDescent="0.2">
      <c r="AD142" s="62">
        <f t="shared" si="39"/>
        <v>2146</v>
      </c>
      <c r="AE142" s="58">
        <f>AE141*(1+Calculator!$D$6)</f>
        <v>17636.643909605576</v>
      </c>
      <c r="AL142" s="62" t="str">
        <f>'AADT Input'!A118&amp;"- "&amp;'AADT Input'!B118</f>
        <v xml:space="preserve">- </v>
      </c>
      <c r="AM142" s="62">
        <f t="shared" si="40"/>
        <v>141</v>
      </c>
      <c r="AO142" s="62">
        <f t="shared" si="41"/>
        <v>2146</v>
      </c>
      <c r="AP142" s="58">
        <f>AP141*(1+Calculator!$D$11)</f>
        <v>33559.815726341621</v>
      </c>
    </row>
    <row r="143" spans="30:42" x14ac:dyDescent="0.2">
      <c r="AD143" s="62">
        <f t="shared" si="39"/>
        <v>2147</v>
      </c>
      <c r="AE143" s="58">
        <f>AE142*(1+Calculator!$D$6)</f>
        <v>18077.560007345714</v>
      </c>
      <c r="AL143" s="62" t="str">
        <f>'AADT Input'!A119&amp;"- "&amp;'AADT Input'!B119</f>
        <v xml:space="preserve">- </v>
      </c>
      <c r="AM143" s="62">
        <f t="shared" si="40"/>
        <v>142</v>
      </c>
      <c r="AO143" s="62">
        <f t="shared" si="41"/>
        <v>2147</v>
      </c>
      <c r="AP143" s="58">
        <f>AP142*(1+Calculator!$D$11)</f>
        <v>34557.249855268165</v>
      </c>
    </row>
    <row r="144" spans="30:42" x14ac:dyDescent="0.2">
      <c r="AD144" s="62">
        <f t="shared" si="39"/>
        <v>2148</v>
      </c>
      <c r="AE144" s="58">
        <f>AE143*(1+Calculator!$D$6)</f>
        <v>18529.499007529354</v>
      </c>
      <c r="AL144" s="62" t="str">
        <f>'AADT Input'!A120&amp;"- "&amp;'AADT Input'!B120</f>
        <v xml:space="preserve">- </v>
      </c>
      <c r="AM144" s="62">
        <f t="shared" si="40"/>
        <v>143</v>
      </c>
      <c r="AO144" s="62">
        <f t="shared" si="41"/>
        <v>2148</v>
      </c>
      <c r="AP144" s="58">
        <f>AP143*(1+Calculator!$D$11)</f>
        <v>35584.328808518534</v>
      </c>
    </row>
    <row r="145" spans="30:42" x14ac:dyDescent="0.2">
      <c r="AD145" s="62">
        <f t="shared" si="39"/>
        <v>2149</v>
      </c>
      <c r="AE145" s="58">
        <f>AE144*(1+Calculator!$D$6)</f>
        <v>18992.736482717584</v>
      </c>
      <c r="AL145" s="62" t="str">
        <f>'AADT Input'!A121&amp;"- "&amp;'AADT Input'!B121</f>
        <v xml:space="preserve">- </v>
      </c>
      <c r="AM145" s="62">
        <f t="shared" si="40"/>
        <v>144</v>
      </c>
      <c r="AO145" s="62">
        <f t="shared" si="41"/>
        <v>2149</v>
      </c>
      <c r="AP145" s="58">
        <f>AP144*(1+Calculator!$D$11)</f>
        <v>36641.933662430209</v>
      </c>
    </row>
    <row r="146" spans="30:42" x14ac:dyDescent="0.2">
      <c r="AD146" s="62">
        <f t="shared" si="39"/>
        <v>2150</v>
      </c>
      <c r="AE146" s="58">
        <f>AE145*(1+Calculator!$D$6)</f>
        <v>19467.55489478552</v>
      </c>
      <c r="AL146" s="62" t="str">
        <f>'AADT Input'!A122&amp;"- "&amp;'AADT Input'!B122</f>
        <v xml:space="preserve">- </v>
      </c>
      <c r="AM146" s="62">
        <f t="shared" si="40"/>
        <v>145</v>
      </c>
      <c r="AO146" s="62">
        <f t="shared" si="41"/>
        <v>2150</v>
      </c>
      <c r="AP146" s="58">
        <f>AP145*(1+Calculator!$D$11)</f>
        <v>37730.97167988521</v>
      </c>
    </row>
    <row r="147" spans="30:42" x14ac:dyDescent="0.2">
      <c r="AD147" s="62">
        <f t="shared" si="39"/>
        <v>2151</v>
      </c>
      <c r="AE147" s="58">
        <f>AE146*(1+Calculator!$D$6)</f>
        <v>19954.243767155156</v>
      </c>
      <c r="AL147" s="62" t="str">
        <f>'AADT Input'!A123&amp;"- "&amp;'AADT Input'!B123</f>
        <v xml:space="preserve">- </v>
      </c>
      <c r="AM147" s="62">
        <f t="shared" si="40"/>
        <v>146</v>
      </c>
      <c r="AO147" s="62">
        <f t="shared" si="41"/>
        <v>2151</v>
      </c>
      <c r="AP147" s="58">
        <f>AP146*(1+Calculator!$D$11)</f>
        <v>38852.377088602596</v>
      </c>
    </row>
    <row r="148" spans="30:42" x14ac:dyDescent="0.2">
      <c r="AD148" s="62">
        <f t="shared" si="39"/>
        <v>2152</v>
      </c>
      <c r="AE148" s="58">
        <f>AE147*(1+Calculator!$D$6)</f>
        <v>20453.099861334034</v>
      </c>
      <c r="AL148" s="62" t="str">
        <f>'AADT Input'!A124&amp;"- "&amp;'AADT Input'!B124</f>
        <v xml:space="preserve">- </v>
      </c>
      <c r="AM148" s="62">
        <f t="shared" si="40"/>
        <v>147</v>
      </c>
      <c r="AO148" s="62">
        <f t="shared" si="41"/>
        <v>2152</v>
      </c>
      <c r="AP148" s="58">
        <f>AP147*(1+Calculator!$D$11)</f>
        <v>40007.111882562691</v>
      </c>
    </row>
    <row r="149" spans="30:42" x14ac:dyDescent="0.2">
      <c r="AD149" s="62">
        <f t="shared" si="39"/>
        <v>2153</v>
      </c>
      <c r="AE149" s="58">
        <f>AE148*(1+Calculator!$D$6)</f>
        <v>20964.427357867382</v>
      </c>
      <c r="AL149" s="62" t="str">
        <f>'AADT Input'!A125&amp;"- "&amp;'AADT Input'!B125</f>
        <v xml:space="preserve">- </v>
      </c>
      <c r="AM149" s="62">
        <f t="shared" si="40"/>
        <v>148</v>
      </c>
      <c r="AO149" s="62">
        <f t="shared" si="41"/>
        <v>2153</v>
      </c>
      <c r="AP149" s="58">
        <f>AP148*(1+Calculator!$D$11)</f>
        <v>41196.16664725048</v>
      </c>
    </row>
    <row r="150" spans="30:42" x14ac:dyDescent="0.2">
      <c r="AD150" s="62">
        <f t="shared" si="39"/>
        <v>2154</v>
      </c>
      <c r="AE150" s="58">
        <f>AE149*(1+Calculator!$D$6)</f>
        <v>21488.538041814063</v>
      </c>
      <c r="AL150" s="62" t="str">
        <f>'AADT Input'!A126&amp;"- "&amp;'AADT Input'!B126</f>
        <v xml:space="preserve">- </v>
      </c>
      <c r="AM150" s="62">
        <f t="shared" si="40"/>
        <v>149</v>
      </c>
      <c r="AO150" s="62">
        <f t="shared" si="41"/>
        <v>2154</v>
      </c>
      <c r="AP150" s="58">
        <f>AP149*(1+Calculator!$D$11)</f>
        <v>42420.56140942614</v>
      </c>
    </row>
    <row r="151" spans="30:42" x14ac:dyDescent="0.2">
      <c r="AD151" s="62">
        <f t="shared" si="39"/>
        <v>2155</v>
      </c>
      <c r="AE151" s="58">
        <f>AE150*(1+Calculator!$D$6)</f>
        <v>22025.751492859414</v>
      </c>
      <c r="AL151" s="62" t="str">
        <f>'AADT Input'!A127&amp;"- "&amp;'AADT Input'!B127</f>
        <v xml:space="preserve">- </v>
      </c>
      <c r="AM151" s="62">
        <f t="shared" si="40"/>
        <v>150</v>
      </c>
      <c r="AO151" s="62">
        <f t="shared" si="41"/>
        <v>2155</v>
      </c>
      <c r="AP151" s="58">
        <f>AP150*(1+Calculator!$D$11)</f>
        <v>43681.346512151678</v>
      </c>
    </row>
    <row r="152" spans="30:42" x14ac:dyDescent="0.2">
      <c r="AD152" s="62">
        <f t="shared" si="39"/>
        <v>2156</v>
      </c>
      <c r="AE152" s="58">
        <f>AE151*(1+Calculator!$D$6)</f>
        <v>22576.395280180895</v>
      </c>
      <c r="AL152" s="62" t="str">
        <f>'AADT Input'!A128&amp;"- "&amp;'AADT Input'!B128</f>
        <v xml:space="preserve">- </v>
      </c>
      <c r="AM152" s="62">
        <f t="shared" si="40"/>
        <v>151</v>
      </c>
      <c r="AO152" s="62">
        <f t="shared" si="41"/>
        <v>2156</v>
      </c>
      <c r="AP152" s="58">
        <f>AP151*(1+Calculator!$D$11)</f>
        <v>44979.603515824325</v>
      </c>
    </row>
    <row r="153" spans="30:42" x14ac:dyDescent="0.2">
      <c r="AL153" s="62" t="str">
        <f>'AADT Input'!A129&amp;"- "&amp;'AADT Input'!B129</f>
        <v xml:space="preserve">- </v>
      </c>
      <c r="AM153" s="62">
        <f t="shared" si="40"/>
        <v>152</v>
      </c>
    </row>
    <row r="154" spans="30:42" x14ac:dyDescent="0.2">
      <c r="AL154" s="62" t="str">
        <f>'AADT Input'!A130&amp;"- "&amp;'AADT Input'!B130</f>
        <v xml:space="preserve">- </v>
      </c>
      <c r="AM154" s="62">
        <f t="shared" si="40"/>
        <v>153</v>
      </c>
    </row>
    <row r="155" spans="30:42" x14ac:dyDescent="0.2">
      <c r="AL155" s="62" t="str">
        <f>'AADT Input'!A131&amp;"- "&amp;'AADT Input'!B131</f>
        <v xml:space="preserve">- </v>
      </c>
      <c r="AM155" s="62">
        <f t="shared" si="40"/>
        <v>154</v>
      </c>
    </row>
    <row r="156" spans="30:42" x14ac:dyDescent="0.2">
      <c r="AL156" s="62" t="str">
        <f>'AADT Input'!A132&amp;"- "&amp;'AADT Input'!B132</f>
        <v xml:space="preserve">- </v>
      </c>
      <c r="AM156" s="62">
        <f t="shared" si="40"/>
        <v>155</v>
      </c>
    </row>
    <row r="157" spans="30:42" x14ac:dyDescent="0.2">
      <c r="AL157" s="62" t="str">
        <f>'AADT Input'!A133&amp;"- "&amp;'AADT Input'!B133</f>
        <v xml:space="preserve">- </v>
      </c>
      <c r="AM157" s="62">
        <f t="shared" si="40"/>
        <v>156</v>
      </c>
    </row>
    <row r="158" spans="30:42" x14ac:dyDescent="0.2">
      <c r="AL158" s="62" t="str">
        <f>'AADT Input'!A134&amp;"- "&amp;'AADT Input'!B134</f>
        <v xml:space="preserve">- </v>
      </c>
      <c r="AM158" s="62">
        <f t="shared" si="40"/>
        <v>157</v>
      </c>
    </row>
    <row r="159" spans="30:42" x14ac:dyDescent="0.2">
      <c r="AL159" s="62" t="str">
        <f>'AADT Input'!A135&amp;"- "&amp;'AADT Input'!B135</f>
        <v xml:space="preserve">- </v>
      </c>
      <c r="AM159" s="62">
        <f t="shared" si="40"/>
        <v>158</v>
      </c>
    </row>
    <row r="160" spans="30:42" x14ac:dyDescent="0.2">
      <c r="AL160" s="62" t="str">
        <f>'AADT Input'!A136&amp;"- "&amp;'AADT Input'!B136</f>
        <v xml:space="preserve">- </v>
      </c>
      <c r="AM160" s="62">
        <f t="shared" si="40"/>
        <v>159</v>
      </c>
    </row>
    <row r="161" spans="38:39" x14ac:dyDescent="0.2">
      <c r="AL161" s="62" t="str">
        <f>'AADT Input'!A137&amp;"- "&amp;'AADT Input'!B137</f>
        <v xml:space="preserve">- </v>
      </c>
      <c r="AM161" s="62">
        <f t="shared" si="40"/>
        <v>160</v>
      </c>
    </row>
    <row r="162" spans="38:39" x14ac:dyDescent="0.2">
      <c r="AL162" s="62" t="str">
        <f>'AADT Input'!A138&amp;"- "&amp;'AADT Input'!B138</f>
        <v xml:space="preserve">- </v>
      </c>
      <c r="AM162" s="62">
        <f t="shared" si="40"/>
        <v>161</v>
      </c>
    </row>
    <row r="163" spans="38:39" x14ac:dyDescent="0.2">
      <c r="AL163" s="62" t="str">
        <f>'AADT Input'!A139&amp;"- "&amp;'AADT Input'!B139</f>
        <v xml:space="preserve">- </v>
      </c>
      <c r="AM163" s="62">
        <f t="shared" si="40"/>
        <v>162</v>
      </c>
    </row>
    <row r="164" spans="38:39" x14ac:dyDescent="0.2">
      <c r="AL164" s="62" t="str">
        <f>'AADT Input'!A140&amp;"- "&amp;'AADT Input'!B140</f>
        <v xml:space="preserve">- </v>
      </c>
      <c r="AM164" s="62">
        <f t="shared" si="40"/>
        <v>163</v>
      </c>
    </row>
    <row r="165" spans="38:39" x14ac:dyDescent="0.2">
      <c r="AL165" s="62" t="str">
        <f>'AADT Input'!A141&amp;"- "&amp;'AADT Input'!B141</f>
        <v xml:space="preserve">- </v>
      </c>
      <c r="AM165" s="62">
        <f t="shared" si="40"/>
        <v>164</v>
      </c>
    </row>
    <row r="166" spans="38:39" x14ac:dyDescent="0.2">
      <c r="AL166" s="62" t="str">
        <f>'AADT Input'!A142&amp;"- "&amp;'AADT Input'!B142</f>
        <v xml:space="preserve">- </v>
      </c>
      <c r="AM166" s="62">
        <f t="shared" si="40"/>
        <v>165</v>
      </c>
    </row>
    <row r="167" spans="38:39" x14ac:dyDescent="0.2">
      <c r="AL167" s="62" t="str">
        <f>'AADT Input'!A143&amp;"- "&amp;'AADT Input'!B143</f>
        <v xml:space="preserve">- </v>
      </c>
      <c r="AM167" s="62">
        <f t="shared" si="40"/>
        <v>166</v>
      </c>
    </row>
    <row r="168" spans="38:39" x14ac:dyDescent="0.2">
      <c r="AL168" s="62" t="str">
        <f>'AADT Input'!A144&amp;"- "&amp;'AADT Input'!B144</f>
        <v xml:space="preserve">- </v>
      </c>
      <c r="AM168" s="62">
        <f t="shared" si="40"/>
        <v>167</v>
      </c>
    </row>
    <row r="169" spans="38:39" x14ac:dyDescent="0.2">
      <c r="AL169" s="62" t="str">
        <f>'AADT Input'!A145&amp;"- "&amp;'AADT Input'!B145</f>
        <v xml:space="preserve">- </v>
      </c>
      <c r="AM169" s="62">
        <f t="shared" si="40"/>
        <v>168</v>
      </c>
    </row>
    <row r="170" spans="38:39" x14ac:dyDescent="0.2">
      <c r="AL170" s="62" t="str">
        <f>'AADT Input'!A146&amp;"- "&amp;'AADT Input'!B146</f>
        <v xml:space="preserve">- </v>
      </c>
      <c r="AM170" s="62">
        <f t="shared" si="40"/>
        <v>169</v>
      </c>
    </row>
    <row r="171" spans="38:39" x14ac:dyDescent="0.2">
      <c r="AL171" s="62" t="str">
        <f>'AADT Input'!A147&amp;"- "&amp;'AADT Input'!B147</f>
        <v xml:space="preserve">- </v>
      </c>
      <c r="AM171" s="62">
        <f t="shared" si="40"/>
        <v>170</v>
      </c>
    </row>
    <row r="172" spans="38:39" x14ac:dyDescent="0.2">
      <c r="AL172" s="62" t="str">
        <f>'AADT Input'!A148&amp;"- "&amp;'AADT Input'!B148</f>
        <v xml:space="preserve">- </v>
      </c>
      <c r="AM172" s="62">
        <f t="shared" si="40"/>
        <v>171</v>
      </c>
    </row>
    <row r="173" spans="38:39" x14ac:dyDescent="0.2">
      <c r="AL173" s="62" t="str">
        <f>'AADT Input'!A149&amp;"- "&amp;'AADT Input'!B149</f>
        <v xml:space="preserve">- </v>
      </c>
      <c r="AM173" s="62">
        <f t="shared" si="40"/>
        <v>172</v>
      </c>
    </row>
    <row r="174" spans="38:39" x14ac:dyDescent="0.2">
      <c r="AL174" s="62" t="str">
        <f>'AADT Input'!A150&amp;"- "&amp;'AADT Input'!B150</f>
        <v xml:space="preserve">- </v>
      </c>
      <c r="AM174" s="62">
        <f t="shared" si="40"/>
        <v>173</v>
      </c>
    </row>
    <row r="175" spans="38:39" x14ac:dyDescent="0.2">
      <c r="AL175" s="62" t="str">
        <f>'AADT Input'!A151&amp;"- "&amp;'AADT Input'!B151</f>
        <v xml:space="preserve">- </v>
      </c>
      <c r="AM175" s="62">
        <f t="shared" si="40"/>
        <v>174</v>
      </c>
    </row>
    <row r="176" spans="38:39" x14ac:dyDescent="0.2">
      <c r="AL176" s="62" t="str">
        <f>'AADT Input'!A152&amp;"- "&amp;'AADT Input'!B152</f>
        <v xml:space="preserve">- </v>
      </c>
      <c r="AM176" s="62">
        <f t="shared" si="40"/>
        <v>175</v>
      </c>
    </row>
    <row r="177" spans="38:39" x14ac:dyDescent="0.2">
      <c r="AL177" s="62" t="str">
        <f>'AADT Input'!A153&amp;"- "&amp;'AADT Input'!B153</f>
        <v xml:space="preserve">- </v>
      </c>
      <c r="AM177" s="62">
        <f t="shared" si="40"/>
        <v>176</v>
      </c>
    </row>
    <row r="178" spans="38:39" x14ac:dyDescent="0.2">
      <c r="AL178" s="62" t="str">
        <f>'AADT Input'!A154&amp;"- "&amp;'AADT Input'!B154</f>
        <v xml:space="preserve">- </v>
      </c>
      <c r="AM178" s="62">
        <f t="shared" si="40"/>
        <v>177</v>
      </c>
    </row>
    <row r="179" spans="38:39" x14ac:dyDescent="0.2">
      <c r="AL179" s="62" t="str">
        <f>'AADT Input'!A155&amp;"- "&amp;'AADT Input'!B155</f>
        <v xml:space="preserve">- </v>
      </c>
      <c r="AM179" s="62">
        <f t="shared" si="40"/>
        <v>178</v>
      </c>
    </row>
    <row r="180" spans="38:39" x14ac:dyDescent="0.2">
      <c r="AL180" s="62" t="str">
        <f>'AADT Input'!A156&amp;"- "&amp;'AADT Input'!B156</f>
        <v xml:space="preserve">- </v>
      </c>
      <c r="AM180" s="62">
        <f t="shared" si="40"/>
        <v>179</v>
      </c>
    </row>
    <row r="181" spans="38:39" x14ac:dyDescent="0.2">
      <c r="AL181" s="62" t="str">
        <f>'AADT Input'!A157&amp;"- "&amp;'AADT Input'!B157</f>
        <v xml:space="preserve">- </v>
      </c>
      <c r="AM181" s="62">
        <f t="shared" si="40"/>
        <v>180</v>
      </c>
    </row>
    <row r="182" spans="38:39" x14ac:dyDescent="0.2">
      <c r="AL182" s="62" t="str">
        <f>'AADT Input'!A158&amp;"- "&amp;'AADT Input'!B158</f>
        <v xml:space="preserve">- </v>
      </c>
      <c r="AM182" s="62">
        <f t="shared" si="40"/>
        <v>181</v>
      </c>
    </row>
    <row r="183" spans="38:39" x14ac:dyDescent="0.2">
      <c r="AL183" s="62" t="str">
        <f>'AADT Input'!A159&amp;"- "&amp;'AADT Input'!B159</f>
        <v xml:space="preserve">- </v>
      </c>
      <c r="AM183" s="62">
        <f t="shared" si="40"/>
        <v>182</v>
      </c>
    </row>
    <row r="184" spans="38:39" x14ac:dyDescent="0.2">
      <c r="AL184" s="62" t="str">
        <f>'AADT Input'!A160&amp;"- "&amp;'AADT Input'!B160</f>
        <v xml:space="preserve">- </v>
      </c>
      <c r="AM184" s="62">
        <f t="shared" si="40"/>
        <v>183</v>
      </c>
    </row>
    <row r="185" spans="38:39" x14ac:dyDescent="0.2">
      <c r="AL185" s="62" t="str">
        <f>'AADT Input'!A161&amp;"- "&amp;'AADT Input'!B161</f>
        <v xml:space="preserve">- </v>
      </c>
      <c r="AM185" s="62">
        <f t="shared" si="40"/>
        <v>184</v>
      </c>
    </row>
    <row r="186" spans="38:39" x14ac:dyDescent="0.2">
      <c r="AL186" s="62" t="str">
        <f>'AADT Input'!A162&amp;"- "&amp;'AADT Input'!B162</f>
        <v xml:space="preserve">- </v>
      </c>
      <c r="AM186" s="62">
        <f t="shared" si="40"/>
        <v>185</v>
      </c>
    </row>
    <row r="187" spans="38:39" x14ac:dyDescent="0.2">
      <c r="AL187" s="62" t="str">
        <f>'AADT Input'!A163&amp;"- "&amp;'AADT Input'!B163</f>
        <v xml:space="preserve">- </v>
      </c>
      <c r="AM187" s="62">
        <f t="shared" si="40"/>
        <v>186</v>
      </c>
    </row>
    <row r="188" spans="38:39" x14ac:dyDescent="0.2">
      <c r="AL188" s="62" t="str">
        <f>'AADT Input'!A164&amp;"- "&amp;'AADT Input'!B164</f>
        <v xml:space="preserve">- </v>
      </c>
      <c r="AM188" s="62">
        <f t="shared" si="40"/>
        <v>187</v>
      </c>
    </row>
    <row r="189" spans="38:39" x14ac:dyDescent="0.2">
      <c r="AL189" s="62" t="str">
        <f>'AADT Input'!A165&amp;"- "&amp;'AADT Input'!B165</f>
        <v xml:space="preserve">- </v>
      </c>
      <c r="AM189" s="62">
        <f t="shared" si="40"/>
        <v>188</v>
      </c>
    </row>
    <row r="190" spans="38:39" x14ac:dyDescent="0.2">
      <c r="AL190" s="62" t="str">
        <f>'AADT Input'!A166&amp;"- "&amp;'AADT Input'!B166</f>
        <v xml:space="preserve">- </v>
      </c>
      <c r="AM190" s="62">
        <f t="shared" si="40"/>
        <v>189</v>
      </c>
    </row>
    <row r="191" spans="38:39" x14ac:dyDescent="0.2">
      <c r="AL191" s="62" t="str">
        <f>'AADT Input'!A167&amp;"- "&amp;'AADT Input'!B167</f>
        <v xml:space="preserve">- </v>
      </c>
      <c r="AM191" s="62">
        <f t="shared" si="40"/>
        <v>190</v>
      </c>
    </row>
    <row r="192" spans="38:39" x14ac:dyDescent="0.2">
      <c r="AL192" s="62" t="str">
        <f>'AADT Input'!A168&amp;"- "&amp;'AADT Input'!B168</f>
        <v xml:space="preserve">- </v>
      </c>
      <c r="AM192" s="62">
        <f t="shared" si="40"/>
        <v>191</v>
      </c>
    </row>
    <row r="193" spans="38:39" x14ac:dyDescent="0.2">
      <c r="AL193" s="62" t="str">
        <f>'AADT Input'!A169&amp;"- "&amp;'AADT Input'!B169</f>
        <v xml:space="preserve">- </v>
      </c>
      <c r="AM193" s="62">
        <f t="shared" si="40"/>
        <v>192</v>
      </c>
    </row>
    <row r="194" spans="38:39" x14ac:dyDescent="0.2">
      <c r="AL194" s="62" t="str">
        <f>'AADT Input'!A170&amp;"- "&amp;'AADT Input'!B170</f>
        <v xml:space="preserve">- </v>
      </c>
      <c r="AM194" s="62">
        <f t="shared" si="40"/>
        <v>193</v>
      </c>
    </row>
    <row r="195" spans="38:39" x14ac:dyDescent="0.2">
      <c r="AL195" s="62" t="str">
        <f>'AADT Input'!A171&amp;"- "&amp;'AADT Input'!B171</f>
        <v xml:space="preserve">- </v>
      </c>
      <c r="AM195" s="62">
        <f t="shared" si="40"/>
        <v>194</v>
      </c>
    </row>
    <row r="196" spans="38:39" x14ac:dyDescent="0.2">
      <c r="AL196" s="62" t="str">
        <f>'AADT Input'!A172&amp;"- "&amp;'AADT Input'!B172</f>
        <v xml:space="preserve">- </v>
      </c>
      <c r="AM196" s="62">
        <f t="shared" ref="AM196:AM259" si="42">AM195+1</f>
        <v>195</v>
      </c>
    </row>
    <row r="197" spans="38:39" x14ac:dyDescent="0.2">
      <c r="AL197" s="62" t="str">
        <f>'AADT Input'!A173&amp;"- "&amp;'AADT Input'!B173</f>
        <v xml:space="preserve">- </v>
      </c>
      <c r="AM197" s="62">
        <f t="shared" si="42"/>
        <v>196</v>
      </c>
    </row>
    <row r="198" spans="38:39" x14ac:dyDescent="0.2">
      <c r="AL198" s="62" t="str">
        <f>'AADT Input'!A174&amp;"- "&amp;'AADT Input'!B174</f>
        <v xml:space="preserve">- </v>
      </c>
      <c r="AM198" s="62">
        <f t="shared" si="42"/>
        <v>197</v>
      </c>
    </row>
    <row r="199" spans="38:39" x14ac:dyDescent="0.2">
      <c r="AL199" s="62" t="str">
        <f>'AADT Input'!A175&amp;"- "&amp;'AADT Input'!B175</f>
        <v xml:space="preserve">- </v>
      </c>
      <c r="AM199" s="62">
        <f t="shared" si="42"/>
        <v>198</v>
      </c>
    </row>
    <row r="200" spans="38:39" x14ac:dyDescent="0.2">
      <c r="AL200" s="62" t="str">
        <f>'AADT Input'!A176&amp;"- "&amp;'AADT Input'!B176</f>
        <v xml:space="preserve">- </v>
      </c>
      <c r="AM200" s="62">
        <f t="shared" si="42"/>
        <v>199</v>
      </c>
    </row>
    <row r="201" spans="38:39" x14ac:dyDescent="0.2">
      <c r="AL201" s="62" t="str">
        <f>'AADT Input'!A177&amp;"- "&amp;'AADT Input'!B177</f>
        <v xml:space="preserve">- </v>
      </c>
      <c r="AM201" s="62">
        <f t="shared" si="42"/>
        <v>200</v>
      </c>
    </row>
    <row r="202" spans="38:39" x14ac:dyDescent="0.2">
      <c r="AL202" s="62" t="str">
        <f>'AADT Input'!A178&amp;"- "&amp;'AADT Input'!B178</f>
        <v xml:space="preserve">- </v>
      </c>
      <c r="AM202" s="62">
        <f t="shared" si="42"/>
        <v>201</v>
      </c>
    </row>
    <row r="203" spans="38:39" x14ac:dyDescent="0.2">
      <c r="AL203" s="62" t="str">
        <f>'AADT Input'!A179&amp;"- "&amp;'AADT Input'!B179</f>
        <v xml:space="preserve">- </v>
      </c>
      <c r="AM203" s="62">
        <f t="shared" si="42"/>
        <v>202</v>
      </c>
    </row>
    <row r="204" spans="38:39" x14ac:dyDescent="0.2">
      <c r="AL204" s="62" t="str">
        <f>'AADT Input'!A180&amp;"- "&amp;'AADT Input'!B180</f>
        <v xml:space="preserve">- </v>
      </c>
      <c r="AM204" s="62">
        <f t="shared" si="42"/>
        <v>203</v>
      </c>
    </row>
    <row r="205" spans="38:39" x14ac:dyDescent="0.2">
      <c r="AL205" s="62" t="str">
        <f>'AADT Input'!A181&amp;"- "&amp;'AADT Input'!B181</f>
        <v xml:space="preserve">- </v>
      </c>
      <c r="AM205" s="62">
        <f t="shared" si="42"/>
        <v>204</v>
      </c>
    </row>
    <row r="206" spans="38:39" x14ac:dyDescent="0.2">
      <c r="AL206" s="62" t="str">
        <f>'AADT Input'!A182&amp;"- "&amp;'AADT Input'!B182</f>
        <v xml:space="preserve">- </v>
      </c>
      <c r="AM206" s="62">
        <f t="shared" si="42"/>
        <v>205</v>
      </c>
    </row>
    <row r="207" spans="38:39" x14ac:dyDescent="0.2">
      <c r="AL207" s="62" t="str">
        <f>'AADT Input'!A183&amp;"- "&amp;'AADT Input'!B183</f>
        <v xml:space="preserve">- </v>
      </c>
      <c r="AM207" s="62">
        <f t="shared" si="42"/>
        <v>206</v>
      </c>
    </row>
    <row r="208" spans="38:39" x14ac:dyDescent="0.2">
      <c r="AL208" s="62" t="str">
        <f>'AADT Input'!A184&amp;"- "&amp;'AADT Input'!B184</f>
        <v xml:space="preserve">- </v>
      </c>
      <c r="AM208" s="62">
        <f t="shared" si="42"/>
        <v>207</v>
      </c>
    </row>
    <row r="209" spans="38:39" x14ac:dyDescent="0.2">
      <c r="AL209" s="62" t="str">
        <f>'AADT Input'!A185&amp;"- "&amp;'AADT Input'!B185</f>
        <v xml:space="preserve">- </v>
      </c>
      <c r="AM209" s="62">
        <f t="shared" si="42"/>
        <v>208</v>
      </c>
    </row>
    <row r="210" spans="38:39" x14ac:dyDescent="0.2">
      <c r="AL210" s="62" t="str">
        <f>'AADT Input'!A186&amp;"- "&amp;'AADT Input'!B186</f>
        <v xml:space="preserve">- </v>
      </c>
      <c r="AM210" s="62">
        <f t="shared" si="42"/>
        <v>209</v>
      </c>
    </row>
    <row r="211" spans="38:39" x14ac:dyDescent="0.2">
      <c r="AL211" s="62" t="str">
        <f>'AADT Input'!A187&amp;"- "&amp;'AADT Input'!B187</f>
        <v xml:space="preserve">- </v>
      </c>
      <c r="AM211" s="62">
        <f t="shared" si="42"/>
        <v>210</v>
      </c>
    </row>
    <row r="212" spans="38:39" x14ac:dyDescent="0.2">
      <c r="AL212" s="62" t="str">
        <f>'AADT Input'!A188&amp;"- "&amp;'AADT Input'!B188</f>
        <v xml:space="preserve">- </v>
      </c>
      <c r="AM212" s="62">
        <f t="shared" si="42"/>
        <v>211</v>
      </c>
    </row>
    <row r="213" spans="38:39" x14ac:dyDescent="0.2">
      <c r="AL213" s="62" t="str">
        <f>'AADT Input'!A189&amp;"- "&amp;'AADT Input'!B189</f>
        <v xml:space="preserve">- </v>
      </c>
      <c r="AM213" s="62">
        <f t="shared" si="42"/>
        <v>212</v>
      </c>
    </row>
    <row r="214" spans="38:39" x14ac:dyDescent="0.2">
      <c r="AL214" s="62" t="str">
        <f>'AADT Input'!A190&amp;"- "&amp;'AADT Input'!B190</f>
        <v xml:space="preserve">- </v>
      </c>
      <c r="AM214" s="62">
        <f t="shared" si="42"/>
        <v>213</v>
      </c>
    </row>
    <row r="215" spans="38:39" x14ac:dyDescent="0.2">
      <c r="AL215" s="62" t="str">
        <f>'AADT Input'!A191&amp;"- "&amp;'AADT Input'!B191</f>
        <v xml:space="preserve">- </v>
      </c>
      <c r="AM215" s="62">
        <f t="shared" si="42"/>
        <v>214</v>
      </c>
    </row>
    <row r="216" spans="38:39" x14ac:dyDescent="0.2">
      <c r="AL216" s="62" t="str">
        <f>'AADT Input'!A192&amp;"- "&amp;'AADT Input'!B192</f>
        <v xml:space="preserve">- </v>
      </c>
      <c r="AM216" s="62">
        <f t="shared" si="42"/>
        <v>215</v>
      </c>
    </row>
    <row r="217" spans="38:39" x14ac:dyDescent="0.2">
      <c r="AL217" s="62" t="str">
        <f>'AADT Input'!A193&amp;"- "&amp;'AADT Input'!B193</f>
        <v xml:space="preserve">- </v>
      </c>
      <c r="AM217" s="62">
        <f t="shared" si="42"/>
        <v>216</v>
      </c>
    </row>
    <row r="218" spans="38:39" x14ac:dyDescent="0.2">
      <c r="AL218" s="62" t="str">
        <f>'AADT Input'!A194&amp;"- "&amp;'AADT Input'!B194</f>
        <v xml:space="preserve">- </v>
      </c>
      <c r="AM218" s="62">
        <f t="shared" si="42"/>
        <v>217</v>
      </c>
    </row>
    <row r="219" spans="38:39" x14ac:dyDescent="0.2">
      <c r="AL219" s="62" t="str">
        <f>'AADT Input'!A195&amp;"- "&amp;'AADT Input'!B195</f>
        <v xml:space="preserve">- </v>
      </c>
      <c r="AM219" s="62">
        <f t="shared" si="42"/>
        <v>218</v>
      </c>
    </row>
    <row r="220" spans="38:39" x14ac:dyDescent="0.2">
      <c r="AL220" s="62" t="str">
        <f>'AADT Input'!A196&amp;"- "&amp;'AADT Input'!B196</f>
        <v xml:space="preserve">- </v>
      </c>
      <c r="AM220" s="62">
        <f t="shared" si="42"/>
        <v>219</v>
      </c>
    </row>
    <row r="221" spans="38:39" x14ac:dyDescent="0.2">
      <c r="AL221" s="62" t="str">
        <f>'AADT Input'!A197&amp;"- "&amp;'AADT Input'!B197</f>
        <v xml:space="preserve">- </v>
      </c>
      <c r="AM221" s="62">
        <f t="shared" si="42"/>
        <v>220</v>
      </c>
    </row>
    <row r="222" spans="38:39" x14ac:dyDescent="0.2">
      <c r="AL222" s="62" t="str">
        <f>'AADT Input'!A198&amp;"- "&amp;'AADT Input'!B198</f>
        <v xml:space="preserve">- </v>
      </c>
      <c r="AM222" s="62">
        <f t="shared" si="42"/>
        <v>221</v>
      </c>
    </row>
    <row r="223" spans="38:39" x14ac:dyDescent="0.2">
      <c r="AL223" s="62" t="str">
        <f>'AADT Input'!A199&amp;"- "&amp;'AADT Input'!B199</f>
        <v xml:space="preserve">- </v>
      </c>
      <c r="AM223" s="62">
        <f t="shared" si="42"/>
        <v>222</v>
      </c>
    </row>
    <row r="224" spans="38:39" x14ac:dyDescent="0.2">
      <c r="AL224" s="62" t="str">
        <f>'AADT Input'!A200&amp;"- "&amp;'AADT Input'!B200</f>
        <v xml:space="preserve">- </v>
      </c>
      <c r="AM224" s="62">
        <f t="shared" si="42"/>
        <v>223</v>
      </c>
    </row>
    <row r="225" spans="38:39" x14ac:dyDescent="0.2">
      <c r="AL225" s="62" t="str">
        <f>'AADT Input'!A201&amp;"- "&amp;'AADT Input'!B201</f>
        <v xml:space="preserve">- </v>
      </c>
      <c r="AM225" s="62">
        <f t="shared" si="42"/>
        <v>224</v>
      </c>
    </row>
    <row r="226" spans="38:39" x14ac:dyDescent="0.2">
      <c r="AL226" s="62" t="str">
        <f>'AADT Input'!A202&amp;"- "&amp;'AADT Input'!B202</f>
        <v xml:space="preserve">- </v>
      </c>
      <c r="AM226" s="62">
        <f t="shared" si="42"/>
        <v>225</v>
      </c>
    </row>
    <row r="227" spans="38:39" x14ac:dyDescent="0.2">
      <c r="AL227" s="62" t="str">
        <f>'AADT Input'!A203&amp;"- "&amp;'AADT Input'!B203</f>
        <v xml:space="preserve">- </v>
      </c>
      <c r="AM227" s="62">
        <f t="shared" si="42"/>
        <v>226</v>
      </c>
    </row>
    <row r="228" spans="38:39" x14ac:dyDescent="0.2">
      <c r="AL228" s="62" t="str">
        <f>'AADT Input'!A204&amp;"- "&amp;'AADT Input'!B204</f>
        <v xml:space="preserve">- </v>
      </c>
      <c r="AM228" s="62">
        <f t="shared" si="42"/>
        <v>227</v>
      </c>
    </row>
    <row r="229" spans="38:39" x14ac:dyDescent="0.2">
      <c r="AL229" s="62" t="str">
        <f>'AADT Input'!A205&amp;"- "&amp;'AADT Input'!B205</f>
        <v xml:space="preserve">- </v>
      </c>
      <c r="AM229" s="62">
        <f t="shared" si="42"/>
        <v>228</v>
      </c>
    </row>
    <row r="230" spans="38:39" x14ac:dyDescent="0.2">
      <c r="AL230" s="62" t="str">
        <f>'AADT Input'!A206&amp;"- "&amp;'AADT Input'!B206</f>
        <v xml:space="preserve">- </v>
      </c>
      <c r="AM230" s="62">
        <f t="shared" si="42"/>
        <v>229</v>
      </c>
    </row>
    <row r="231" spans="38:39" x14ac:dyDescent="0.2">
      <c r="AL231" s="62" t="str">
        <f>'AADT Input'!A207&amp;"- "&amp;'AADT Input'!B207</f>
        <v xml:space="preserve">- </v>
      </c>
      <c r="AM231" s="62">
        <f t="shared" si="42"/>
        <v>230</v>
      </c>
    </row>
    <row r="232" spans="38:39" x14ac:dyDescent="0.2">
      <c r="AL232" s="62" t="str">
        <f>'AADT Input'!A208&amp;"- "&amp;'AADT Input'!B208</f>
        <v xml:space="preserve">- </v>
      </c>
      <c r="AM232" s="62">
        <f t="shared" si="42"/>
        <v>231</v>
      </c>
    </row>
    <row r="233" spans="38:39" x14ac:dyDescent="0.2">
      <c r="AL233" s="62" t="str">
        <f>'AADT Input'!A209&amp;"- "&amp;'AADT Input'!B209</f>
        <v xml:space="preserve">- </v>
      </c>
      <c r="AM233" s="62">
        <f t="shared" si="42"/>
        <v>232</v>
      </c>
    </row>
    <row r="234" spans="38:39" x14ac:dyDescent="0.2">
      <c r="AL234" s="62" t="str">
        <f>'AADT Input'!A210&amp;"- "&amp;'AADT Input'!B210</f>
        <v xml:space="preserve">- </v>
      </c>
      <c r="AM234" s="62">
        <f t="shared" si="42"/>
        <v>233</v>
      </c>
    </row>
    <row r="235" spans="38:39" x14ac:dyDescent="0.2">
      <c r="AL235" s="62" t="str">
        <f>'AADT Input'!A211&amp;"- "&amp;'AADT Input'!B211</f>
        <v xml:space="preserve">- </v>
      </c>
      <c r="AM235" s="62">
        <f t="shared" si="42"/>
        <v>234</v>
      </c>
    </row>
    <row r="236" spans="38:39" x14ac:dyDescent="0.2">
      <c r="AL236" s="62" t="str">
        <f>'AADT Input'!A212&amp;"- "&amp;'AADT Input'!B212</f>
        <v xml:space="preserve">- </v>
      </c>
      <c r="AM236" s="62">
        <f t="shared" si="42"/>
        <v>235</v>
      </c>
    </row>
    <row r="237" spans="38:39" x14ac:dyDescent="0.2">
      <c r="AL237" s="62" t="str">
        <f>'AADT Input'!A213&amp;"- "&amp;'AADT Input'!B213</f>
        <v xml:space="preserve">- </v>
      </c>
      <c r="AM237" s="62">
        <f t="shared" si="42"/>
        <v>236</v>
      </c>
    </row>
    <row r="238" spans="38:39" x14ac:dyDescent="0.2">
      <c r="AL238" s="62" t="str">
        <f>'AADT Input'!A214&amp;"- "&amp;'AADT Input'!B214</f>
        <v xml:space="preserve">- </v>
      </c>
      <c r="AM238" s="62">
        <f t="shared" si="42"/>
        <v>237</v>
      </c>
    </row>
    <row r="239" spans="38:39" x14ac:dyDescent="0.2">
      <c r="AL239" s="62" t="str">
        <f>'AADT Input'!A215&amp;"- "&amp;'AADT Input'!B215</f>
        <v xml:space="preserve">- </v>
      </c>
      <c r="AM239" s="62">
        <f t="shared" si="42"/>
        <v>238</v>
      </c>
    </row>
    <row r="240" spans="38:39" x14ac:dyDescent="0.2">
      <c r="AL240" s="62" t="str">
        <f>'AADT Input'!A216&amp;"- "&amp;'AADT Input'!B216</f>
        <v xml:space="preserve">- </v>
      </c>
      <c r="AM240" s="62">
        <f t="shared" si="42"/>
        <v>239</v>
      </c>
    </row>
    <row r="241" spans="38:39" x14ac:dyDescent="0.2">
      <c r="AL241" s="62" t="str">
        <f>'AADT Input'!A217&amp;"- "&amp;'AADT Input'!B217</f>
        <v xml:space="preserve">- </v>
      </c>
      <c r="AM241" s="62">
        <f t="shared" si="42"/>
        <v>240</v>
      </c>
    </row>
    <row r="242" spans="38:39" x14ac:dyDescent="0.2">
      <c r="AL242" s="62" t="str">
        <f>'AADT Input'!A218&amp;"- "&amp;'AADT Input'!B218</f>
        <v xml:space="preserve">- </v>
      </c>
      <c r="AM242" s="62">
        <f t="shared" si="42"/>
        <v>241</v>
      </c>
    </row>
    <row r="243" spans="38:39" x14ac:dyDescent="0.2">
      <c r="AL243" s="62" t="str">
        <f>'AADT Input'!A219&amp;"- "&amp;'AADT Input'!B219</f>
        <v xml:space="preserve">- </v>
      </c>
      <c r="AM243" s="62">
        <f t="shared" si="42"/>
        <v>242</v>
      </c>
    </row>
    <row r="244" spans="38:39" x14ac:dyDescent="0.2">
      <c r="AL244" s="62" t="str">
        <f>'AADT Input'!A220&amp;"- "&amp;'AADT Input'!B220</f>
        <v xml:space="preserve">- </v>
      </c>
      <c r="AM244" s="62">
        <f t="shared" si="42"/>
        <v>243</v>
      </c>
    </row>
    <row r="245" spans="38:39" x14ac:dyDescent="0.2">
      <c r="AL245" s="62" t="str">
        <f>'AADT Input'!A221&amp;"- "&amp;'AADT Input'!B221</f>
        <v xml:space="preserve">- </v>
      </c>
      <c r="AM245" s="62">
        <f t="shared" si="42"/>
        <v>244</v>
      </c>
    </row>
    <row r="246" spans="38:39" x14ac:dyDescent="0.2">
      <c r="AL246" s="62" t="str">
        <f>'AADT Input'!A222&amp;"- "&amp;'AADT Input'!B222</f>
        <v xml:space="preserve">- </v>
      </c>
      <c r="AM246" s="62">
        <f t="shared" si="42"/>
        <v>245</v>
      </c>
    </row>
    <row r="247" spans="38:39" x14ac:dyDescent="0.2">
      <c r="AL247" s="62" t="str">
        <f>'AADT Input'!A223&amp;"- "&amp;'AADT Input'!B223</f>
        <v xml:space="preserve">- </v>
      </c>
      <c r="AM247" s="62">
        <f t="shared" si="42"/>
        <v>246</v>
      </c>
    </row>
    <row r="248" spans="38:39" x14ac:dyDescent="0.2">
      <c r="AL248" s="62" t="str">
        <f>'AADT Input'!A224&amp;"- "&amp;'AADT Input'!B224</f>
        <v xml:space="preserve">- </v>
      </c>
      <c r="AM248" s="62">
        <f t="shared" si="42"/>
        <v>247</v>
      </c>
    </row>
    <row r="249" spans="38:39" x14ac:dyDescent="0.2">
      <c r="AL249" s="62" t="str">
        <f>'AADT Input'!A225&amp;"- "&amp;'AADT Input'!B225</f>
        <v xml:space="preserve">- </v>
      </c>
      <c r="AM249" s="62">
        <f t="shared" si="42"/>
        <v>248</v>
      </c>
    </row>
    <row r="250" spans="38:39" x14ac:dyDescent="0.2">
      <c r="AL250" s="62" t="str">
        <f>'AADT Input'!A226&amp;"- "&amp;'AADT Input'!B226</f>
        <v xml:space="preserve">- </v>
      </c>
      <c r="AM250" s="62">
        <f t="shared" si="42"/>
        <v>249</v>
      </c>
    </row>
    <row r="251" spans="38:39" x14ac:dyDescent="0.2">
      <c r="AL251" s="62" t="str">
        <f>'AADT Input'!A227&amp;"- "&amp;'AADT Input'!B227</f>
        <v xml:space="preserve">- </v>
      </c>
      <c r="AM251" s="62">
        <f t="shared" si="42"/>
        <v>250</v>
      </c>
    </row>
    <row r="252" spans="38:39" x14ac:dyDescent="0.2">
      <c r="AL252" s="62" t="str">
        <f>'AADT Input'!A228&amp;"- "&amp;'AADT Input'!B228</f>
        <v xml:space="preserve">- </v>
      </c>
      <c r="AM252" s="62">
        <f t="shared" si="42"/>
        <v>251</v>
      </c>
    </row>
    <row r="253" spans="38:39" x14ac:dyDescent="0.2">
      <c r="AL253" s="62" t="str">
        <f>'AADT Input'!A229&amp;"- "&amp;'AADT Input'!B229</f>
        <v xml:space="preserve">- </v>
      </c>
      <c r="AM253" s="62">
        <f t="shared" si="42"/>
        <v>252</v>
      </c>
    </row>
    <row r="254" spans="38:39" x14ac:dyDescent="0.2">
      <c r="AL254" s="62" t="str">
        <f>'AADT Input'!A230&amp;"- "&amp;'AADT Input'!B230</f>
        <v xml:space="preserve">- </v>
      </c>
      <c r="AM254" s="62">
        <f t="shared" si="42"/>
        <v>253</v>
      </c>
    </row>
    <row r="255" spans="38:39" x14ac:dyDescent="0.2">
      <c r="AL255" s="62" t="str">
        <f>'AADT Input'!A231&amp;"- "&amp;'AADT Input'!B231</f>
        <v xml:space="preserve">- </v>
      </c>
      <c r="AM255" s="62">
        <f t="shared" si="42"/>
        <v>254</v>
      </c>
    </row>
    <row r="256" spans="38:39" x14ac:dyDescent="0.2">
      <c r="AL256" s="62" t="str">
        <f>'AADT Input'!A232&amp;"- "&amp;'AADT Input'!B232</f>
        <v xml:space="preserve">- </v>
      </c>
      <c r="AM256" s="62">
        <f t="shared" si="42"/>
        <v>255</v>
      </c>
    </row>
    <row r="257" spans="38:39" x14ac:dyDescent="0.2">
      <c r="AL257" s="62" t="str">
        <f>'AADT Input'!A233&amp;"- "&amp;'AADT Input'!B233</f>
        <v xml:space="preserve">- </v>
      </c>
      <c r="AM257" s="62">
        <f t="shared" si="42"/>
        <v>256</v>
      </c>
    </row>
    <row r="258" spans="38:39" x14ac:dyDescent="0.2">
      <c r="AL258" s="62" t="str">
        <f>'AADT Input'!A234&amp;"- "&amp;'AADT Input'!B234</f>
        <v xml:space="preserve">- </v>
      </c>
      <c r="AM258" s="62">
        <f t="shared" si="42"/>
        <v>257</v>
      </c>
    </row>
    <row r="259" spans="38:39" x14ac:dyDescent="0.2">
      <c r="AL259" s="62" t="str">
        <f>'AADT Input'!A235&amp;"- "&amp;'AADT Input'!B235</f>
        <v xml:space="preserve">- </v>
      </c>
      <c r="AM259" s="62">
        <f t="shared" si="42"/>
        <v>258</v>
      </c>
    </row>
    <row r="260" spans="38:39" x14ac:dyDescent="0.2">
      <c r="AL260" s="62" t="str">
        <f>'AADT Input'!A236&amp;"- "&amp;'AADT Input'!B236</f>
        <v xml:space="preserve">- </v>
      </c>
      <c r="AM260" s="62">
        <f t="shared" ref="AM260:AM301" si="43">AM259+1</f>
        <v>259</v>
      </c>
    </row>
    <row r="261" spans="38:39" x14ac:dyDescent="0.2">
      <c r="AL261" s="62" t="str">
        <f>'AADT Input'!A237&amp;"- "&amp;'AADT Input'!B237</f>
        <v xml:space="preserve">- </v>
      </c>
      <c r="AM261" s="62">
        <f t="shared" si="43"/>
        <v>260</v>
      </c>
    </row>
    <row r="262" spans="38:39" x14ac:dyDescent="0.2">
      <c r="AL262" s="62" t="str">
        <f>'AADT Input'!A238&amp;"- "&amp;'AADT Input'!B238</f>
        <v xml:space="preserve">- </v>
      </c>
      <c r="AM262" s="62">
        <f t="shared" si="43"/>
        <v>261</v>
      </c>
    </row>
    <row r="263" spans="38:39" x14ac:dyDescent="0.2">
      <c r="AL263" s="62" t="str">
        <f>'AADT Input'!A239&amp;"- "&amp;'AADT Input'!B239</f>
        <v xml:space="preserve">- </v>
      </c>
      <c r="AM263" s="62">
        <f t="shared" si="43"/>
        <v>262</v>
      </c>
    </row>
    <row r="264" spans="38:39" x14ac:dyDescent="0.2">
      <c r="AL264" s="62" t="str">
        <f>'AADT Input'!A240&amp;"- "&amp;'AADT Input'!B240</f>
        <v xml:space="preserve">- </v>
      </c>
      <c r="AM264" s="62">
        <f t="shared" si="43"/>
        <v>263</v>
      </c>
    </row>
    <row r="265" spans="38:39" x14ac:dyDescent="0.2">
      <c r="AL265" s="62" t="str">
        <f>'AADT Input'!A241&amp;"- "&amp;'AADT Input'!B241</f>
        <v xml:space="preserve">- </v>
      </c>
      <c r="AM265" s="62">
        <f t="shared" si="43"/>
        <v>264</v>
      </c>
    </row>
    <row r="266" spans="38:39" x14ac:dyDescent="0.2">
      <c r="AL266" s="62" t="str">
        <f>'AADT Input'!A242&amp;"- "&amp;'AADT Input'!B242</f>
        <v xml:space="preserve">- </v>
      </c>
      <c r="AM266" s="62">
        <f t="shared" si="43"/>
        <v>265</v>
      </c>
    </row>
    <row r="267" spans="38:39" x14ac:dyDescent="0.2">
      <c r="AL267" s="62" t="str">
        <f>'AADT Input'!A243&amp;"- "&amp;'AADT Input'!B243</f>
        <v xml:space="preserve">- </v>
      </c>
      <c r="AM267" s="62">
        <f t="shared" si="43"/>
        <v>266</v>
      </c>
    </row>
    <row r="268" spans="38:39" x14ac:dyDescent="0.2">
      <c r="AL268" s="62" t="str">
        <f>'AADT Input'!A244&amp;"- "&amp;'AADT Input'!B244</f>
        <v xml:space="preserve">- </v>
      </c>
      <c r="AM268" s="62">
        <f t="shared" si="43"/>
        <v>267</v>
      </c>
    </row>
    <row r="269" spans="38:39" x14ac:dyDescent="0.2">
      <c r="AL269" s="62" t="str">
        <f>'AADT Input'!A245&amp;"- "&amp;'AADT Input'!B245</f>
        <v xml:space="preserve">- </v>
      </c>
      <c r="AM269" s="62">
        <f t="shared" si="43"/>
        <v>268</v>
      </c>
    </row>
    <row r="270" spans="38:39" x14ac:dyDescent="0.2">
      <c r="AL270" s="62" t="str">
        <f>'AADT Input'!A246&amp;"- "&amp;'AADT Input'!B246</f>
        <v xml:space="preserve">- </v>
      </c>
      <c r="AM270" s="62">
        <f t="shared" si="43"/>
        <v>269</v>
      </c>
    </row>
    <row r="271" spans="38:39" x14ac:dyDescent="0.2">
      <c r="AL271" s="62" t="str">
        <f>'AADT Input'!A247&amp;"- "&amp;'AADT Input'!B247</f>
        <v xml:space="preserve">- </v>
      </c>
      <c r="AM271" s="62">
        <f t="shared" si="43"/>
        <v>270</v>
      </c>
    </row>
    <row r="272" spans="38:39" x14ac:dyDescent="0.2">
      <c r="AL272" s="62" t="str">
        <f>'AADT Input'!A248&amp;"- "&amp;'AADT Input'!B248</f>
        <v xml:space="preserve">- </v>
      </c>
      <c r="AM272" s="62">
        <f t="shared" si="43"/>
        <v>271</v>
      </c>
    </row>
    <row r="273" spans="38:39" x14ac:dyDescent="0.2">
      <c r="AL273" s="62" t="str">
        <f>'AADT Input'!A249&amp;"- "&amp;'AADT Input'!B249</f>
        <v xml:space="preserve">- </v>
      </c>
      <c r="AM273" s="62">
        <f t="shared" si="43"/>
        <v>272</v>
      </c>
    </row>
    <row r="274" spans="38:39" x14ac:dyDescent="0.2">
      <c r="AL274" s="62" t="str">
        <f>'AADT Input'!A250&amp;"- "&amp;'AADT Input'!B250</f>
        <v xml:space="preserve">- </v>
      </c>
      <c r="AM274" s="62">
        <f t="shared" si="43"/>
        <v>273</v>
      </c>
    </row>
    <row r="275" spans="38:39" x14ac:dyDescent="0.2">
      <c r="AL275" s="62" t="str">
        <f>'AADT Input'!A251&amp;"- "&amp;'AADT Input'!B251</f>
        <v xml:space="preserve">- </v>
      </c>
      <c r="AM275" s="62">
        <f t="shared" si="43"/>
        <v>274</v>
      </c>
    </row>
    <row r="276" spans="38:39" x14ac:dyDescent="0.2">
      <c r="AL276" s="62" t="str">
        <f>'AADT Input'!A252&amp;"- "&amp;'AADT Input'!B252</f>
        <v xml:space="preserve">- </v>
      </c>
      <c r="AM276" s="62">
        <f t="shared" si="43"/>
        <v>275</v>
      </c>
    </row>
    <row r="277" spans="38:39" x14ac:dyDescent="0.2">
      <c r="AL277" s="62" t="str">
        <f>'AADT Input'!A253&amp;"- "&amp;'AADT Input'!B253</f>
        <v xml:space="preserve">- </v>
      </c>
      <c r="AM277" s="62">
        <f t="shared" si="43"/>
        <v>276</v>
      </c>
    </row>
    <row r="278" spans="38:39" x14ac:dyDescent="0.2">
      <c r="AL278" s="62" t="str">
        <f>'AADT Input'!A254&amp;"- "&amp;'AADT Input'!B254</f>
        <v xml:space="preserve">- </v>
      </c>
      <c r="AM278" s="62">
        <f t="shared" si="43"/>
        <v>277</v>
      </c>
    </row>
    <row r="279" spans="38:39" x14ac:dyDescent="0.2">
      <c r="AL279" s="62" t="str">
        <f>'AADT Input'!A255&amp;"- "&amp;'AADT Input'!B255</f>
        <v xml:space="preserve">- </v>
      </c>
      <c r="AM279" s="62">
        <f t="shared" si="43"/>
        <v>278</v>
      </c>
    </row>
    <row r="280" spans="38:39" x14ac:dyDescent="0.2">
      <c r="AL280" s="62" t="str">
        <f>'AADT Input'!A256&amp;"- "&amp;'AADT Input'!B256</f>
        <v xml:space="preserve">- </v>
      </c>
      <c r="AM280" s="62">
        <f t="shared" si="43"/>
        <v>279</v>
      </c>
    </row>
    <row r="281" spans="38:39" x14ac:dyDescent="0.2">
      <c r="AL281" s="62" t="str">
        <f>'AADT Input'!A257&amp;"- "&amp;'AADT Input'!B257</f>
        <v xml:space="preserve">- </v>
      </c>
      <c r="AM281" s="62">
        <f t="shared" si="43"/>
        <v>280</v>
      </c>
    </row>
    <row r="282" spans="38:39" x14ac:dyDescent="0.2">
      <c r="AL282" s="62" t="str">
        <f>'AADT Input'!A258&amp;"- "&amp;'AADT Input'!B258</f>
        <v xml:space="preserve">- </v>
      </c>
      <c r="AM282" s="62">
        <f t="shared" si="43"/>
        <v>281</v>
      </c>
    </row>
    <row r="283" spans="38:39" x14ac:dyDescent="0.2">
      <c r="AL283" s="62" t="str">
        <f>'AADT Input'!A259&amp;"- "&amp;'AADT Input'!B259</f>
        <v xml:space="preserve">- </v>
      </c>
      <c r="AM283" s="62">
        <f t="shared" si="43"/>
        <v>282</v>
      </c>
    </row>
    <row r="284" spans="38:39" x14ac:dyDescent="0.2">
      <c r="AL284" s="62" t="str">
        <f>'AADT Input'!A260&amp;"- "&amp;'AADT Input'!B260</f>
        <v xml:space="preserve">- </v>
      </c>
      <c r="AM284" s="62">
        <f t="shared" si="43"/>
        <v>283</v>
      </c>
    </row>
    <row r="285" spans="38:39" x14ac:dyDescent="0.2">
      <c r="AL285" s="62" t="str">
        <f>'AADT Input'!A261&amp;"- "&amp;'AADT Input'!B261</f>
        <v xml:space="preserve">- </v>
      </c>
      <c r="AM285" s="62">
        <f t="shared" si="43"/>
        <v>284</v>
      </c>
    </row>
    <row r="286" spans="38:39" x14ac:dyDescent="0.2">
      <c r="AL286" s="62" t="str">
        <f>'AADT Input'!A262&amp;"- "&amp;'AADT Input'!B262</f>
        <v xml:space="preserve">- </v>
      </c>
      <c r="AM286" s="62">
        <f t="shared" si="43"/>
        <v>285</v>
      </c>
    </row>
    <row r="287" spans="38:39" x14ac:dyDescent="0.2">
      <c r="AL287" s="62" t="str">
        <f>'AADT Input'!A263&amp;"- "&amp;'AADT Input'!B263</f>
        <v xml:space="preserve">- </v>
      </c>
      <c r="AM287" s="62">
        <f t="shared" si="43"/>
        <v>286</v>
      </c>
    </row>
    <row r="288" spans="38:39" x14ac:dyDescent="0.2">
      <c r="AL288" s="62" t="str">
        <f>'AADT Input'!A264&amp;"- "&amp;'AADT Input'!B264</f>
        <v xml:space="preserve">- </v>
      </c>
      <c r="AM288" s="62">
        <f t="shared" si="43"/>
        <v>287</v>
      </c>
    </row>
    <row r="289" spans="38:39" x14ac:dyDescent="0.2">
      <c r="AL289" s="62" t="str">
        <f>'AADT Input'!A265&amp;"- "&amp;'AADT Input'!B265</f>
        <v xml:space="preserve">- </v>
      </c>
      <c r="AM289" s="62">
        <f t="shared" si="43"/>
        <v>288</v>
      </c>
    </row>
    <row r="290" spans="38:39" x14ac:dyDescent="0.2">
      <c r="AL290" s="62" t="str">
        <f>'AADT Input'!A266&amp;"- "&amp;'AADT Input'!B266</f>
        <v xml:space="preserve">- </v>
      </c>
      <c r="AM290" s="62">
        <f t="shared" si="43"/>
        <v>289</v>
      </c>
    </row>
    <row r="291" spans="38:39" x14ac:dyDescent="0.2">
      <c r="AL291" s="62" t="str">
        <f>'AADT Input'!A267&amp;"- "&amp;'AADT Input'!B267</f>
        <v xml:space="preserve">- </v>
      </c>
      <c r="AM291" s="62">
        <f t="shared" si="43"/>
        <v>290</v>
      </c>
    </row>
    <row r="292" spans="38:39" x14ac:dyDescent="0.2">
      <c r="AL292" s="62" t="str">
        <f>'AADT Input'!A268&amp;"- "&amp;'AADT Input'!B268</f>
        <v xml:space="preserve">- </v>
      </c>
      <c r="AM292" s="62">
        <f t="shared" si="43"/>
        <v>291</v>
      </c>
    </row>
    <row r="293" spans="38:39" x14ac:dyDescent="0.2">
      <c r="AL293" s="62" t="str">
        <f>'AADT Input'!A269&amp;"- "&amp;'AADT Input'!B269</f>
        <v xml:space="preserve">- </v>
      </c>
      <c r="AM293" s="62">
        <f t="shared" si="43"/>
        <v>292</v>
      </c>
    </row>
    <row r="294" spans="38:39" x14ac:dyDescent="0.2">
      <c r="AL294" s="62" t="str">
        <f>'AADT Input'!A270&amp;"- "&amp;'AADT Input'!B270</f>
        <v xml:space="preserve">- </v>
      </c>
      <c r="AM294" s="62">
        <f t="shared" si="43"/>
        <v>293</v>
      </c>
    </row>
    <row r="295" spans="38:39" x14ac:dyDescent="0.2">
      <c r="AL295" s="62" t="str">
        <f>'AADT Input'!A271&amp;"- "&amp;'AADT Input'!B271</f>
        <v xml:space="preserve">- </v>
      </c>
      <c r="AM295" s="62">
        <f t="shared" si="43"/>
        <v>294</v>
      </c>
    </row>
    <row r="296" spans="38:39" x14ac:dyDescent="0.2">
      <c r="AL296" s="62" t="str">
        <f>'AADT Input'!A272&amp;"- "&amp;'AADT Input'!B272</f>
        <v xml:space="preserve">- </v>
      </c>
      <c r="AM296" s="62">
        <f t="shared" si="43"/>
        <v>295</v>
      </c>
    </row>
    <row r="297" spans="38:39" x14ac:dyDescent="0.2">
      <c r="AL297" s="62" t="str">
        <f>'AADT Input'!A273&amp;"- "&amp;'AADT Input'!B273</f>
        <v xml:space="preserve">- </v>
      </c>
      <c r="AM297" s="62">
        <f t="shared" si="43"/>
        <v>296</v>
      </c>
    </row>
    <row r="298" spans="38:39" x14ac:dyDescent="0.2">
      <c r="AL298" s="62" t="str">
        <f>'AADT Input'!A274&amp;"- "&amp;'AADT Input'!B274</f>
        <v xml:space="preserve">- </v>
      </c>
      <c r="AM298" s="62">
        <f t="shared" si="43"/>
        <v>297</v>
      </c>
    </row>
    <row r="299" spans="38:39" x14ac:dyDescent="0.2">
      <c r="AL299" s="62" t="str">
        <f>'AADT Input'!A275&amp;"- "&amp;'AADT Input'!B275</f>
        <v xml:space="preserve">- </v>
      </c>
      <c r="AM299" s="62">
        <f t="shared" si="43"/>
        <v>298</v>
      </c>
    </row>
    <row r="300" spans="38:39" x14ac:dyDescent="0.2">
      <c r="AL300" s="62" t="str">
        <f>'AADT Input'!A276&amp;"- "&amp;'AADT Input'!B276</f>
        <v xml:space="preserve">- </v>
      </c>
      <c r="AM300" s="62">
        <f t="shared" si="43"/>
        <v>299</v>
      </c>
    </row>
    <row r="301" spans="38:39" x14ac:dyDescent="0.2">
      <c r="AL301" s="62" t="str">
        <f>'AADT Input'!A277&amp;"- "&amp;'AADT Input'!B277</f>
        <v xml:space="preserve">- </v>
      </c>
      <c r="AM301" s="62">
        <f t="shared" si="43"/>
        <v>300</v>
      </c>
    </row>
    <row r="302" spans="38:39" x14ac:dyDescent="0.2">
      <c r="AL302" s="62"/>
    </row>
  </sheetData>
  <mergeCells count="1">
    <mergeCell ref="C2:C60"/>
  </mergeCells>
  <phoneticPr fontId="49" type="noConversion"/>
  <pageMargins left="0.75" right="0.75" top="1" bottom="1" header="0.5" footer="0.5"/>
  <pageSetup orientation="portrait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autoPageBreaks="0" fitToPage="1"/>
  </sheetPr>
  <dimension ref="B1:Q45"/>
  <sheetViews>
    <sheetView showRowColHeaders="0" tabSelected="1" topLeftCell="G20" workbookViewId="0">
      <selection activeCell="K34" sqref="K34"/>
    </sheetView>
  </sheetViews>
  <sheetFormatPr defaultRowHeight="12.75" x14ac:dyDescent="0.2"/>
  <cols>
    <col min="1" max="1" width="2.7109375" style="2" customWidth="1"/>
    <col min="2" max="2" width="9.140625" style="2"/>
    <col min="3" max="3" width="11.140625" style="2" customWidth="1"/>
    <col min="4" max="4" width="0.7109375" style="2" customWidth="1"/>
    <col min="5" max="5" width="9.140625" style="2"/>
    <col min="6" max="6" width="11.140625" style="2" customWidth="1"/>
    <col min="7" max="7" width="9.140625" style="2"/>
    <col min="8" max="8" width="6.140625" style="2" customWidth="1"/>
    <col min="9" max="9" width="2.140625" style="2" customWidth="1"/>
    <col min="10" max="11" width="16.140625" style="2" customWidth="1"/>
    <col min="12" max="12" width="1.7109375" style="2" customWidth="1"/>
    <col min="13" max="17" width="9.7109375" style="2" customWidth="1"/>
    <col min="18" max="16384" width="9.140625" style="2"/>
  </cols>
  <sheetData>
    <row r="1" spans="2:17" x14ac:dyDescent="0.2">
      <c r="B1" s="307" t="s">
        <v>5</v>
      </c>
      <c r="C1" s="307"/>
      <c r="D1" s="307"/>
      <c r="E1" s="307"/>
      <c r="F1" s="307"/>
      <c r="G1" s="307"/>
      <c r="H1" s="311" t="e">
        <f>"#"&amp;'AADT Current'!P12&amp;" -- "&amp;VLOOKUP('AADT Current'!P12,'AADT Input'!A5:B277,2,FALSE)</f>
        <v>#N/A</v>
      </c>
      <c r="I1" s="311"/>
      <c r="J1" s="311"/>
      <c r="K1" s="311"/>
      <c r="L1" s="311"/>
      <c r="M1" s="311"/>
      <c r="N1" s="311"/>
      <c r="O1" s="311"/>
      <c r="P1" s="311"/>
      <c r="Q1" s="311"/>
    </row>
    <row r="2" spans="2:17" ht="13.5" thickBot="1" x14ac:dyDescent="0.25">
      <c r="B2" s="308"/>
      <c r="C2" s="308"/>
      <c r="D2" s="308"/>
      <c r="E2" s="308"/>
      <c r="F2" s="308"/>
      <c r="G2" s="308"/>
      <c r="H2" s="312"/>
      <c r="I2" s="312"/>
      <c r="J2" s="312"/>
      <c r="K2" s="312"/>
      <c r="L2" s="312"/>
      <c r="M2" s="312"/>
      <c r="N2" s="312"/>
      <c r="O2" s="312"/>
      <c r="P2" s="312"/>
      <c r="Q2" s="312"/>
    </row>
    <row r="3" spans="2:17" ht="9" customHeight="1" x14ac:dyDescent="0.2">
      <c r="B3" s="33"/>
    </row>
    <row r="4" spans="2:17" ht="11.25" customHeight="1" x14ac:dyDescent="0.2">
      <c r="B4" s="39"/>
      <c r="C4" s="40"/>
      <c r="D4" s="40"/>
      <c r="E4" s="40"/>
      <c r="F4" s="40"/>
      <c r="G4" s="40"/>
      <c r="H4" s="40"/>
      <c r="I4" s="40"/>
      <c r="J4" s="40"/>
      <c r="K4" s="41"/>
      <c r="L4" s="15"/>
      <c r="M4" s="309" t="s">
        <v>6</v>
      </c>
      <c r="N4" s="309"/>
      <c r="O4" s="309" t="s">
        <v>7</v>
      </c>
      <c r="P4" s="309"/>
      <c r="Q4" s="309"/>
    </row>
    <row r="5" spans="2:17" ht="11.25" customHeight="1" x14ac:dyDescent="0.2">
      <c r="B5" s="42"/>
      <c r="C5" s="15"/>
      <c r="D5" s="15"/>
      <c r="E5" s="15"/>
      <c r="F5" s="15"/>
      <c r="G5" s="15"/>
      <c r="H5" s="15"/>
      <c r="I5" s="15"/>
      <c r="J5" s="15"/>
      <c r="K5" s="43"/>
      <c r="L5" s="15"/>
      <c r="M5" s="17" t="s">
        <v>0</v>
      </c>
      <c r="N5" s="17" t="s">
        <v>1</v>
      </c>
      <c r="O5" s="310" t="s">
        <v>8</v>
      </c>
      <c r="P5" s="310"/>
      <c r="Q5" s="18">
        <f ca="1">'AADT Current'!P2</f>
        <v>562.5</v>
      </c>
    </row>
    <row r="6" spans="2:17" ht="11.25" customHeight="1" x14ac:dyDescent="0.2">
      <c r="B6" s="42"/>
      <c r="C6" s="15"/>
      <c r="D6" s="15"/>
      <c r="E6" s="15"/>
      <c r="F6" s="15"/>
      <c r="G6" s="15"/>
      <c r="H6" s="15"/>
      <c r="I6" s="15"/>
      <c r="J6" s="15"/>
      <c r="K6" s="43"/>
      <c r="L6" s="15"/>
      <c r="M6" s="19">
        <f ca="1">'AADT Current'!K2</f>
        <v>2002</v>
      </c>
      <c r="N6" s="19">
        <f ca="1">'AADT Current'!L2</f>
        <v>24000</v>
      </c>
      <c r="O6" s="310" t="s">
        <v>9</v>
      </c>
      <c r="P6" s="310"/>
      <c r="Q6" s="20">
        <f ca="1">'AADT Current'!P3</f>
        <v>2.0102750691701088E-2</v>
      </c>
    </row>
    <row r="7" spans="2:17" ht="11.25" customHeight="1" x14ac:dyDescent="0.2">
      <c r="B7" s="42"/>
      <c r="C7" s="15"/>
      <c r="D7" s="15"/>
      <c r="E7" s="15"/>
      <c r="F7" s="15"/>
      <c r="G7" s="15"/>
      <c r="H7" s="15"/>
      <c r="I7" s="15"/>
      <c r="J7" s="15"/>
      <c r="K7" s="43"/>
      <c r="L7" s="15"/>
      <c r="M7" s="19">
        <f ca="1">'AADT Current'!K3</f>
        <v>2003</v>
      </c>
      <c r="N7" s="19">
        <f ca="1">'AADT Current'!L3</f>
        <v>24000</v>
      </c>
      <c r="O7" s="310" t="s">
        <v>10</v>
      </c>
      <c r="P7" s="310"/>
      <c r="Q7" s="18">
        <f ca="1">'AADT Current'!P4</f>
        <v>431.73543689320377</v>
      </c>
    </row>
    <row r="8" spans="2:17" ht="11.25" customHeight="1" x14ac:dyDescent="0.2">
      <c r="B8" s="42"/>
      <c r="C8" s="15"/>
      <c r="D8" s="15"/>
      <c r="E8" s="15"/>
      <c r="F8" s="15"/>
      <c r="G8" s="15"/>
      <c r="H8" s="15"/>
      <c r="I8" s="15"/>
      <c r="J8" s="15"/>
      <c r="K8" s="43"/>
      <c r="L8" s="15"/>
      <c r="M8" s="19">
        <f ca="1">'AADT Current'!K4</f>
        <v>2005</v>
      </c>
      <c r="N8" s="19">
        <f ca="1">'AADT Current'!L4</f>
        <v>29000</v>
      </c>
      <c r="O8" s="310" t="s">
        <v>28</v>
      </c>
      <c r="P8" s="310"/>
      <c r="Q8" s="20">
        <f ca="1">'AADT Current'!P8</f>
        <v>1.5525611636785452E-2</v>
      </c>
    </row>
    <row r="9" spans="2:17" ht="11.25" customHeight="1" x14ac:dyDescent="0.2">
      <c r="B9" s="42"/>
      <c r="C9" s="15"/>
      <c r="D9" s="15"/>
      <c r="E9" s="15"/>
      <c r="F9" s="15"/>
      <c r="G9" s="15"/>
      <c r="H9" s="15"/>
      <c r="I9" s="15"/>
      <c r="J9" s="15"/>
      <c r="K9" s="43"/>
      <c r="L9" s="15"/>
      <c r="M9" s="19">
        <f ca="1">'AADT Current'!K5</f>
        <v>2007</v>
      </c>
      <c r="N9" s="19">
        <f ca="1">'AADT Current'!L5</f>
        <v>30000</v>
      </c>
      <c r="O9" s="16"/>
      <c r="P9" s="16"/>
      <c r="Q9" s="16"/>
    </row>
    <row r="10" spans="2:17" ht="11.25" customHeight="1" x14ac:dyDescent="0.2">
      <c r="B10" s="42"/>
      <c r="C10" s="15"/>
      <c r="D10" s="15"/>
      <c r="E10" s="15"/>
      <c r="F10" s="15"/>
      <c r="G10" s="15"/>
      <c r="H10" s="15"/>
      <c r="I10" s="15"/>
      <c r="J10" s="15"/>
      <c r="K10" s="43"/>
      <c r="L10" s="15"/>
      <c r="M10" s="19">
        <f ca="1">'AADT Current'!K6</f>
        <v>2009</v>
      </c>
      <c r="N10" s="19">
        <f ca="1">'AADT Current'!L6</f>
        <v>26000</v>
      </c>
      <c r="O10" s="310" t="s">
        <v>15</v>
      </c>
      <c r="P10" s="310"/>
      <c r="Q10" s="16"/>
    </row>
    <row r="11" spans="2:17" ht="11.25" customHeight="1" x14ac:dyDescent="0.2">
      <c r="B11" s="42"/>
      <c r="C11" s="15"/>
      <c r="D11" s="15"/>
      <c r="E11" s="15"/>
      <c r="F11" s="15"/>
      <c r="G11" s="15"/>
      <c r="H11" s="15"/>
      <c r="I11" s="15"/>
      <c r="J11" s="15"/>
      <c r="K11" s="43"/>
      <c r="L11" s="15"/>
      <c r="M11" s="19">
        <f ca="1">'AADT Current'!K7</f>
        <v>2011</v>
      </c>
      <c r="N11" s="19">
        <f ca="1">'AADT Current'!L7</f>
        <v>29000</v>
      </c>
      <c r="O11" s="22" t="s">
        <v>16</v>
      </c>
      <c r="P11" s="16"/>
      <c r="Q11" s="23">
        <f ca="1">'AADT Current'!P9</f>
        <v>0.63440678097793146</v>
      </c>
    </row>
    <row r="12" spans="2:17" ht="11.25" customHeight="1" x14ac:dyDescent="0.2">
      <c r="B12" s="42"/>
      <c r="C12" s="15"/>
      <c r="D12" s="15"/>
      <c r="E12" s="15"/>
      <c r="F12" s="15"/>
      <c r="G12" s="15"/>
      <c r="H12" s="15"/>
      <c r="I12" s="15"/>
      <c r="J12" s="15"/>
      <c r="K12" s="43"/>
      <c r="L12" s="15"/>
      <c r="M12" s="19">
        <f ca="1">'AADT Current'!K8</f>
        <v>2012</v>
      </c>
      <c r="N12" s="19">
        <f ca="1">'AADT Current'!L8</f>
        <v>26600</v>
      </c>
      <c r="O12" s="22" t="s">
        <v>17</v>
      </c>
      <c r="P12" s="16"/>
      <c r="Q12" s="23">
        <f ca="1">'AADT Current'!P10</f>
        <v>0.63139440932489566</v>
      </c>
    </row>
    <row r="13" spans="2:17" ht="11.25" customHeight="1" x14ac:dyDescent="0.2">
      <c r="B13" s="42"/>
      <c r="C13" s="15"/>
      <c r="D13" s="15"/>
      <c r="E13" s="15"/>
      <c r="F13" s="15"/>
      <c r="G13" s="15"/>
      <c r="H13" s="15"/>
      <c r="I13" s="15"/>
      <c r="J13" s="15"/>
      <c r="K13" s="43"/>
      <c r="L13" s="15"/>
      <c r="M13" s="19">
        <f ca="1">'AADT Current'!K9</f>
        <v>2013</v>
      </c>
      <c r="N13" s="19">
        <f ca="1">'AADT Current'!L9</f>
        <v>29000</v>
      </c>
      <c r="O13" s="16"/>
      <c r="P13" s="16"/>
      <c r="Q13" s="16"/>
    </row>
    <row r="14" spans="2:17" ht="11.25" customHeight="1" x14ac:dyDescent="0.2">
      <c r="B14" s="42"/>
      <c r="C14" s="15"/>
      <c r="D14" s="15"/>
      <c r="E14" s="15"/>
      <c r="F14" s="15"/>
      <c r="G14" s="15"/>
      <c r="H14" s="15"/>
      <c r="I14" s="15"/>
      <c r="J14" s="15"/>
      <c r="K14" s="43"/>
      <c r="L14" s="15"/>
      <c r="M14" s="19">
        <f ca="1">'AADT Current'!K10</f>
        <v>2015</v>
      </c>
      <c r="N14" s="19">
        <f ca="1">'AADT Current'!L10</f>
        <v>30000</v>
      </c>
      <c r="O14" s="16"/>
      <c r="P14" s="16"/>
      <c r="Q14" s="16"/>
    </row>
    <row r="15" spans="2:17" ht="11.25" customHeight="1" x14ac:dyDescent="0.2">
      <c r="B15" s="42"/>
      <c r="C15" s="15"/>
      <c r="D15" s="15"/>
      <c r="E15" s="15"/>
      <c r="F15" s="15"/>
      <c r="G15" s="15"/>
      <c r="H15" s="15"/>
      <c r="I15" s="15"/>
      <c r="J15" s="15"/>
      <c r="K15" s="43"/>
      <c r="L15" s="15"/>
      <c r="M15" s="19">
        <f ca="1">'AADT Current'!K11</f>
        <v>2017</v>
      </c>
      <c r="N15" s="19">
        <f ca="1">'AADT Current'!L11</f>
        <v>32000</v>
      </c>
      <c r="O15" s="310" t="s">
        <v>27</v>
      </c>
      <c r="P15" s="310"/>
      <c r="Q15" s="310"/>
    </row>
    <row r="16" spans="2:17" ht="11.25" customHeight="1" x14ac:dyDescent="0.2">
      <c r="B16" s="42"/>
      <c r="C16" s="15"/>
      <c r="D16" s="15"/>
      <c r="E16" s="15"/>
      <c r="F16" s="15"/>
      <c r="G16" s="15"/>
      <c r="H16" s="15"/>
      <c r="I16" s="15"/>
      <c r="J16" s="15"/>
      <c r="K16" s="43"/>
      <c r="L16" s="15"/>
      <c r="M16" s="19">
        <f ca="1">'AADT Current'!K12</f>
        <v>2018</v>
      </c>
      <c r="N16" s="19">
        <f ca="1">'AADT Current'!L12</f>
        <v>33000</v>
      </c>
      <c r="O16" s="16"/>
      <c r="P16" s="16"/>
      <c r="Q16" s="34">
        <f ca="1">'AADT Current'!P11</f>
        <v>11</v>
      </c>
    </row>
    <row r="17" spans="2:17" ht="11.25" customHeight="1" x14ac:dyDescent="0.2">
      <c r="B17" s="42"/>
      <c r="C17" s="15"/>
      <c r="D17" s="15"/>
      <c r="E17" s="15"/>
      <c r="F17" s="15"/>
      <c r="G17" s="15"/>
      <c r="H17" s="15"/>
      <c r="I17" s="15"/>
      <c r="J17" s="15"/>
      <c r="K17" s="43"/>
      <c r="L17" s="15"/>
      <c r="M17" s="19" t="str">
        <f ca="1">'AADT Current'!K13</f>
        <v/>
      </c>
      <c r="N17" s="19" t="str">
        <f ca="1">'AADT Current'!L13</f>
        <v/>
      </c>
      <c r="O17" s="74"/>
      <c r="P17" s="74"/>
      <c r="Q17" s="74"/>
    </row>
    <row r="18" spans="2:17" ht="11.25" customHeight="1" x14ac:dyDescent="0.2">
      <c r="B18" s="42"/>
      <c r="C18" s="15"/>
      <c r="D18" s="15"/>
      <c r="E18" s="15"/>
      <c r="F18" s="15"/>
      <c r="G18" s="15"/>
      <c r="H18" s="15"/>
      <c r="I18" s="15"/>
      <c r="J18" s="15"/>
      <c r="K18" s="43"/>
      <c r="L18" s="15"/>
      <c r="M18" s="19" t="str">
        <f ca="1">'AADT Current'!K14</f>
        <v/>
      </c>
      <c r="N18" s="19" t="str">
        <f ca="1">'AADT Current'!L14</f>
        <v/>
      </c>
      <c r="O18" s="34"/>
      <c r="P18" s="34"/>
      <c r="Q18" s="16"/>
    </row>
    <row r="19" spans="2:17" ht="11.25" customHeight="1" x14ac:dyDescent="0.2">
      <c r="B19" s="42"/>
      <c r="C19" s="15"/>
      <c r="D19" s="15"/>
      <c r="E19" s="15"/>
      <c r="F19" s="15"/>
      <c r="G19" s="15"/>
      <c r="H19" s="15"/>
      <c r="I19" s="15"/>
      <c r="J19" s="15"/>
      <c r="K19" s="43"/>
      <c r="L19" s="15"/>
      <c r="M19" s="19" t="str">
        <f ca="1">'AADT Current'!K15</f>
        <v/>
      </c>
      <c r="N19" s="19" t="str">
        <f ca="1">'AADT Current'!L15</f>
        <v/>
      </c>
      <c r="O19" s="220"/>
      <c r="P19" s="220"/>
      <c r="Q19" s="220"/>
    </row>
    <row r="20" spans="2:17" ht="11.25" customHeight="1" x14ac:dyDescent="0.2">
      <c r="B20" s="42"/>
      <c r="C20" s="15"/>
      <c r="D20" s="15"/>
      <c r="E20" s="15"/>
      <c r="F20" s="15"/>
      <c r="G20" s="15"/>
      <c r="H20" s="15"/>
      <c r="I20" s="15"/>
      <c r="J20" s="15"/>
      <c r="K20" s="43"/>
      <c r="L20" s="15"/>
      <c r="M20" s="19" t="str">
        <f ca="1">'AADT Current'!K16</f>
        <v/>
      </c>
      <c r="N20" s="19" t="str">
        <f ca="1">'AADT Current'!L16</f>
        <v/>
      </c>
      <c r="O20" s="220"/>
      <c r="P20" s="220"/>
      <c r="Q20" s="220"/>
    </row>
    <row r="21" spans="2:17" ht="11.25" customHeight="1" x14ac:dyDescent="0.2">
      <c r="B21" s="42"/>
      <c r="C21" s="15"/>
      <c r="D21" s="15"/>
      <c r="E21" s="15"/>
      <c r="F21" s="15"/>
      <c r="G21" s="15"/>
      <c r="H21" s="15"/>
      <c r="I21" s="15"/>
      <c r="J21" s="15"/>
      <c r="K21" s="43"/>
      <c r="L21" s="15"/>
      <c r="M21" s="19" t="str">
        <f ca="1">'AADT Current'!K17</f>
        <v/>
      </c>
      <c r="N21" s="19" t="str">
        <f ca="1">'AADT Current'!L17</f>
        <v/>
      </c>
      <c r="O21" s="220"/>
      <c r="P21" s="220"/>
      <c r="Q21" s="220"/>
    </row>
    <row r="22" spans="2:17" ht="11.25" customHeight="1" x14ac:dyDescent="0.2">
      <c r="B22" s="42"/>
      <c r="C22" s="15"/>
      <c r="D22" s="15"/>
      <c r="E22" s="15"/>
      <c r="F22" s="15"/>
      <c r="G22" s="15"/>
      <c r="H22" s="15"/>
      <c r="I22" s="15"/>
      <c r="J22" s="15"/>
      <c r="K22" s="43"/>
      <c r="L22" s="15"/>
      <c r="M22" s="19" t="str">
        <f ca="1">'AADT Current'!K18</f>
        <v/>
      </c>
      <c r="N22" s="19" t="str">
        <f ca="1">'AADT Current'!L18</f>
        <v/>
      </c>
      <c r="O22" s="220"/>
      <c r="P22" s="220"/>
      <c r="Q22" s="220"/>
    </row>
    <row r="23" spans="2:17" ht="11.25" customHeight="1" x14ac:dyDescent="0.2">
      <c r="B23" s="42"/>
      <c r="C23" s="15"/>
      <c r="D23" s="15"/>
      <c r="E23" s="15"/>
      <c r="F23" s="15"/>
      <c r="G23" s="15"/>
      <c r="H23" s="15"/>
      <c r="I23" s="15"/>
      <c r="J23" s="15"/>
      <c r="K23" s="43"/>
      <c r="L23" s="15"/>
      <c r="M23" s="19" t="str">
        <f ca="1">'AADT Current'!K19</f>
        <v/>
      </c>
      <c r="N23" s="19" t="str">
        <f ca="1">'AADT Current'!L19</f>
        <v/>
      </c>
      <c r="O23" s="220"/>
      <c r="P23" s="220"/>
      <c r="Q23" s="220"/>
    </row>
    <row r="24" spans="2:17" ht="11.25" customHeight="1" x14ac:dyDescent="0.2">
      <c r="B24" s="42"/>
      <c r="C24" s="15"/>
      <c r="D24" s="15"/>
      <c r="E24" s="15"/>
      <c r="F24" s="15"/>
      <c r="G24" s="15"/>
      <c r="H24" s="15"/>
      <c r="I24" s="15"/>
      <c r="J24" s="15"/>
      <c r="K24" s="43"/>
      <c r="L24" s="15"/>
      <c r="M24" s="19" t="str">
        <f ca="1">'AADT Current'!K20</f>
        <v/>
      </c>
      <c r="N24" s="19" t="str">
        <f ca="1">'AADT Current'!L20</f>
        <v/>
      </c>
      <c r="O24" s="220"/>
      <c r="P24" s="220"/>
      <c r="Q24" s="220"/>
    </row>
    <row r="25" spans="2:17" ht="11.25" customHeight="1" x14ac:dyDescent="0.2">
      <c r="B25" s="42"/>
      <c r="C25" s="15"/>
      <c r="D25" s="15"/>
      <c r="E25" s="15"/>
      <c r="F25" s="15"/>
      <c r="G25" s="15"/>
      <c r="H25" s="15"/>
      <c r="I25" s="15"/>
      <c r="J25" s="15"/>
      <c r="K25" s="43"/>
      <c r="L25" s="15"/>
      <c r="M25" s="19" t="str">
        <f ca="1">'AADT Current'!K21</f>
        <v/>
      </c>
      <c r="N25" s="19" t="str">
        <f ca="1">'AADT Current'!L21</f>
        <v/>
      </c>
      <c r="O25" s="220"/>
      <c r="P25" s="220"/>
      <c r="Q25" s="220"/>
    </row>
    <row r="26" spans="2:17" ht="11.25" customHeight="1" x14ac:dyDescent="0.2">
      <c r="B26" s="42"/>
      <c r="C26" s="15"/>
      <c r="D26" s="15"/>
      <c r="E26" s="15"/>
      <c r="F26" s="15"/>
      <c r="G26" s="15"/>
      <c r="H26" s="15"/>
      <c r="I26" s="15"/>
      <c r="J26" s="15"/>
      <c r="K26" s="43"/>
      <c r="L26" s="15"/>
      <c r="M26" s="19" t="str">
        <f ca="1">'AADT Current'!K22</f>
        <v/>
      </c>
      <c r="N26" s="19" t="str">
        <f ca="1">'AADT Current'!L22</f>
        <v/>
      </c>
      <c r="O26" s="220"/>
      <c r="P26" s="220"/>
      <c r="Q26" s="220"/>
    </row>
    <row r="27" spans="2:17" ht="11.25" customHeight="1" x14ac:dyDescent="0.2">
      <c r="B27" s="42"/>
      <c r="C27" s="15"/>
      <c r="D27" s="15"/>
      <c r="E27" s="15"/>
      <c r="F27" s="15"/>
      <c r="G27" s="15"/>
      <c r="H27" s="15"/>
      <c r="I27" s="15"/>
      <c r="J27" s="15"/>
      <c r="K27" s="43"/>
      <c r="L27" s="15"/>
      <c r="M27" s="19" t="str">
        <f ca="1">'AADT Current'!K23</f>
        <v/>
      </c>
      <c r="N27" s="19" t="str">
        <f ca="1">'AADT Current'!L23</f>
        <v/>
      </c>
      <c r="O27" s="220"/>
      <c r="P27" s="220"/>
      <c r="Q27" s="220"/>
    </row>
    <row r="28" spans="2:17" ht="11.25" customHeight="1" x14ac:dyDescent="0.2">
      <c r="B28" s="42"/>
      <c r="C28" s="15"/>
      <c r="D28" s="15"/>
      <c r="E28" s="15"/>
      <c r="F28" s="15"/>
      <c r="G28" s="15"/>
      <c r="H28" s="15"/>
      <c r="I28" s="15"/>
      <c r="J28" s="15"/>
      <c r="K28" s="43"/>
      <c r="L28" s="15"/>
      <c r="M28" s="19" t="str">
        <f ca="1">'AADT Current'!K24</f>
        <v/>
      </c>
      <c r="N28" s="19" t="str">
        <f ca="1">'AADT Current'!L24</f>
        <v/>
      </c>
      <c r="O28" s="220"/>
      <c r="P28" s="220"/>
      <c r="Q28" s="220"/>
    </row>
    <row r="29" spans="2:17" ht="11.25" customHeight="1" x14ac:dyDescent="0.2">
      <c r="B29" s="42"/>
      <c r="C29" s="15"/>
      <c r="D29" s="15"/>
      <c r="E29" s="15"/>
      <c r="F29" s="15"/>
      <c r="G29" s="15"/>
      <c r="H29" s="15"/>
      <c r="I29" s="15"/>
      <c r="J29" s="15"/>
      <c r="K29" s="43"/>
      <c r="L29" s="15"/>
      <c r="M29" s="19" t="str">
        <f ca="1">'AADT Current'!K25</f>
        <v/>
      </c>
      <c r="N29" s="19" t="str">
        <f ca="1">'AADT Current'!L25</f>
        <v/>
      </c>
      <c r="O29" s="220"/>
      <c r="P29" s="220"/>
      <c r="Q29" s="220"/>
    </row>
    <row r="30" spans="2:17" ht="11.25" customHeight="1" x14ac:dyDescent="0.2">
      <c r="B30" s="44"/>
      <c r="C30" s="45"/>
      <c r="D30" s="45"/>
      <c r="E30" s="45"/>
      <c r="F30" s="45"/>
      <c r="G30" s="45"/>
      <c r="H30" s="45"/>
      <c r="I30" s="45"/>
      <c r="J30" s="45"/>
      <c r="K30" s="46"/>
      <c r="L30" s="15"/>
      <c r="M30" s="80" t="str">
        <f ca="1">'AADT Current'!K26</f>
        <v/>
      </c>
      <c r="N30" s="80" t="str">
        <f ca="1">'AADT Current'!L26</f>
        <v/>
      </c>
      <c r="O30" s="81"/>
      <c r="P30" s="81"/>
      <c r="Q30" s="81"/>
    </row>
    <row r="31" spans="2:17" x14ac:dyDescent="0.2">
      <c r="B31" s="305" t="s">
        <v>44</v>
      </c>
      <c r="C31" s="306"/>
      <c r="D31" s="306"/>
      <c r="E31" s="306"/>
      <c r="F31" s="306" t="s">
        <v>45</v>
      </c>
      <c r="G31" s="306"/>
      <c r="H31" s="306"/>
      <c r="I31" s="313"/>
      <c r="J31" s="314" t="s">
        <v>18</v>
      </c>
      <c r="K31" s="315"/>
      <c r="M31" s="301" t="s">
        <v>26</v>
      </c>
      <c r="N31" s="301"/>
      <c r="O31" s="301"/>
      <c r="P31" s="301"/>
      <c r="Q31" s="301"/>
    </row>
    <row r="32" spans="2:17" x14ac:dyDescent="0.2">
      <c r="B32" s="24" t="s">
        <v>19</v>
      </c>
      <c r="C32" s="21"/>
      <c r="D32" s="21"/>
      <c r="E32" s="21"/>
      <c r="F32" s="304" t="s">
        <v>19</v>
      </c>
      <c r="G32" s="304"/>
      <c r="H32" s="304"/>
      <c r="I32" s="87"/>
      <c r="J32" s="302" t="s">
        <v>440</v>
      </c>
      <c r="K32" s="303"/>
      <c r="M32" s="76" t="s">
        <v>30</v>
      </c>
      <c r="N32" s="77" t="s">
        <v>31</v>
      </c>
      <c r="O32" s="78" t="s">
        <v>32</v>
      </c>
      <c r="P32" s="78" t="s">
        <v>33</v>
      </c>
      <c r="Q32" s="79"/>
    </row>
    <row r="33" spans="2:17" x14ac:dyDescent="0.2">
      <c r="B33" s="25" t="s">
        <v>20</v>
      </c>
      <c r="C33" s="16"/>
      <c r="D33" s="16"/>
      <c r="E33" s="16"/>
      <c r="F33" s="296" t="s">
        <v>20</v>
      </c>
      <c r="G33" s="296"/>
      <c r="H33" s="296"/>
      <c r="I33" s="83"/>
      <c r="J33" s="37" t="s">
        <v>29</v>
      </c>
      <c r="K33" s="38">
        <f ca="1">'AADT Current'!U2</f>
        <v>2018</v>
      </c>
      <c r="M33" s="31">
        <f ca="1">'AADT Current'!V2</f>
        <v>33000</v>
      </c>
      <c r="N33" s="31">
        <f ca="1">'AADT Current'!W2</f>
        <v>32999.999999999949</v>
      </c>
      <c r="O33" s="31">
        <f ca="1">'AADT Current'!X2</f>
        <v>31793.567961164983</v>
      </c>
      <c r="P33" s="31">
        <f ca="1">'AADT Current'!Y2</f>
        <v>31893.964957106353</v>
      </c>
      <c r="Q33" s="32"/>
    </row>
    <row r="34" spans="2:17" x14ac:dyDescent="0.2">
      <c r="B34" s="25" t="s">
        <v>40</v>
      </c>
      <c r="C34" s="16"/>
      <c r="D34" s="16"/>
      <c r="E34" s="16"/>
      <c r="F34" s="296" t="s">
        <v>40</v>
      </c>
      <c r="G34" s="296"/>
      <c r="H34" s="296"/>
      <c r="I34" s="82"/>
      <c r="J34" s="28" t="s">
        <v>22</v>
      </c>
      <c r="K34" s="35">
        <v>2030</v>
      </c>
      <c r="M34" s="31">
        <f ca="1">'AADT Current'!V3</f>
        <v>39750</v>
      </c>
      <c r="N34" s="31">
        <f ca="1">'AADT Current'!W3</f>
        <v>41902.599258177208</v>
      </c>
      <c r="O34" s="31">
        <f ca="1">'AADT Current'!X3</f>
        <v>36974.393203883432</v>
      </c>
      <c r="P34" s="31">
        <f ca="1">'AADT Current'!Y3</f>
        <v>38370.643492083873</v>
      </c>
      <c r="Q34" s="32"/>
    </row>
    <row r="35" spans="2:17" x14ac:dyDescent="0.2">
      <c r="B35" s="25" t="s">
        <v>41</v>
      </c>
      <c r="C35" s="16"/>
      <c r="D35" s="16"/>
      <c r="E35" s="16"/>
      <c r="F35" s="296" t="s">
        <v>41</v>
      </c>
      <c r="G35" s="296"/>
      <c r="H35" s="296"/>
      <c r="I35" s="84"/>
      <c r="J35" s="29" t="s">
        <v>23</v>
      </c>
      <c r="K35" s="36">
        <v>2035</v>
      </c>
      <c r="M35" s="31">
        <f ca="1">'AADT Current'!V4</f>
        <v>42562.5</v>
      </c>
      <c r="N35" s="31">
        <f ca="1">'AADT Current'!W4</f>
        <v>46287.162312635803</v>
      </c>
      <c r="O35" s="31">
        <f ca="1">'AADT Current'!X4</f>
        <v>39133.070388349472</v>
      </c>
      <c r="P35" s="31">
        <f ca="1">'AADT Current'!Y4</f>
        <v>41443.219559510668</v>
      </c>
      <c r="Q35" s="32"/>
    </row>
    <row r="36" spans="2:17" x14ac:dyDescent="0.2">
      <c r="B36" s="25"/>
      <c r="C36" s="16"/>
      <c r="D36" s="16"/>
      <c r="E36" s="16"/>
      <c r="F36" s="296" t="s">
        <v>42</v>
      </c>
      <c r="G36" s="296"/>
      <c r="H36" s="296"/>
      <c r="I36" s="85"/>
      <c r="J36" s="29" t="s">
        <v>24</v>
      </c>
      <c r="K36" s="36">
        <v>2040</v>
      </c>
      <c r="M36" s="31">
        <f ca="1">'AADT Current'!V5</f>
        <v>45375</v>
      </c>
      <c r="N36" s="31">
        <f ca="1">'AADT Current'!W5</f>
        <v>51130.512972609613</v>
      </c>
      <c r="O36" s="31">
        <f ca="1">'AADT Current'!X5</f>
        <v>41291.747572815511</v>
      </c>
      <c r="P36" s="31">
        <f ca="1">'AADT Current'!Y5</f>
        <v>44761.83590228697</v>
      </c>
      <c r="Q36" s="32"/>
    </row>
    <row r="37" spans="2:17" x14ac:dyDescent="0.2">
      <c r="B37" s="26" t="s">
        <v>21</v>
      </c>
      <c r="C37" s="27"/>
      <c r="D37" s="27"/>
      <c r="E37" s="27"/>
      <c r="F37" s="297" t="s">
        <v>43</v>
      </c>
      <c r="G37" s="297"/>
      <c r="H37" s="297"/>
      <c r="I37" s="86"/>
      <c r="J37" s="47" t="s">
        <v>25</v>
      </c>
      <c r="K37" s="48">
        <v>2045</v>
      </c>
      <c r="M37" s="31">
        <f ca="1">'AADT Current'!V6</f>
        <v>48187.5</v>
      </c>
      <c r="N37" s="31">
        <f ca="1">'AADT Current'!W6</f>
        <v>56480.657405272017</v>
      </c>
      <c r="O37" s="31">
        <f ca="1">'AADT Current'!X6</f>
        <v>43450.424757281551</v>
      </c>
      <c r="P37" s="31">
        <f ca="1">'AADT Current'!Y6</f>
        <v>48346.194495486656</v>
      </c>
      <c r="Q37" s="32"/>
    </row>
    <row r="38" spans="2:17" x14ac:dyDescent="0.2">
      <c r="B38" s="298" t="s">
        <v>39</v>
      </c>
      <c r="C38" s="299"/>
      <c r="D38" s="299"/>
      <c r="E38" s="299"/>
      <c r="F38" s="299"/>
      <c r="G38" s="299"/>
      <c r="H38" s="299"/>
      <c r="I38" s="300"/>
      <c r="J38" s="30" t="s">
        <v>34</v>
      </c>
      <c r="K38" s="88">
        <v>2050</v>
      </c>
      <c r="M38" s="31">
        <f ca="1">'AADT Current'!V7</f>
        <v>51000</v>
      </c>
      <c r="N38" s="31">
        <f ca="1">'AADT Current'!W7</f>
        <v>62390.624999999724</v>
      </c>
      <c r="O38" s="31">
        <f ca="1">'AADT Current'!X7</f>
        <v>45609.101941747474</v>
      </c>
      <c r="P38" s="31">
        <f ca="1">'AADT Current'!Y7</f>
        <v>52217.57497386304</v>
      </c>
      <c r="Q38" s="32"/>
    </row>
    <row r="40" spans="2:17" x14ac:dyDescent="0.2">
      <c r="B40" s="54" t="str">
        <f>'AADT Input'!A2</f>
        <v>Title - Replace with text</v>
      </c>
    </row>
    <row r="41" spans="2:17" x14ac:dyDescent="0.2">
      <c r="B41" s="54" t="str">
        <f>'AADT Input'!A3</f>
        <v>Title - Replace with text ore delete</v>
      </c>
    </row>
    <row r="45" spans="2:17" x14ac:dyDescent="0.2">
      <c r="I45" s="72"/>
    </row>
  </sheetData>
  <sheetProtection sheet="1" objects="1" scenarios="1"/>
  <mergeCells count="22">
    <mergeCell ref="B1:G2"/>
    <mergeCell ref="M4:N4"/>
    <mergeCell ref="O10:P10"/>
    <mergeCell ref="H1:Q2"/>
    <mergeCell ref="F31:I31"/>
    <mergeCell ref="O4:Q4"/>
    <mergeCell ref="O6:P6"/>
    <mergeCell ref="O5:P5"/>
    <mergeCell ref="O15:Q15"/>
    <mergeCell ref="J31:K31"/>
    <mergeCell ref="O7:P7"/>
    <mergeCell ref="O8:P8"/>
    <mergeCell ref="F36:H36"/>
    <mergeCell ref="F37:H37"/>
    <mergeCell ref="B38:I38"/>
    <mergeCell ref="M31:Q31"/>
    <mergeCell ref="J32:K32"/>
    <mergeCell ref="F32:H32"/>
    <mergeCell ref="F33:H33"/>
    <mergeCell ref="F34:H34"/>
    <mergeCell ref="F35:H35"/>
    <mergeCell ref="B31:E31"/>
  </mergeCells>
  <phoneticPr fontId="49" type="noConversion"/>
  <dataValidations count="7">
    <dataValidation type="decimal" allowBlank="1" showInputMessage="1" showErrorMessage="1" sqref="I35" xr:uid="{00000000-0002-0000-0200-000000000000}">
      <formula1>0</formula1>
      <formula2>0.2</formula2>
    </dataValidation>
    <dataValidation type="list" allowBlank="1" showInputMessage="1" showErrorMessage="1" sqref="K34" xr:uid="{00000000-0002-0000-0200-000001000000}">
      <formula1>FUTUREYEAR1</formula1>
    </dataValidation>
    <dataValidation type="list" allowBlank="1" showInputMessage="1" showErrorMessage="1" sqref="K35" xr:uid="{00000000-0002-0000-0200-000002000000}">
      <formula1>FUTUREYEAR2</formula1>
    </dataValidation>
    <dataValidation type="list" allowBlank="1" showInputMessage="1" showErrorMessage="1" sqref="K36" xr:uid="{00000000-0002-0000-0200-000003000000}">
      <formula1>FUTUREYEAR3</formula1>
    </dataValidation>
    <dataValidation type="list" allowBlank="1" showInputMessage="1" showErrorMessage="1" sqref="K37" xr:uid="{00000000-0002-0000-0200-000004000000}">
      <formula1>FUTUREYEAR4</formula1>
    </dataValidation>
    <dataValidation type="list" allowBlank="1" showInputMessage="1" showErrorMessage="1" sqref="K38" xr:uid="{00000000-0002-0000-0200-000005000000}">
      <formula1>FUTUREYEAR5</formula1>
    </dataValidation>
    <dataValidation type="list" allowBlank="1" showInputMessage="1" showErrorMessage="1" sqref="J32:K32" xr:uid="{00000000-0002-0000-0200-000006000000}">
      <formula1>NUMBEROFSTATIONS2</formula1>
    </dataValidation>
  </dataValidations>
  <printOptions horizontalCentered="1" verticalCentered="1"/>
  <pageMargins left="0.25" right="0.25" top="0.25" bottom="0.25" header="0.5" footer="0.5"/>
  <pageSetup scale="96" orientation="landscape" horizontalDpi="4294967293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Check Box 2">
              <controlPr locked="0" defaultSize="0" autoFill="0" autoLine="0" autoPict="0" macro="[0]!UPDADATECHART">
                <anchor moveWithCells="1">
                  <from>
                    <xdr:col>1</xdr:col>
                    <xdr:colOff>0</xdr:colOff>
                    <xdr:row>35</xdr:row>
                    <xdr:rowOff>133350</xdr:rowOff>
                  </from>
                  <to>
                    <xdr:col>1</xdr:col>
                    <xdr:colOff>304800</xdr:colOff>
                    <xdr:row>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Check Box 3">
              <controlPr locked="0" defaultSize="0" autoFill="0" autoLine="0" autoPict="0" macro="[0]!UPDADATECHART">
                <anchor moveWithCells="1">
                  <from>
                    <xdr:col>1</xdr:col>
                    <xdr:colOff>0</xdr:colOff>
                    <xdr:row>30</xdr:row>
                    <xdr:rowOff>133350</xdr:rowOff>
                  </from>
                  <to>
                    <xdr:col>1</xdr:col>
                    <xdr:colOff>304800</xdr:colOff>
                    <xdr:row>32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Check Box 4">
              <controlPr locked="0" defaultSize="0" autoFill="0" autoLine="0" autoPict="0" macro="[0]!UPDADATECHART">
                <anchor moveWithCells="1">
                  <from>
                    <xdr:col>4</xdr:col>
                    <xdr:colOff>600075</xdr:colOff>
                    <xdr:row>30</xdr:row>
                    <xdr:rowOff>133350</xdr:rowOff>
                  </from>
                  <to>
                    <xdr:col>5</xdr:col>
                    <xdr:colOff>295275</xdr:colOff>
                    <xdr:row>32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Check Box 5">
              <controlPr locked="0" defaultSize="0" autoFill="0" autoLine="0" autoPict="0" macro="[0]!UPDADATECHART">
                <anchor moveWithCells="1">
                  <from>
                    <xdr:col>1</xdr:col>
                    <xdr:colOff>0</xdr:colOff>
                    <xdr:row>31</xdr:row>
                    <xdr:rowOff>133350</xdr:rowOff>
                  </from>
                  <to>
                    <xdr:col>1</xdr:col>
                    <xdr:colOff>304800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Check Box 6">
              <controlPr locked="0" defaultSize="0" autoFill="0" autoLine="0" autoPict="0" macro="[0]!UPDADATECHART">
                <anchor moveWithCells="1">
                  <from>
                    <xdr:col>4</xdr:col>
                    <xdr:colOff>600075</xdr:colOff>
                    <xdr:row>31</xdr:row>
                    <xdr:rowOff>133350</xdr:rowOff>
                  </from>
                  <to>
                    <xdr:col>5</xdr:col>
                    <xdr:colOff>295275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Check Box 7">
              <controlPr locked="0" defaultSize="0" autoFill="0" autoLine="0" autoPict="0" macro="[0]!UPDADATECHART">
                <anchor moveWithCells="1">
                  <from>
                    <xdr:col>4</xdr:col>
                    <xdr:colOff>600075</xdr:colOff>
                    <xdr:row>32</xdr:row>
                    <xdr:rowOff>133350</xdr:rowOff>
                  </from>
                  <to>
                    <xdr:col>5</xdr:col>
                    <xdr:colOff>295275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0" name="Check Box 8">
              <controlPr locked="0" defaultSize="0" autoFill="0" autoLine="0" autoPict="0" macro="[0]!UPDADATECHART">
                <anchor moveWithCells="1">
                  <from>
                    <xdr:col>4</xdr:col>
                    <xdr:colOff>600075</xdr:colOff>
                    <xdr:row>33</xdr:row>
                    <xdr:rowOff>133350</xdr:rowOff>
                  </from>
                  <to>
                    <xdr:col>5</xdr:col>
                    <xdr:colOff>295275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1" name="Check Box 9">
              <controlPr locked="0" defaultSize="0" autoFill="0" autoLine="0" autoPict="0" macro="[0]!UPDADATECHART">
                <anchor moveWithCells="1">
                  <from>
                    <xdr:col>1</xdr:col>
                    <xdr:colOff>0</xdr:colOff>
                    <xdr:row>32</xdr:row>
                    <xdr:rowOff>133350</xdr:rowOff>
                  </from>
                  <to>
                    <xdr:col>1</xdr:col>
                    <xdr:colOff>304800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2" name="Check Box 10">
              <controlPr locked="0" defaultSize="0" autoFill="0" autoLine="0" autoPict="0" macro="[0]!UPDADATECHART">
                <anchor moveWithCells="1">
                  <from>
                    <xdr:col>1</xdr:col>
                    <xdr:colOff>0</xdr:colOff>
                    <xdr:row>33</xdr:row>
                    <xdr:rowOff>133350</xdr:rowOff>
                  </from>
                  <to>
                    <xdr:col>1</xdr:col>
                    <xdr:colOff>304800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3" name="Check Box 15">
              <controlPr locked="0" defaultSize="0" autoFill="0" autoLine="0" autoPict="0" macro="[0]!UPDADATECHART">
                <anchor moveWithCells="1">
                  <from>
                    <xdr:col>4</xdr:col>
                    <xdr:colOff>600075</xdr:colOff>
                    <xdr:row>34</xdr:row>
                    <xdr:rowOff>133350</xdr:rowOff>
                  </from>
                  <to>
                    <xdr:col>5</xdr:col>
                    <xdr:colOff>295275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4" name="Button 31">
              <controlPr locked="0" defaultSize="0" print="0" autoFill="0" autoPict="0" macro="[0]!TRANSFERDATA">
                <anchor moveWithCells="1" sizeWithCells="1">
                  <from>
                    <xdr:col>10</xdr:col>
                    <xdr:colOff>9525</xdr:colOff>
                    <xdr:row>24</xdr:row>
                    <xdr:rowOff>19050</xdr:rowOff>
                  </from>
                  <to>
                    <xdr:col>10</xdr:col>
                    <xdr:colOff>895350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15" name="Check Box 39">
              <controlPr locked="0" defaultSize="0" autoFill="0" autoLine="0" autoPict="0" macro="[0]!UPDADATECHART">
                <anchor moveWithCells="1">
                  <from>
                    <xdr:col>4</xdr:col>
                    <xdr:colOff>600075</xdr:colOff>
                    <xdr:row>35</xdr:row>
                    <xdr:rowOff>133350</xdr:rowOff>
                  </from>
                  <to>
                    <xdr:col>5</xdr:col>
                    <xdr:colOff>295275</xdr:colOff>
                    <xdr:row>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" r:id="rId16" name="Button 51">
              <controlPr defaultSize="0" print="0" autoFill="0" autoPict="0" macro="[0]!PRINTALL">
                <anchor moveWithCells="1" sizeWithCells="1">
                  <from>
                    <xdr:col>12</xdr:col>
                    <xdr:colOff>0</xdr:colOff>
                    <xdr:row>28</xdr:row>
                    <xdr:rowOff>38100</xdr:rowOff>
                  </from>
                  <to>
                    <xdr:col>12</xdr:col>
                    <xdr:colOff>533400</xdr:colOff>
                    <xdr:row>29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V3483"/>
  <sheetViews>
    <sheetView topLeftCell="A1040" workbookViewId="0"/>
  </sheetViews>
  <sheetFormatPr defaultColWidth="7.7109375" defaultRowHeight="35.1" customHeight="1" x14ac:dyDescent="0.2"/>
  <cols>
    <col min="1" max="2" width="7.7109375" style="92" customWidth="1"/>
    <col min="3" max="16384" width="7.7109375" style="1"/>
  </cols>
  <sheetData>
    <row r="1" spans="1:22" s="92" customFormat="1" ht="35.1" customHeight="1" x14ac:dyDescent="0.2">
      <c r="R1" s="93"/>
      <c r="S1" s="92">
        <f>ABS(ROUND(R1*100,0))</f>
        <v>0</v>
      </c>
    </row>
    <row r="2" spans="1:22" s="92" customFormat="1" ht="35.1" customHeight="1" x14ac:dyDescent="0.2"/>
    <row r="3" spans="1:22" s="92" customFormat="1" ht="35.1" customHeight="1" x14ac:dyDescent="0.2"/>
    <row r="4" spans="1:22" s="92" customFormat="1" ht="35.1" customHeight="1" x14ac:dyDescent="0.2">
      <c r="C4" s="92" t="s">
        <v>46</v>
      </c>
      <c r="E4" s="94" t="s">
        <v>47</v>
      </c>
      <c r="F4" s="95" t="e">
        <f>#REF!/2</f>
        <v>#REF!</v>
      </c>
      <c r="G4" s="95" t="e">
        <f>#REF!/2</f>
        <v>#REF!</v>
      </c>
      <c r="H4" s="95" t="e">
        <f>#REF!/2</f>
        <v>#REF!</v>
      </c>
      <c r="I4" s="95" t="e">
        <f>#REF!/2</f>
        <v>#REF!</v>
      </c>
      <c r="J4" s="96" t="e">
        <f>ROUND(SUM(F4:I4),0)</f>
        <v>#REF!</v>
      </c>
      <c r="M4" s="96" t="e">
        <f>J4-D10</f>
        <v>#REF!</v>
      </c>
      <c r="N4" s="96" t="e">
        <f>D10-J4</f>
        <v>#REF!</v>
      </c>
    </row>
    <row r="5" spans="1:22" s="92" customFormat="1" ht="35.1" customHeight="1" x14ac:dyDescent="0.2">
      <c r="D5" s="94" t="s">
        <v>48</v>
      </c>
      <c r="F5" s="92">
        <f>SUM(F6:F9)</f>
        <v>5000</v>
      </c>
      <c r="G5" s="92">
        <f>SUM(G6:G9)</f>
        <v>5000</v>
      </c>
      <c r="H5" s="92">
        <f>SUM(H6:H9)</f>
        <v>5000</v>
      </c>
      <c r="I5" s="92">
        <f>SUM(I6:I9)</f>
        <v>5000</v>
      </c>
      <c r="M5" s="92" t="s">
        <v>49</v>
      </c>
      <c r="N5" s="92" t="s">
        <v>50</v>
      </c>
      <c r="O5" s="92" t="s">
        <v>51</v>
      </c>
      <c r="P5" s="92" t="s">
        <v>52</v>
      </c>
    </row>
    <row r="6" spans="1:22" s="92" customFormat="1" ht="35.1" customHeight="1" x14ac:dyDescent="0.2">
      <c r="D6" s="95" t="e">
        <f>#REF!/2</f>
        <v>#REF!</v>
      </c>
      <c r="E6" s="92">
        <f>SUM(F6:I6)</f>
        <v>5000</v>
      </c>
      <c r="F6" s="97">
        <v>0</v>
      </c>
      <c r="G6" s="97">
        <v>1700</v>
      </c>
      <c r="H6" s="97">
        <v>1600</v>
      </c>
      <c r="I6" s="97">
        <v>1700</v>
      </c>
      <c r="L6" s="92" t="s">
        <v>53</v>
      </c>
      <c r="M6" s="97">
        <v>0</v>
      </c>
      <c r="N6" s="97" t="s">
        <v>54</v>
      </c>
      <c r="O6" s="97" t="s">
        <v>55</v>
      </c>
      <c r="P6" s="97" t="s">
        <v>56</v>
      </c>
      <c r="S6" s="1"/>
      <c r="T6" s="1"/>
      <c r="U6" s="1"/>
      <c r="V6" s="1"/>
    </row>
    <row r="7" spans="1:22" s="92" customFormat="1" ht="35.1" customHeight="1" x14ac:dyDescent="0.2">
      <c r="D7" s="95" t="e">
        <f>#REF!/2</f>
        <v>#REF!</v>
      </c>
      <c r="E7" s="92">
        <f>SUM(F7:I7)</f>
        <v>5000</v>
      </c>
      <c r="F7" s="97">
        <v>1700</v>
      </c>
      <c r="G7" s="97">
        <v>0</v>
      </c>
      <c r="H7" s="97">
        <v>1700</v>
      </c>
      <c r="I7" s="97">
        <v>1600</v>
      </c>
      <c r="L7" s="92" t="s">
        <v>57</v>
      </c>
      <c r="M7" s="97" t="s">
        <v>58</v>
      </c>
      <c r="N7" s="97">
        <v>0</v>
      </c>
      <c r="O7" s="97" t="s">
        <v>59</v>
      </c>
      <c r="P7" s="97" t="s">
        <v>60</v>
      </c>
      <c r="S7" s="1"/>
      <c r="T7" s="1"/>
      <c r="U7" s="1"/>
      <c r="V7" s="1"/>
    </row>
    <row r="8" spans="1:22" s="92" customFormat="1" ht="35.1" customHeight="1" x14ac:dyDescent="0.2">
      <c r="D8" s="95" t="e">
        <f>#REF!/2</f>
        <v>#REF!</v>
      </c>
      <c r="E8" s="92">
        <f>SUM(F8:I8)</f>
        <v>5000</v>
      </c>
      <c r="F8" s="97">
        <v>1600</v>
      </c>
      <c r="G8" s="97">
        <v>1700</v>
      </c>
      <c r="H8" s="97">
        <v>0</v>
      </c>
      <c r="I8" s="97">
        <v>1700</v>
      </c>
      <c r="L8" s="92" t="s">
        <v>61</v>
      </c>
      <c r="M8" s="97" t="s">
        <v>62</v>
      </c>
      <c r="N8" s="97" t="s">
        <v>63</v>
      </c>
      <c r="O8" s="97">
        <v>0</v>
      </c>
      <c r="P8" s="97" t="s">
        <v>64</v>
      </c>
      <c r="S8" s="1"/>
      <c r="T8" s="1"/>
      <c r="U8" s="1"/>
      <c r="V8" s="1"/>
    </row>
    <row r="9" spans="1:22" s="92" customFormat="1" ht="35.1" customHeight="1" x14ac:dyDescent="0.2">
      <c r="D9" s="95" t="e">
        <f>#REF!/2</f>
        <v>#REF!</v>
      </c>
      <c r="E9" s="92">
        <f>SUM(F9:I9)</f>
        <v>5000</v>
      </c>
      <c r="F9" s="97">
        <v>1700</v>
      </c>
      <c r="G9" s="97">
        <v>1600</v>
      </c>
      <c r="H9" s="97">
        <v>1700</v>
      </c>
      <c r="I9" s="97">
        <v>0</v>
      </c>
      <c r="L9" s="92" t="s">
        <v>65</v>
      </c>
      <c r="M9" s="97" t="s">
        <v>66</v>
      </c>
      <c r="N9" s="97" t="s">
        <v>67</v>
      </c>
      <c r="O9" s="97" t="s">
        <v>68</v>
      </c>
      <c r="P9" s="97">
        <v>0</v>
      </c>
      <c r="S9" s="1"/>
      <c r="T9" s="1"/>
      <c r="U9" s="1"/>
      <c r="V9" s="1"/>
    </row>
    <row r="10" spans="1:22" s="92" customFormat="1" ht="35.1" customHeight="1" x14ac:dyDescent="0.2">
      <c r="A10" s="98" t="s">
        <v>69</v>
      </c>
      <c r="D10" s="95" t="e">
        <f>ROUND(SUM(D6:D9),0)</f>
        <v>#REF!</v>
      </c>
      <c r="F10" s="99">
        <v>1250</v>
      </c>
      <c r="G10" s="99">
        <v>1250</v>
      </c>
      <c r="H10" s="99"/>
      <c r="I10" s="99">
        <v>1250</v>
      </c>
      <c r="M10" s="99"/>
      <c r="N10" s="99"/>
      <c r="O10" s="99"/>
      <c r="P10" s="99"/>
    </row>
    <row r="11" spans="1:22" s="92" customFormat="1" ht="35.1" customHeight="1" x14ac:dyDescent="0.2">
      <c r="A11" s="92">
        <v>1</v>
      </c>
      <c r="C11" s="92" t="s">
        <v>70</v>
      </c>
    </row>
    <row r="12" spans="1:22" s="92" customFormat="1" ht="35.1" customHeight="1" x14ac:dyDescent="0.2">
      <c r="F12" s="96">
        <f>SUM(F13:F16)</f>
        <v>12450</v>
      </c>
      <c r="G12" s="96">
        <f>SUM(G13:G16)</f>
        <v>10850</v>
      </c>
      <c r="H12" s="96">
        <f>SUM(H13:H16)</f>
        <v>10050</v>
      </c>
      <c r="I12" s="96">
        <f>SUM(I13:I16)</f>
        <v>11650</v>
      </c>
      <c r="M12" s="92" t="s">
        <v>71</v>
      </c>
    </row>
    <row r="13" spans="1:22" s="92" customFormat="1" ht="35.1" customHeight="1" x14ac:dyDescent="0.2">
      <c r="E13" s="92">
        <v>7500</v>
      </c>
      <c r="F13" s="97">
        <v>0</v>
      </c>
      <c r="G13" s="97">
        <f>IF(E6=0,0,(E13/E6)*G6)</f>
        <v>2550</v>
      </c>
      <c r="H13" s="97">
        <f>IF(E6=0,0,(E13/E6)*H6)</f>
        <v>2400</v>
      </c>
      <c r="I13" s="97">
        <f>IF(E6=0,0,(E13/E6)*I6)</f>
        <v>2550</v>
      </c>
      <c r="K13" s="96">
        <f>F12</f>
        <v>12450</v>
      </c>
      <c r="L13" s="96">
        <v>7500</v>
      </c>
      <c r="M13" s="100">
        <f>IF(L13=0,0,(K13-L13)/L13)</f>
        <v>0.66</v>
      </c>
    </row>
    <row r="14" spans="1:22" s="92" customFormat="1" ht="35.1" customHeight="1" x14ac:dyDescent="0.2">
      <c r="E14" s="92">
        <v>12500</v>
      </c>
      <c r="F14" s="97">
        <f>IF(E7=0,0,(E14/E7)*F7)</f>
        <v>4250</v>
      </c>
      <c r="G14" s="97">
        <v>0</v>
      </c>
      <c r="H14" s="97">
        <f>IF(E7=0,0,(E14/E7)*H7)</f>
        <v>4250</v>
      </c>
      <c r="I14" s="97">
        <f>IF(E7=0,0,(E14/E7)*I7)</f>
        <v>4000</v>
      </c>
      <c r="K14" s="96">
        <f>G12</f>
        <v>10850</v>
      </c>
      <c r="L14" s="96">
        <v>12500</v>
      </c>
      <c r="M14" s="100">
        <f>IF(L14=0,0,(K14-L14)/L14)</f>
        <v>-0.13200000000000001</v>
      </c>
    </row>
    <row r="15" spans="1:22" s="92" customFormat="1" ht="35.1" customHeight="1" x14ac:dyDescent="0.2">
      <c r="E15" s="92">
        <v>15000</v>
      </c>
      <c r="F15" s="97">
        <f>IF(E8=0,0,(E15/E8)*F8)</f>
        <v>4800</v>
      </c>
      <c r="G15" s="97">
        <f>IF(E8=0,0,(E15/E8)*G8)</f>
        <v>5100</v>
      </c>
      <c r="H15" s="97">
        <v>0</v>
      </c>
      <c r="I15" s="97">
        <f>IF(E8=0,0,(E15/E8)*I8)</f>
        <v>5100</v>
      </c>
      <c r="K15" s="96">
        <f>H12</f>
        <v>10050</v>
      </c>
      <c r="L15" s="96">
        <v>15000</v>
      </c>
      <c r="M15" s="100">
        <f>IF(L15=0,0,(K15-L15)/L15)</f>
        <v>-0.33</v>
      </c>
    </row>
    <row r="16" spans="1:22" s="92" customFormat="1" ht="35.1" customHeight="1" x14ac:dyDescent="0.2">
      <c r="E16" s="92">
        <v>10000</v>
      </c>
      <c r="F16" s="97">
        <f>IF(E9=0,0,(E16/E9)*F9)</f>
        <v>3400</v>
      </c>
      <c r="G16" s="97">
        <f>IF(E9=0,0,(E16/E9)*G9)</f>
        <v>3200</v>
      </c>
      <c r="H16" s="97">
        <f>IF(E9=0,0,(E16/E9)*H9)</f>
        <v>3400</v>
      </c>
      <c r="I16" s="97">
        <v>0</v>
      </c>
      <c r="K16" s="96">
        <f>I12</f>
        <v>11650</v>
      </c>
      <c r="L16" s="96">
        <v>10000</v>
      </c>
      <c r="M16" s="100">
        <f>IF(L16=0,0,(K16-L16)/L16)</f>
        <v>0.16500000000000001</v>
      </c>
    </row>
    <row r="17" spans="1:13" s="92" customFormat="1" ht="35.1" customHeight="1" x14ac:dyDescent="0.2">
      <c r="F17" s="99"/>
      <c r="G17" s="99"/>
      <c r="H17" s="99"/>
      <c r="I17" s="99"/>
      <c r="K17" s="92">
        <f>SUM(K13:K16)</f>
        <v>45000</v>
      </c>
      <c r="L17" s="92">
        <f>SUM(L13:L16)</f>
        <v>45000</v>
      </c>
      <c r="M17" s="100"/>
    </row>
    <row r="18" spans="1:13" s="92" customFormat="1" ht="35.1" customHeight="1" x14ac:dyDescent="0.2">
      <c r="C18" s="92" t="s">
        <v>72</v>
      </c>
    </row>
    <row r="19" spans="1:13" s="92" customFormat="1" ht="35.1" customHeight="1" x14ac:dyDescent="0.2">
      <c r="F19" s="96">
        <v>7500</v>
      </c>
      <c r="G19" s="96">
        <v>12500</v>
      </c>
      <c r="H19" s="96">
        <v>15000</v>
      </c>
      <c r="I19" s="96">
        <v>10000</v>
      </c>
      <c r="M19" s="92" t="s">
        <v>71</v>
      </c>
    </row>
    <row r="20" spans="1:13" s="92" customFormat="1" ht="35.1" customHeight="1" x14ac:dyDescent="0.2">
      <c r="E20" s="96">
        <f>SUM(F20:I20)</f>
        <v>8708.7187723887255</v>
      </c>
      <c r="F20" s="101">
        <v>0</v>
      </c>
      <c r="G20" s="101">
        <f>IF(G12=0,0,(G19/G12)*G13)</f>
        <v>2937.7880184331793</v>
      </c>
      <c r="H20" s="101">
        <f>IF(H12=0,0,(H19/H12)*H13)</f>
        <v>3582.0895522388064</v>
      </c>
      <c r="I20" s="101">
        <f>IF(I12=0,0,(I19/I12)*I13)</f>
        <v>2188.8412017167384</v>
      </c>
      <c r="K20" s="96">
        <f>E20</f>
        <v>8708.7187723887255</v>
      </c>
      <c r="L20" s="92">
        <v>7500</v>
      </c>
      <c r="M20" s="100">
        <f>IF(L20=0,0,(K20-L20)/L20)</f>
        <v>0.16116250298516341</v>
      </c>
    </row>
    <row r="21" spans="1:13" s="92" customFormat="1" ht="35.1" customHeight="1" x14ac:dyDescent="0.2">
      <c r="E21" s="96">
        <f>SUM(F21:I21)</f>
        <v>12337.00094079476</v>
      </c>
      <c r="F21" s="101">
        <f>IF(F12=0,0,(F19/F12)*F14)</f>
        <v>2560.2409638554218</v>
      </c>
      <c r="G21" s="101">
        <v>0</v>
      </c>
      <c r="H21" s="101">
        <f>IF(H12=0,0,(H19/H12)*H14)</f>
        <v>6343.2835820895525</v>
      </c>
      <c r="I21" s="101">
        <f>IF(I12=0,0,(I19/I12)*I14)</f>
        <v>3433.4763948497857</v>
      </c>
      <c r="K21" s="96">
        <f>E21</f>
        <v>12337.00094079476</v>
      </c>
      <c r="L21" s="92">
        <v>12500</v>
      </c>
      <c r="M21" s="100">
        <f>IF(L21=0,0,(K21-L21)/L21)</f>
        <v>-1.3039924736419198E-2</v>
      </c>
    </row>
    <row r="22" spans="1:13" s="92" customFormat="1" ht="35.1" customHeight="1" x14ac:dyDescent="0.2">
      <c r="E22" s="96">
        <f>SUM(F22:I22)</f>
        <v>13144.824705360077</v>
      </c>
      <c r="F22" s="101">
        <f>IF(F12=0,0,(F19/F12)*F15)</f>
        <v>2891.5662650602412</v>
      </c>
      <c r="G22" s="101">
        <f>IF(G12=0,0,(G19/G12)*G15)</f>
        <v>5875.5760368663587</v>
      </c>
      <c r="H22" s="101">
        <v>0</v>
      </c>
      <c r="I22" s="101">
        <f>IF(I12=0,0,(I19/I12)*I15)</f>
        <v>4377.6824034334768</v>
      </c>
      <c r="K22" s="96">
        <f>E22</f>
        <v>13144.824705360077</v>
      </c>
      <c r="L22" s="92">
        <v>15000</v>
      </c>
      <c r="M22" s="100">
        <f>IF(L22=0,0,(K22-L22)/L22)</f>
        <v>-0.12367835297599486</v>
      </c>
    </row>
    <row r="23" spans="1:13" s="92" customFormat="1" ht="35.1" customHeight="1" x14ac:dyDescent="0.2">
      <c r="E23" s="96">
        <f>SUM(F23:I23)</f>
        <v>10809.455581456441</v>
      </c>
      <c r="F23" s="101">
        <f>IF(F12=0,0,(F19/F12)*F16)</f>
        <v>2048.1927710843374</v>
      </c>
      <c r="G23" s="101">
        <f>IF(G12=0,0,(G19/G12)*G16)</f>
        <v>3686.6359447004606</v>
      </c>
      <c r="H23" s="101">
        <f>IF(H12=0,0,(H19/H12)*H16)</f>
        <v>5074.626865671642</v>
      </c>
      <c r="I23" s="101">
        <v>0</v>
      </c>
      <c r="K23" s="96">
        <f>E23</f>
        <v>10809.455581456441</v>
      </c>
      <c r="L23" s="92">
        <v>10000</v>
      </c>
      <c r="M23" s="100">
        <f>IF(L23=0,0,(K23-L23)/L23)</f>
        <v>8.0945558145644095E-2</v>
      </c>
    </row>
    <row r="24" spans="1:13" s="92" customFormat="1" ht="35.1" customHeight="1" x14ac:dyDescent="0.2">
      <c r="A24" s="98" t="s">
        <v>69</v>
      </c>
      <c r="K24" s="92">
        <f>SUM(K20:K23)</f>
        <v>45000</v>
      </c>
      <c r="L24" s="92">
        <f>SUM(L20:L23)</f>
        <v>45000</v>
      </c>
      <c r="M24" s="100"/>
    </row>
    <row r="25" spans="1:13" s="92" customFormat="1" ht="35.1" customHeight="1" x14ac:dyDescent="0.2">
      <c r="A25" s="92">
        <v>2</v>
      </c>
      <c r="C25" s="92" t="s">
        <v>70</v>
      </c>
    </row>
    <row r="26" spans="1:13" s="92" customFormat="1" ht="35.1" customHeight="1" x14ac:dyDescent="0.2">
      <c r="F26" s="96">
        <f>SUM(F27:F30)</f>
        <v>7788.5464240299643</v>
      </c>
      <c r="G26" s="96">
        <f>SUM(G27:G30)</f>
        <v>12645.422898011984</v>
      </c>
      <c r="H26" s="96">
        <f>SUM(H27:H30)</f>
        <v>14206.627406672253</v>
      </c>
      <c r="I26" s="96">
        <f>SUM(I27:I30)</f>
        <v>10359.403271285799</v>
      </c>
      <c r="M26" s="92" t="s">
        <v>71</v>
      </c>
    </row>
    <row r="27" spans="1:13" s="92" customFormat="1" ht="35.1" customHeight="1" x14ac:dyDescent="0.2">
      <c r="E27" s="92">
        <v>7500</v>
      </c>
      <c r="F27" s="97">
        <v>0</v>
      </c>
      <c r="G27" s="97">
        <f>IF(E20=0,0,(E27/E20)*G20)</f>
        <v>2530.0403783971628</v>
      </c>
      <c r="H27" s="97">
        <f>IF(E20=0,0,(E27/E20)*H20)</f>
        <v>3084.9166615610015</v>
      </c>
      <c r="I27" s="97">
        <f>IF(E20=0,0,(E27/E20)*I20)</f>
        <v>1885.0429600418349</v>
      </c>
      <c r="K27" s="96">
        <f>F26</f>
        <v>7788.5464240299643</v>
      </c>
      <c r="L27" s="96">
        <v>7500</v>
      </c>
      <c r="M27" s="100">
        <f>IF(L27=0,0,(K27-L27)/L27)</f>
        <v>3.8472856537328577E-2</v>
      </c>
    </row>
    <row r="28" spans="1:13" s="92" customFormat="1" ht="35.1" customHeight="1" x14ac:dyDescent="0.2">
      <c r="E28" s="92">
        <v>12500</v>
      </c>
      <c r="F28" s="97">
        <f>IF(E21=0,0,(E28/E21)*F21)</f>
        <v>2594.0674076118789</v>
      </c>
      <c r="G28" s="97">
        <v>0</v>
      </c>
      <c r="H28" s="97">
        <f>IF(E21=0,0,(E28/E21)*H21)</f>
        <v>6427.0923830383863</v>
      </c>
      <c r="I28" s="97">
        <f>IF(E21=0,0,(E28/E21)*I21)</f>
        <v>3478.8402093497352</v>
      </c>
      <c r="K28" s="96">
        <f>G26</f>
        <v>12645.422898011984</v>
      </c>
      <c r="L28" s="96">
        <v>12500</v>
      </c>
      <c r="M28" s="100">
        <f>IF(L28=0,0,(K28-L28)/L28)</f>
        <v>1.1633831840958737E-2</v>
      </c>
    </row>
    <row r="29" spans="1:13" s="92" customFormat="1" ht="35.1" customHeight="1" x14ac:dyDescent="0.2">
      <c r="E29" s="92">
        <v>15000</v>
      </c>
      <c r="F29" s="97">
        <f>IF(E22=0,0,(E29/E22)*F22)</f>
        <v>3299.6631714850614</v>
      </c>
      <c r="G29" s="97">
        <f>IF(E22=0,0,(E29/E22)*G22)</f>
        <v>6704.8167266207092</v>
      </c>
      <c r="H29" s="97">
        <v>0</v>
      </c>
      <c r="I29" s="97">
        <f>IF(E22=0,0,(E29/E22)*I22)</f>
        <v>4995.5201018942289</v>
      </c>
      <c r="K29" s="96">
        <f>H26</f>
        <v>14206.627406672253</v>
      </c>
      <c r="L29" s="96">
        <v>15000</v>
      </c>
      <c r="M29" s="100">
        <f>IF(L29=0,0,(K29-L29)/L29)</f>
        <v>-5.2891506221849828E-2</v>
      </c>
    </row>
    <row r="30" spans="1:13" s="92" customFormat="1" ht="35.1" customHeight="1" x14ac:dyDescent="0.2">
      <c r="E30" s="92">
        <v>10000</v>
      </c>
      <c r="F30" s="97">
        <f>IF(E23=0,0,(E30/E23)*F23)</f>
        <v>1894.8158449330235</v>
      </c>
      <c r="G30" s="97">
        <f>IF(E23=0,0,(E30/E23)*G23)</f>
        <v>3410.5657929941108</v>
      </c>
      <c r="H30" s="97">
        <f>IF(E23=0,0,(E30/E23)*H23)</f>
        <v>4694.6183620728643</v>
      </c>
      <c r="I30" s="97">
        <v>0</v>
      </c>
      <c r="K30" s="96">
        <f>I26</f>
        <v>10359.403271285799</v>
      </c>
      <c r="L30" s="96">
        <v>10000</v>
      </c>
      <c r="M30" s="100">
        <f>IF(L30=0,0,(K30-L30)/L30)</f>
        <v>3.5940327128579884E-2</v>
      </c>
    </row>
    <row r="31" spans="1:13" s="92" customFormat="1" ht="35.1" customHeight="1" x14ac:dyDescent="0.2">
      <c r="F31" s="99"/>
      <c r="G31" s="99"/>
      <c r="H31" s="99"/>
      <c r="I31" s="99"/>
      <c r="K31" s="92">
        <f>SUM(K27:K30)</f>
        <v>45000</v>
      </c>
      <c r="L31" s="92">
        <f>SUM(L27:L30)</f>
        <v>45000</v>
      </c>
      <c r="M31" s="100"/>
    </row>
    <row r="32" spans="1:13" s="92" customFormat="1" ht="35.1" customHeight="1" x14ac:dyDescent="0.2">
      <c r="C32" s="92" t="s">
        <v>72</v>
      </c>
    </row>
    <row r="33" spans="1:13" s="92" customFormat="1" ht="35.1" customHeight="1" x14ac:dyDescent="0.2">
      <c r="F33" s="96">
        <v>7500</v>
      </c>
      <c r="G33" s="96">
        <v>12500</v>
      </c>
      <c r="H33" s="96">
        <v>15000</v>
      </c>
      <c r="I33" s="96">
        <v>10000</v>
      </c>
      <c r="M33" s="92" t="s">
        <v>71</v>
      </c>
    </row>
    <row r="34" spans="1:13" s="92" customFormat="1" ht="35.1" customHeight="1" x14ac:dyDescent="0.2">
      <c r="E34" s="96">
        <f>SUM(F34:I34)</f>
        <v>7577.7837434777603</v>
      </c>
      <c r="F34" s="101">
        <v>0</v>
      </c>
      <c r="G34" s="101">
        <f>IF(G26=0,0,(G33/G26)*G27)</f>
        <v>2500.9448070682124</v>
      </c>
      <c r="H34" s="101">
        <f>IF(H26=0,0,(H33/H26)*H27)</f>
        <v>3257.1945894549326</v>
      </c>
      <c r="I34" s="101">
        <f>IF(I26=0,0,(I33/I26)*I27)</f>
        <v>1819.644346954615</v>
      </c>
      <c r="K34" s="96">
        <f>E34</f>
        <v>7577.7837434777603</v>
      </c>
      <c r="L34" s="92">
        <v>7500</v>
      </c>
      <c r="M34" s="100">
        <f>IF(L34=0,0,(K34-L34)/L34)</f>
        <v>1.03711657970347E-2</v>
      </c>
    </row>
    <row r="35" spans="1:13" s="92" customFormat="1" ht="35.1" customHeight="1" x14ac:dyDescent="0.2">
      <c r="E35" s="96">
        <f>SUM(F35:I35)</f>
        <v>12642.125843035325</v>
      </c>
      <c r="F35" s="101">
        <f>IF(F26=0,0,(F33/F26)*F28)</f>
        <v>2497.9636119344573</v>
      </c>
      <c r="G35" s="101">
        <v>0</v>
      </c>
      <c r="H35" s="101">
        <f>IF(H26=0,0,(H33/H26)*H28)</f>
        <v>6786.0149341495207</v>
      </c>
      <c r="I35" s="101">
        <f>IF(I26=0,0,(I33/I26)*I28)</f>
        <v>3358.1472969513475</v>
      </c>
      <c r="K35" s="96">
        <f>E35</f>
        <v>12642.125843035325</v>
      </c>
      <c r="L35" s="92">
        <v>12500</v>
      </c>
      <c r="M35" s="100">
        <f>IF(L35=0,0,(K35-L35)/L35)</f>
        <v>1.1370067442825966E-2</v>
      </c>
    </row>
    <row r="36" spans="1:13" s="92" customFormat="1" ht="35.1" customHeight="1" x14ac:dyDescent="0.2">
      <c r="E36" s="96">
        <f>SUM(F36:I36)</f>
        <v>14627.338200921775</v>
      </c>
      <c r="F36" s="101">
        <f>IF(F26=0,0,(F33/F26)*F29)</f>
        <v>3177.4187940620986</v>
      </c>
      <c r="G36" s="101">
        <f>IF(G26=0,0,(G33/G26)*G29)</f>
        <v>6627.711050765638</v>
      </c>
      <c r="H36" s="101">
        <v>0</v>
      </c>
      <c r="I36" s="101">
        <f>IF(I26=0,0,(I33/I26)*I29)</f>
        <v>4822.2083560940382</v>
      </c>
      <c r="K36" s="96">
        <f>E36</f>
        <v>14627.338200921775</v>
      </c>
      <c r="L36" s="92">
        <v>15000</v>
      </c>
      <c r="M36" s="100">
        <f>IF(L36=0,0,(K36-L36)/L36)</f>
        <v>-2.4844119938548345E-2</v>
      </c>
    </row>
    <row r="37" spans="1:13" s="92" customFormat="1" ht="35.1" customHeight="1" x14ac:dyDescent="0.2">
      <c r="E37" s="96">
        <f>SUM(F37:I37)</f>
        <v>10152.752212565138</v>
      </c>
      <c r="F37" s="101">
        <f>IF(F26=0,0,(F33/F26)*F30)</f>
        <v>1824.6175940034434</v>
      </c>
      <c r="G37" s="101">
        <f>IF(G26=0,0,(G33/G26)*G30)</f>
        <v>3371.3441421661487</v>
      </c>
      <c r="H37" s="101">
        <f>IF(H26=0,0,(H33/H26)*H30)</f>
        <v>4956.7904763955448</v>
      </c>
      <c r="I37" s="101">
        <v>0</v>
      </c>
      <c r="K37" s="96">
        <f>E37</f>
        <v>10152.752212565138</v>
      </c>
      <c r="L37" s="92">
        <v>10000</v>
      </c>
      <c r="M37" s="100">
        <f>IF(L37=0,0,(K37-L37)/L37)</f>
        <v>1.527522125651376E-2</v>
      </c>
    </row>
    <row r="38" spans="1:13" s="92" customFormat="1" ht="35.1" customHeight="1" x14ac:dyDescent="0.2">
      <c r="A38" s="98" t="s">
        <v>69</v>
      </c>
      <c r="K38" s="92">
        <f>SUM(K34:K37)</f>
        <v>44999.999999999993</v>
      </c>
      <c r="L38" s="92">
        <f>SUM(L34:L37)</f>
        <v>45000</v>
      </c>
      <c r="M38" s="100"/>
    </row>
    <row r="39" spans="1:13" ht="35.1" customHeight="1" x14ac:dyDescent="0.2">
      <c r="A39" s="92">
        <v>3</v>
      </c>
      <c r="C39" s="92" t="s">
        <v>70</v>
      </c>
      <c r="D39" s="92"/>
      <c r="E39" s="92"/>
      <c r="F39" s="92"/>
      <c r="G39" s="92"/>
      <c r="H39" s="92"/>
      <c r="I39" s="92"/>
      <c r="J39" s="92"/>
      <c r="K39" s="92"/>
      <c r="L39" s="92"/>
      <c r="M39" s="92"/>
    </row>
    <row r="40" spans="1:13" ht="35.1" customHeight="1" x14ac:dyDescent="0.2">
      <c r="C40" s="92"/>
      <c r="D40" s="92"/>
      <c r="E40" s="92"/>
      <c r="F40" s="96">
        <f>SUM(F41:F44)</f>
        <v>7525.4165254239033</v>
      </c>
      <c r="G40" s="96">
        <f>SUM(G41:G44)</f>
        <v>12592.460005071114</v>
      </c>
      <c r="H40" s="96">
        <f>SUM(H41:H44)</f>
        <v>14815.698928578542</v>
      </c>
      <c r="I40" s="96">
        <f>SUM(I41:I44)</f>
        <v>10066.424540926437</v>
      </c>
      <c r="J40" s="92"/>
      <c r="K40" s="92"/>
      <c r="L40" s="92"/>
      <c r="M40" s="92" t="s">
        <v>71</v>
      </c>
    </row>
    <row r="41" spans="1:13" ht="35.1" customHeight="1" x14ac:dyDescent="0.2">
      <c r="C41" s="92"/>
      <c r="D41" s="92"/>
      <c r="E41" s="92">
        <v>7500</v>
      </c>
      <c r="F41" s="97">
        <v>0</v>
      </c>
      <c r="G41" s="97">
        <f>IF(E34=0,0,(E41/E34)*G34)</f>
        <v>2475.2733368982613</v>
      </c>
      <c r="H41" s="97">
        <f>IF(E34=0,0,(E41/E34)*H34)</f>
        <v>3223.7604354885598</v>
      </c>
      <c r="I41" s="97">
        <f>IF(E34=0,0,(E41/E34)*I34)</f>
        <v>1800.9662276131785</v>
      </c>
      <c r="J41" s="92"/>
      <c r="K41" s="96">
        <f>F40</f>
        <v>7525.4165254239033</v>
      </c>
      <c r="L41" s="96">
        <v>7500</v>
      </c>
      <c r="M41" s="100">
        <f>IF(L41=0,0,(K41-L41)/L41)</f>
        <v>3.3888700565204394E-3</v>
      </c>
    </row>
    <row r="42" spans="1:13" ht="35.1" customHeight="1" x14ac:dyDescent="0.2">
      <c r="C42" s="92"/>
      <c r="D42" s="92"/>
      <c r="E42" s="92">
        <v>12500</v>
      </c>
      <c r="F42" s="97">
        <f>IF(E35=0,0,(E42/E35)*F35)</f>
        <v>2469.8808995310415</v>
      </c>
      <c r="G42" s="97">
        <v>0</v>
      </c>
      <c r="H42" s="97">
        <f>IF(E35=0,0,(E42/E35)*H35)</f>
        <v>6709.7249094067565</v>
      </c>
      <c r="I42" s="97">
        <f>IF(E35=0,0,(E42/E35)*I35)</f>
        <v>3320.3941910622025</v>
      </c>
      <c r="J42" s="92"/>
      <c r="K42" s="96">
        <f>G40</f>
        <v>12592.460005071114</v>
      </c>
      <c r="L42" s="96">
        <v>12500</v>
      </c>
      <c r="M42" s="100">
        <f>IF(L42=0,0,(K42-L42)/L42)</f>
        <v>7.396800405689137E-3</v>
      </c>
    </row>
    <row r="43" spans="1:13" ht="35.1" customHeight="1" x14ac:dyDescent="0.2">
      <c r="C43" s="92"/>
      <c r="D43" s="92"/>
      <c r="E43" s="92">
        <v>15000</v>
      </c>
      <c r="F43" s="97">
        <f>IF(E36=0,0,(E43/E36)*F36)</f>
        <v>3258.3701324365352</v>
      </c>
      <c r="G43" s="97">
        <f>IF(E36=0,0,(E43/E36)*G36)</f>
        <v>6796.5657453124077</v>
      </c>
      <c r="H43" s="97">
        <v>0</v>
      </c>
      <c r="I43" s="97">
        <f>IF(E36=0,0,(E43/E36)*I36)</f>
        <v>4945.0641222510549</v>
      </c>
      <c r="J43" s="92"/>
      <c r="K43" s="96">
        <f>H40</f>
        <v>14815.698928578542</v>
      </c>
      <c r="L43" s="96">
        <v>15000</v>
      </c>
      <c r="M43" s="100">
        <f>IF(L43=0,0,(K43-L43)/L43)</f>
        <v>-1.228673809476386E-2</v>
      </c>
    </row>
    <row r="44" spans="1:13" ht="35.1" customHeight="1" x14ac:dyDescent="0.2">
      <c r="C44" s="92"/>
      <c r="D44" s="92"/>
      <c r="E44" s="92">
        <v>10000</v>
      </c>
      <c r="F44" s="97">
        <f>IF(E37=0,0,(E44/E37)*F37)</f>
        <v>1797.1654934563262</v>
      </c>
      <c r="G44" s="97">
        <f>IF(E37=0,0,(E44/E37)*G37)</f>
        <v>3320.6209228604462</v>
      </c>
      <c r="H44" s="97">
        <f>IF(E37=0,0,(E44/E37)*H37)</f>
        <v>4882.2135836832267</v>
      </c>
      <c r="I44" s="97">
        <v>0</v>
      </c>
      <c r="J44" s="92"/>
      <c r="K44" s="96">
        <f>I40</f>
        <v>10066.424540926437</v>
      </c>
      <c r="L44" s="96">
        <v>10000</v>
      </c>
      <c r="M44" s="100">
        <f>IF(L44=0,0,(K44-L44)/L44)</f>
        <v>6.6424540926436747E-3</v>
      </c>
    </row>
    <row r="45" spans="1:13" ht="35.1" customHeight="1" x14ac:dyDescent="0.2">
      <c r="C45" s="92"/>
      <c r="D45" s="92"/>
      <c r="E45" s="92"/>
      <c r="F45" s="99"/>
      <c r="G45" s="99"/>
      <c r="H45" s="99"/>
      <c r="I45" s="99"/>
      <c r="J45" s="92"/>
      <c r="K45" s="92">
        <f>SUM(K41:K44)</f>
        <v>45000</v>
      </c>
      <c r="L45" s="92">
        <f>SUM(L41:L44)</f>
        <v>45000</v>
      </c>
      <c r="M45" s="100"/>
    </row>
    <row r="46" spans="1:13" ht="35.1" customHeight="1" x14ac:dyDescent="0.2">
      <c r="C46" s="92" t="s">
        <v>72</v>
      </c>
      <c r="D46" s="92"/>
      <c r="E46" s="92"/>
      <c r="F46" s="92"/>
      <c r="G46" s="92"/>
      <c r="H46" s="92"/>
      <c r="I46" s="92"/>
      <c r="J46" s="92"/>
      <c r="K46" s="92"/>
      <c r="L46" s="92"/>
      <c r="M46" s="92"/>
    </row>
    <row r="47" spans="1:13" ht="35.1" customHeight="1" x14ac:dyDescent="0.2">
      <c r="C47" s="92"/>
      <c r="D47" s="92"/>
      <c r="E47" s="92"/>
      <c r="F47" s="96">
        <v>7500</v>
      </c>
      <c r="G47" s="96">
        <v>12500</v>
      </c>
      <c r="H47" s="96">
        <v>15000</v>
      </c>
      <c r="I47" s="96">
        <v>10000</v>
      </c>
      <c r="J47" s="92"/>
      <c r="K47" s="92"/>
      <c r="L47" s="92"/>
      <c r="M47" s="92" t="s">
        <v>71</v>
      </c>
    </row>
    <row r="48" spans="1:13" ht="35.1" customHeight="1" x14ac:dyDescent="0.2">
      <c r="C48" s="92"/>
      <c r="D48" s="92"/>
      <c r="E48" s="96">
        <f>SUM(F48:I48)</f>
        <v>7510.0436600200683</v>
      </c>
      <c r="F48" s="101">
        <v>0</v>
      </c>
      <c r="G48" s="101">
        <f>IF(G40=0,0,(G47/G40)*G41)</f>
        <v>2457.0986684705003</v>
      </c>
      <c r="H48" s="101">
        <f>IF(H40=0,0,(H47/H40)*H41)</f>
        <v>3263.862661183804</v>
      </c>
      <c r="I48" s="101">
        <f>IF(I40=0,0,(I47/I40)*I41)</f>
        <v>1789.0823303657639</v>
      </c>
      <c r="J48" s="92"/>
      <c r="K48" s="96">
        <f>E48</f>
        <v>7510.0436600200683</v>
      </c>
      <c r="L48" s="92">
        <v>7500</v>
      </c>
      <c r="M48" s="100">
        <f>IF(L48=0,0,(K48-L48)/L48)</f>
        <v>1.3391546693424365E-3</v>
      </c>
    </row>
    <row r="49" spans="1:13" ht="35.1" customHeight="1" x14ac:dyDescent="0.2">
      <c r="C49" s="92"/>
      <c r="D49" s="92"/>
      <c r="E49" s="96">
        <f>SUM(F49:I49)</f>
        <v>12553.214293848263</v>
      </c>
      <c r="F49" s="101">
        <f>IF(F40=0,0,(F47/F40)*F42)</f>
        <v>2461.5390635057715</v>
      </c>
      <c r="G49" s="101">
        <v>0</v>
      </c>
      <c r="H49" s="101">
        <f>IF(H40=0,0,(H47/H40)*H42)</f>
        <v>6793.1910688979951</v>
      </c>
      <c r="I49" s="101">
        <f>IF(I40=0,0,(I47/I40)*I42)</f>
        <v>3298.4841614444954</v>
      </c>
      <c r="J49" s="92"/>
      <c r="K49" s="96">
        <f>E49</f>
        <v>12553.214293848263</v>
      </c>
      <c r="L49" s="92">
        <v>12500</v>
      </c>
      <c r="M49" s="100">
        <f>IF(L49=0,0,(K49-L49)/L49)</f>
        <v>4.2571435078610376E-3</v>
      </c>
    </row>
    <row r="50" spans="1:13" ht="35.1" customHeight="1" x14ac:dyDescent="0.2">
      <c r="C50" s="92"/>
      <c r="D50" s="92"/>
      <c r="E50" s="96">
        <f>SUM(F50:I50)</f>
        <v>14906.460774674197</v>
      </c>
      <c r="F50" s="101">
        <f>IF(F40=0,0,(F47/F40)*F43)</f>
        <v>3247.3652336336886</v>
      </c>
      <c r="G50" s="101">
        <f>IF(G40=0,0,(G47/G40)*G43)</f>
        <v>6746.6620328507697</v>
      </c>
      <c r="H50" s="101">
        <v>0</v>
      </c>
      <c r="I50" s="101">
        <f>IF(I40=0,0,(I47/I40)*I43)</f>
        <v>4912.4335081897398</v>
      </c>
      <c r="J50" s="92"/>
      <c r="K50" s="96">
        <f>E50</f>
        <v>14906.460774674197</v>
      </c>
      <c r="L50" s="92">
        <v>15000</v>
      </c>
      <c r="M50" s="100">
        <f>IF(L50=0,0,(K50-L50)/L50)</f>
        <v>-6.2359483550535515E-3</v>
      </c>
    </row>
    <row r="51" spans="1:13" ht="35.1" customHeight="1" x14ac:dyDescent="0.2">
      <c r="C51" s="92"/>
      <c r="D51" s="92"/>
      <c r="E51" s="96">
        <f>SUM(F51:I51)</f>
        <v>10030.281271457472</v>
      </c>
      <c r="F51" s="101">
        <f>IF(F40=0,0,(F47/F40)*F44)</f>
        <v>1791.0957028605396</v>
      </c>
      <c r="G51" s="101">
        <f>IF(G40=0,0,(G47/G40)*G44)</f>
        <v>3296.2392986787308</v>
      </c>
      <c r="H51" s="101">
        <f>IF(H40=0,0,(H47/H40)*H44)</f>
        <v>4942.9462699182013</v>
      </c>
      <c r="I51" s="101">
        <v>0</v>
      </c>
      <c r="J51" s="92"/>
      <c r="K51" s="96">
        <f>E51</f>
        <v>10030.281271457472</v>
      </c>
      <c r="L51" s="92">
        <v>10000</v>
      </c>
      <c r="M51" s="100">
        <f>IF(L51=0,0,(K51-L51)/L51)</f>
        <v>3.0281271457472032E-3</v>
      </c>
    </row>
    <row r="52" spans="1:13" ht="35.1" customHeight="1" x14ac:dyDescent="0.2">
      <c r="A52" s="98" t="s">
        <v>69</v>
      </c>
      <c r="C52" s="92"/>
      <c r="D52" s="92"/>
      <c r="E52" s="92"/>
      <c r="F52" s="92"/>
      <c r="G52" s="92"/>
      <c r="H52" s="92"/>
      <c r="I52" s="92"/>
      <c r="J52" s="92"/>
      <c r="K52" s="92">
        <f>SUM(K48:K51)</f>
        <v>45000</v>
      </c>
      <c r="L52" s="92">
        <f>SUM(L48:L51)</f>
        <v>45000</v>
      </c>
      <c r="M52" s="100"/>
    </row>
    <row r="53" spans="1:13" ht="35.1" customHeight="1" x14ac:dyDescent="0.2">
      <c r="A53" s="92">
        <v>4</v>
      </c>
      <c r="C53" s="92" t="s">
        <v>70</v>
      </c>
      <c r="D53" s="92"/>
      <c r="E53" s="92"/>
      <c r="F53" s="92"/>
      <c r="G53" s="92"/>
      <c r="H53" s="92"/>
      <c r="I53" s="92"/>
      <c r="J53" s="92"/>
      <c r="K53" s="92"/>
      <c r="L53" s="92"/>
      <c r="M53" s="92"/>
    </row>
    <row r="54" spans="1:13" ht="35.1" customHeight="1" x14ac:dyDescent="0.2">
      <c r="C54" s="92"/>
      <c r="D54" s="92"/>
      <c r="E54" s="92"/>
      <c r="F54" s="96">
        <f>SUM(F55:F58)</f>
        <v>7504.5354801997091</v>
      </c>
      <c r="G54" s="96">
        <f>SUM(G55:G58)</f>
        <v>12529.098507568237</v>
      </c>
      <c r="H54" s="96">
        <f>SUM(H55:H58)</f>
        <v>14951.915350137035</v>
      </c>
      <c r="I54" s="96">
        <f>SUM(I55:I58)</f>
        <v>10014.450662095016</v>
      </c>
      <c r="J54" s="92"/>
      <c r="K54" s="92"/>
      <c r="L54" s="92"/>
      <c r="M54" s="92" t="s">
        <v>71</v>
      </c>
    </row>
    <row r="55" spans="1:13" ht="35.1" customHeight="1" x14ac:dyDescent="0.2">
      <c r="C55" s="92"/>
      <c r="D55" s="92"/>
      <c r="E55" s="92">
        <v>7500</v>
      </c>
      <c r="F55" s="97">
        <v>0</v>
      </c>
      <c r="G55" s="97">
        <f>IF(E48=0,0,(E55/E48)*G48)</f>
        <v>2453.8126338242232</v>
      </c>
      <c r="H55" s="97">
        <f>IF(E48=0,0,(E55/E48)*H48)</f>
        <v>3259.4976896330209</v>
      </c>
      <c r="I55" s="97">
        <f>IF(E48=0,0,(E55/E48)*I48)</f>
        <v>1786.6896765427557</v>
      </c>
      <c r="J55" s="92"/>
      <c r="K55" s="96">
        <f>F54</f>
        <v>7504.5354801997091</v>
      </c>
      <c r="L55" s="96">
        <v>7500</v>
      </c>
      <c r="M55" s="100">
        <f>IF(L55=0,0,(K55-L55)/L55)</f>
        <v>6.0473069329455029E-4</v>
      </c>
    </row>
    <row r="56" spans="1:13" ht="35.1" customHeight="1" x14ac:dyDescent="0.2">
      <c r="C56" s="92"/>
      <c r="D56" s="92"/>
      <c r="E56" s="92">
        <v>12500</v>
      </c>
      <c r="F56" s="97">
        <f>IF(E49=0,0,(E56/E49)*F49)</f>
        <v>2451.1043604904198</v>
      </c>
      <c r="G56" s="97">
        <v>0</v>
      </c>
      <c r="H56" s="97">
        <f>IF(E49=0,0,(E56/E49)*H49)</f>
        <v>6764.3940725872671</v>
      </c>
      <c r="I56" s="97">
        <f>IF(E49=0,0,(E56/E49)*I49)</f>
        <v>3284.5015669223126</v>
      </c>
      <c r="J56" s="92"/>
      <c r="K56" s="96">
        <f>G54</f>
        <v>12529.098507568237</v>
      </c>
      <c r="L56" s="96">
        <v>12500</v>
      </c>
      <c r="M56" s="100">
        <f>IF(L56=0,0,(K56-L56)/L56)</f>
        <v>2.3278806054589222E-3</v>
      </c>
    </row>
    <row r="57" spans="1:13" ht="35.1" customHeight="1" x14ac:dyDescent="0.2">
      <c r="C57" s="92"/>
      <c r="D57" s="92"/>
      <c r="E57" s="92">
        <v>15000</v>
      </c>
      <c r="F57" s="97">
        <f>IF(E50=0,0,(E57/E50)*F50)</f>
        <v>3267.7427084008791</v>
      </c>
      <c r="G57" s="97">
        <f>IF(E50=0,0,(E57/E50)*G50)</f>
        <v>6788.9978729691729</v>
      </c>
      <c r="H57" s="97">
        <v>0</v>
      </c>
      <c r="I57" s="97">
        <f>IF(E50=0,0,(E57/E50)*I50)</f>
        <v>4943.2594186299475</v>
      </c>
      <c r="J57" s="92"/>
      <c r="K57" s="96">
        <f>H54</f>
        <v>14951.915350137035</v>
      </c>
      <c r="L57" s="96">
        <v>15000</v>
      </c>
      <c r="M57" s="100">
        <f>IF(L57=0,0,(K57-L57)/L57)</f>
        <v>-3.2056433241976871E-3</v>
      </c>
    </row>
    <row r="58" spans="1:13" ht="35.1" customHeight="1" x14ac:dyDescent="0.2">
      <c r="C58" s="92"/>
      <c r="D58" s="92"/>
      <c r="E58" s="92">
        <v>10000</v>
      </c>
      <c r="F58" s="97">
        <f>IF(E51=0,0,(E58/E51)*F51)</f>
        <v>1785.6884113084104</v>
      </c>
      <c r="G58" s="97">
        <f>IF(E51=0,0,(E58/E51)*G51)</f>
        <v>3286.2880007748413</v>
      </c>
      <c r="H58" s="97">
        <f>IF(E51=0,0,(E58/E51)*H51)</f>
        <v>4928.0235879167476</v>
      </c>
      <c r="I58" s="97">
        <v>0</v>
      </c>
      <c r="J58" s="92"/>
      <c r="K58" s="96">
        <f>I54</f>
        <v>10014.450662095016</v>
      </c>
      <c r="L58" s="96">
        <v>10000</v>
      </c>
      <c r="M58" s="100">
        <f>IF(L58=0,0,(K58-L58)/L58)</f>
        <v>1.4450662095016015E-3</v>
      </c>
    </row>
    <row r="59" spans="1:13" ht="35.1" customHeight="1" x14ac:dyDescent="0.2">
      <c r="C59" s="92"/>
      <c r="D59" s="92"/>
      <c r="E59" s="92"/>
      <c r="F59" s="99"/>
      <c r="G59" s="99"/>
      <c r="H59" s="99"/>
      <c r="I59" s="99"/>
      <c r="J59" s="92"/>
      <c r="K59" s="92">
        <f>SUM(K55:K58)</f>
        <v>45000</v>
      </c>
      <c r="L59" s="92">
        <f>SUM(L55:L58)</f>
        <v>45000</v>
      </c>
      <c r="M59" s="100"/>
    </row>
    <row r="60" spans="1:13" ht="35.1" customHeight="1" x14ac:dyDescent="0.2">
      <c r="C60" s="92" t="s">
        <v>72</v>
      </c>
      <c r="D60" s="92"/>
      <c r="E60" s="92"/>
      <c r="F60" s="92"/>
      <c r="G60" s="92"/>
      <c r="H60" s="92"/>
      <c r="I60" s="92"/>
      <c r="J60" s="92"/>
      <c r="K60" s="92"/>
      <c r="L60" s="92"/>
      <c r="M60" s="92"/>
    </row>
    <row r="61" spans="1:13" ht="35.1" customHeight="1" x14ac:dyDescent="0.2">
      <c r="C61" s="92"/>
      <c r="D61" s="92"/>
      <c r="E61" s="92"/>
      <c r="F61" s="96">
        <v>7500</v>
      </c>
      <c r="G61" s="96">
        <v>12500</v>
      </c>
      <c r="H61" s="96">
        <v>15000</v>
      </c>
      <c r="I61" s="96">
        <v>10000</v>
      </c>
      <c r="J61" s="92"/>
      <c r="K61" s="92"/>
      <c r="L61" s="92"/>
      <c r="M61" s="92" t="s">
        <v>71</v>
      </c>
    </row>
    <row r="62" spans="1:13" ht="35.1" customHeight="1" x14ac:dyDescent="0.2">
      <c r="C62" s="92"/>
      <c r="D62" s="92"/>
      <c r="E62" s="96">
        <f>SUM(F62:I62)</f>
        <v>7502.205314101685</v>
      </c>
      <c r="F62" s="101">
        <v>0</v>
      </c>
      <c r="G62" s="101">
        <f>IF(G54=0,0,(G61/G54)*G55)</f>
        <v>2448.1137173815728</v>
      </c>
      <c r="H62" s="101">
        <f>IF(H54=0,0,(H61/H54)*H55)</f>
        <v>3269.9800794449534</v>
      </c>
      <c r="I62" s="101">
        <f>IF(I54=0,0,(I61/I54)*I55)</f>
        <v>1784.1115172751588</v>
      </c>
      <c r="J62" s="92"/>
      <c r="K62" s="96">
        <f>E62</f>
        <v>7502.205314101685</v>
      </c>
      <c r="L62" s="92">
        <v>7500</v>
      </c>
      <c r="M62" s="100">
        <f>IF(L62=0,0,(K62-L62)/L62)</f>
        <v>2.9404188022466165E-4</v>
      </c>
    </row>
    <row r="63" spans="1:13" ht="35.1" customHeight="1" x14ac:dyDescent="0.2">
      <c r="C63" s="92"/>
      <c r="D63" s="92"/>
      <c r="E63" s="96">
        <f>SUM(F63:I63)</f>
        <v>12515.533134579638</v>
      </c>
      <c r="F63" s="101">
        <f>IF(F54=0,0,(F61/F54)*F56)</f>
        <v>2449.6229982763621</v>
      </c>
      <c r="G63" s="101">
        <v>0</v>
      </c>
      <c r="H63" s="101">
        <f>IF(H54=0,0,(H61/H54)*H56)</f>
        <v>6786.1480427575507</v>
      </c>
      <c r="I63" s="101">
        <f>IF(I54=0,0,(I61/I54)*I56)</f>
        <v>3279.7620935457253</v>
      </c>
      <c r="J63" s="92"/>
      <c r="K63" s="96">
        <f>E63</f>
        <v>12515.533134579638</v>
      </c>
      <c r="L63" s="92">
        <v>12500</v>
      </c>
      <c r="M63" s="100">
        <f>IF(L63=0,0,(K63-L63)/L63)</f>
        <v>1.24265076637108E-3</v>
      </c>
    </row>
    <row r="64" spans="1:13" ht="35.1" customHeight="1" x14ac:dyDescent="0.2">
      <c r="C64" s="92"/>
      <c r="D64" s="92"/>
      <c r="E64" s="96">
        <f>SUM(F64:I64)</f>
        <v>14975.124788372374</v>
      </c>
      <c r="F64" s="101">
        <f>IF(F54=0,0,(F61/F54)*F57)</f>
        <v>3265.7677983760282</v>
      </c>
      <c r="G64" s="101">
        <f>IF(G54=0,0,(G61/G54)*G57)</f>
        <v>6773.23060081723</v>
      </c>
      <c r="H64" s="101">
        <v>0</v>
      </c>
      <c r="I64" s="101">
        <f>IF(I54=0,0,(I61/I54)*I57)</f>
        <v>4936.1263891791159</v>
      </c>
      <c r="J64" s="92"/>
      <c r="K64" s="96">
        <f>E64</f>
        <v>14975.124788372374</v>
      </c>
      <c r="L64" s="92">
        <v>15000</v>
      </c>
      <c r="M64" s="100">
        <f>IF(L64=0,0,(K64-L64)/L64)</f>
        <v>-1.6583474418417608E-3</v>
      </c>
    </row>
    <row r="65" spans="1:13" ht="35.1" customHeight="1" x14ac:dyDescent="0.2">
      <c r="C65" s="92"/>
      <c r="D65" s="92"/>
      <c r="E65" s="96">
        <f>SUM(F65:I65)</f>
        <v>10007.136762946306</v>
      </c>
      <c r="F65" s="101">
        <f>IF(F54=0,0,(F61/F54)*F58)</f>
        <v>1784.6092033476102</v>
      </c>
      <c r="G65" s="101">
        <f>IF(G54=0,0,(G61/G54)*G58)</f>
        <v>3278.6556818011986</v>
      </c>
      <c r="H65" s="101">
        <f>IF(H54=0,0,(H61/H54)*H58)</f>
        <v>4943.8718777974982</v>
      </c>
      <c r="I65" s="101">
        <v>0</v>
      </c>
      <c r="J65" s="92"/>
      <c r="K65" s="96">
        <f>E65</f>
        <v>10007.136762946306</v>
      </c>
      <c r="L65" s="92">
        <v>10000</v>
      </c>
      <c r="M65" s="100">
        <f>IF(L65=0,0,(K65-L65)/L65)</f>
        <v>7.1367629463056799E-4</v>
      </c>
    </row>
    <row r="66" spans="1:13" ht="35.1" customHeight="1" x14ac:dyDescent="0.2">
      <c r="A66" s="98" t="s">
        <v>69</v>
      </c>
      <c r="C66" s="92"/>
      <c r="D66" s="92"/>
      <c r="E66" s="92"/>
      <c r="F66" s="92"/>
      <c r="G66" s="92"/>
      <c r="H66" s="92"/>
      <c r="I66" s="92"/>
      <c r="J66" s="92"/>
      <c r="K66" s="92">
        <f>SUM(K62:K65)</f>
        <v>45000</v>
      </c>
      <c r="L66" s="92">
        <f>SUM(L62:L65)</f>
        <v>45000</v>
      </c>
      <c r="M66" s="100"/>
    </row>
    <row r="67" spans="1:13" ht="35.1" customHeight="1" x14ac:dyDescent="0.2">
      <c r="A67" s="92">
        <v>5</v>
      </c>
      <c r="C67" s="92" t="s">
        <v>70</v>
      </c>
      <c r="D67" s="92"/>
      <c r="E67" s="92"/>
      <c r="F67" s="92"/>
      <c r="G67" s="92"/>
      <c r="H67" s="92"/>
      <c r="I67" s="92"/>
      <c r="J67" s="92"/>
      <c r="K67" s="92"/>
      <c r="L67" s="92"/>
      <c r="M67" s="92"/>
    </row>
    <row r="68" spans="1:13" ht="35.1" customHeight="1" x14ac:dyDescent="0.2">
      <c r="C68" s="92"/>
      <c r="D68" s="92"/>
      <c r="E68" s="92"/>
      <c r="F68" s="96">
        <f>SUM(F69:F72)</f>
        <v>7501.1118009342199</v>
      </c>
      <c r="G68" s="96">
        <f>SUM(G69:G72)</f>
        <v>12508.193161296764</v>
      </c>
      <c r="H68" s="96">
        <f>SUM(H69:H72)</f>
        <v>14987.090617641901</v>
      </c>
      <c r="I68" s="96">
        <f>SUM(I69:I72)</f>
        <v>10003.604420127114</v>
      </c>
      <c r="J68" s="92"/>
      <c r="K68" s="92"/>
      <c r="L68" s="92"/>
      <c r="M68" s="92" t="s">
        <v>71</v>
      </c>
    </row>
    <row r="69" spans="1:13" ht="35.1" customHeight="1" x14ac:dyDescent="0.2">
      <c r="C69" s="92"/>
      <c r="D69" s="92"/>
      <c r="E69" s="92">
        <v>7500</v>
      </c>
      <c r="F69" s="97">
        <v>0</v>
      </c>
      <c r="G69" s="97">
        <f>IF(E62=0,0,(E69/E62)*G62)</f>
        <v>2447.3940810243375</v>
      </c>
      <c r="H69" s="97">
        <f>IF(E62=0,0,(E69/E62)*H62)</f>
        <v>3269.0188509955169</v>
      </c>
      <c r="I69" s="97">
        <f>IF(E62=0,0,(E69/E62)*I62)</f>
        <v>1783.5870679801455</v>
      </c>
      <c r="J69" s="92"/>
      <c r="K69" s="96">
        <f>F68</f>
        <v>7501.1118009342199</v>
      </c>
      <c r="L69" s="96">
        <v>7500</v>
      </c>
      <c r="M69" s="100">
        <f>IF(L69=0,0,(K69-L69)/L69)</f>
        <v>1.4824012456265335E-4</v>
      </c>
    </row>
    <row r="70" spans="1:13" ht="35.1" customHeight="1" x14ac:dyDescent="0.2">
      <c r="C70" s="92"/>
      <c r="D70" s="92"/>
      <c r="E70" s="92">
        <v>12500</v>
      </c>
      <c r="F70" s="97">
        <f>IF(E63=0,0,(E70/E63)*F63)</f>
        <v>2446.5827503466535</v>
      </c>
      <c r="G70" s="97">
        <v>0</v>
      </c>
      <c r="H70" s="97">
        <f>IF(E63=0,0,(E70/E63)*H63)</f>
        <v>6777.7256967262601</v>
      </c>
      <c r="I70" s="97">
        <f>IF(E63=0,0,(E70/E63)*I63)</f>
        <v>3275.691552927085</v>
      </c>
      <c r="J70" s="92"/>
      <c r="K70" s="96">
        <f>G68</f>
        <v>12508.193161296764</v>
      </c>
      <c r="L70" s="96">
        <v>12500</v>
      </c>
      <c r="M70" s="100">
        <f>IF(L70=0,0,(K70-L70)/L70)</f>
        <v>6.5545290374109753E-4</v>
      </c>
    </row>
    <row r="71" spans="1:13" ht="35.1" customHeight="1" x14ac:dyDescent="0.2">
      <c r="C71" s="92"/>
      <c r="D71" s="92"/>
      <c r="E71" s="92">
        <v>15000</v>
      </c>
      <c r="F71" s="97">
        <f>IF(E64=0,0,(E71/E64)*F64)</f>
        <v>3271.192572209924</v>
      </c>
      <c r="G71" s="97">
        <f>IF(E64=0,0,(E71/E64)*G64)</f>
        <v>6784.4816285701918</v>
      </c>
      <c r="H71" s="97">
        <v>0</v>
      </c>
      <c r="I71" s="97">
        <f>IF(E64=0,0,(E71/E64)*I64)</f>
        <v>4944.3257992198842</v>
      </c>
      <c r="J71" s="92"/>
      <c r="K71" s="96">
        <f>H68</f>
        <v>14987.090617641901</v>
      </c>
      <c r="L71" s="96">
        <v>15000</v>
      </c>
      <c r="M71" s="100">
        <f>IF(L71=0,0,(K71-L71)/L71)</f>
        <v>-8.606254905399207E-4</v>
      </c>
    </row>
    <row r="72" spans="1:13" ht="35.1" customHeight="1" x14ac:dyDescent="0.2">
      <c r="C72" s="92"/>
      <c r="D72" s="92"/>
      <c r="E72" s="92">
        <v>10000</v>
      </c>
      <c r="F72" s="97">
        <f>IF(E65=0,0,(E72/E65)*F65)</f>
        <v>1783.3364783776422</v>
      </c>
      <c r="G72" s="97">
        <f>IF(E65=0,0,(E72/E65)*G65)</f>
        <v>3276.3174517022344</v>
      </c>
      <c r="H72" s="97">
        <f>IF(E65=0,0,(E72/E65)*H65)</f>
        <v>4940.346069920125</v>
      </c>
      <c r="I72" s="97">
        <v>0</v>
      </c>
      <c r="J72" s="92"/>
      <c r="K72" s="96">
        <f>I68</f>
        <v>10003.604420127114</v>
      </c>
      <c r="L72" s="96">
        <v>10000</v>
      </c>
      <c r="M72" s="100">
        <f>IF(L72=0,0,(K72-L72)/L72)</f>
        <v>3.6044201271142809E-4</v>
      </c>
    </row>
    <row r="73" spans="1:13" ht="35.1" customHeight="1" x14ac:dyDescent="0.2">
      <c r="C73" s="92"/>
      <c r="D73" s="92"/>
      <c r="E73" s="92"/>
      <c r="F73" s="99"/>
      <c r="G73" s="99"/>
      <c r="H73" s="99"/>
      <c r="I73" s="99"/>
      <c r="J73" s="92"/>
      <c r="K73" s="92">
        <f>SUM(K69:K72)</f>
        <v>45000</v>
      </c>
      <c r="L73" s="92">
        <f>SUM(L69:L72)</f>
        <v>45000</v>
      </c>
      <c r="M73" s="100"/>
    </row>
    <row r="74" spans="1:13" ht="35.1" customHeight="1" x14ac:dyDescent="0.2">
      <c r="C74" s="92" t="s">
        <v>72</v>
      </c>
      <c r="D74" s="92"/>
      <c r="E74" s="92"/>
      <c r="F74" s="92"/>
      <c r="G74" s="92"/>
      <c r="H74" s="92"/>
      <c r="I74" s="92"/>
      <c r="J74" s="92"/>
      <c r="K74" s="92"/>
      <c r="L74" s="92"/>
      <c r="M74" s="92"/>
    </row>
    <row r="75" spans="1:13" ht="35.1" customHeight="1" x14ac:dyDescent="0.2">
      <c r="C75" s="92"/>
      <c r="D75" s="92"/>
      <c r="E75" s="92"/>
      <c r="F75" s="96">
        <v>7500</v>
      </c>
      <c r="G75" s="96">
        <v>12500</v>
      </c>
      <c r="H75" s="96">
        <v>15000</v>
      </c>
      <c r="I75" s="96">
        <v>10000</v>
      </c>
      <c r="J75" s="92"/>
      <c r="K75" s="92"/>
      <c r="L75" s="92"/>
      <c r="M75" s="92" t="s">
        <v>71</v>
      </c>
    </row>
    <row r="76" spans="1:13" ht="35.1" customHeight="1" x14ac:dyDescent="0.2">
      <c r="C76" s="92"/>
      <c r="D76" s="92"/>
      <c r="E76" s="96">
        <f>SUM(F76:I76)</f>
        <v>7500.5700754472155</v>
      </c>
      <c r="F76" s="101">
        <v>0</v>
      </c>
      <c r="G76" s="101">
        <f>IF(G68=0,0,(G75/G68)*G69)</f>
        <v>2445.7909802244058</v>
      </c>
      <c r="H76" s="101">
        <f>IF(H68=0,0,(H75/H68)*H69)</f>
        <v>3271.834675317928</v>
      </c>
      <c r="I76" s="101">
        <f>IF(I68=0,0,(I75/I68)*I69)</f>
        <v>1782.9444199048824</v>
      </c>
      <c r="J76" s="92"/>
      <c r="K76" s="96">
        <f>E76</f>
        <v>7500.5700754472155</v>
      </c>
      <c r="L76" s="92">
        <v>7500</v>
      </c>
      <c r="M76" s="100">
        <f>IF(L76=0,0,(K76-L76)/L76)</f>
        <v>7.6010059628727803E-5</v>
      </c>
    </row>
    <row r="77" spans="1:13" ht="35.1" customHeight="1" x14ac:dyDescent="0.2">
      <c r="C77" s="92"/>
      <c r="D77" s="92"/>
      <c r="E77" s="96">
        <f>SUM(F77:I77)</f>
        <v>12504.295208514393</v>
      </c>
      <c r="F77" s="101">
        <f>IF(F68=0,0,(F75/F68)*F70)</f>
        <v>2446.2201223710053</v>
      </c>
      <c r="G77" s="101">
        <v>0</v>
      </c>
      <c r="H77" s="101">
        <f>IF(H68=0,0,(H75/H68)*H70)</f>
        <v>6783.5638046532486</v>
      </c>
      <c r="I77" s="101">
        <f>IF(I68=0,0,(I75/I68)*I70)</f>
        <v>3274.5112814901381</v>
      </c>
      <c r="J77" s="92"/>
      <c r="K77" s="96">
        <f>E77</f>
        <v>12504.295208514393</v>
      </c>
      <c r="L77" s="92">
        <v>12500</v>
      </c>
      <c r="M77" s="100">
        <f>IF(L77=0,0,(K77-L77)/L77)</f>
        <v>3.4361668115147039E-4</v>
      </c>
    </row>
    <row r="78" spans="1:13" ht="35.1" customHeight="1" x14ac:dyDescent="0.2">
      <c r="C78" s="92"/>
      <c r="D78" s="92"/>
      <c r="E78" s="96">
        <f>SUM(F78:I78)</f>
        <v>14993.289653910797</v>
      </c>
      <c r="F78" s="101">
        <f>IF(F68=0,0,(F75/F68)*F71)</f>
        <v>3270.7077220897932</v>
      </c>
      <c r="G78" s="101">
        <f>IF(G68=0,0,(G75/G68)*G71)</f>
        <v>6780.0376332160258</v>
      </c>
      <c r="H78" s="101">
        <v>0</v>
      </c>
      <c r="I78" s="101">
        <f>IF(I68=0,0,(I75/I68)*I71)</f>
        <v>4942.5442986049793</v>
      </c>
      <c r="J78" s="92"/>
      <c r="K78" s="96">
        <f>E78</f>
        <v>14993.289653910797</v>
      </c>
      <c r="L78" s="92">
        <v>15000</v>
      </c>
      <c r="M78" s="100">
        <f>IF(L78=0,0,(K78-L78)/L78)</f>
        <v>-4.4735640594687235E-4</v>
      </c>
    </row>
    <row r="79" spans="1:13" ht="35.1" customHeight="1" x14ac:dyDescent="0.2">
      <c r="C79" s="92"/>
      <c r="D79" s="92"/>
      <c r="E79" s="96">
        <f>SUM(F79:I79)</f>
        <v>10001.845062127592</v>
      </c>
      <c r="F79" s="101">
        <f>IF(F68=0,0,(F75/F68)*F72)</f>
        <v>1783.0721555392008</v>
      </c>
      <c r="G79" s="101">
        <f>IF(G68=0,0,(G75/G68)*G72)</f>
        <v>3274.1713865595675</v>
      </c>
      <c r="H79" s="101">
        <f>IF(H68=0,0,(H75/H68)*H72)</f>
        <v>4944.6015200288239</v>
      </c>
      <c r="I79" s="101">
        <v>0</v>
      </c>
      <c r="J79" s="92"/>
      <c r="K79" s="96">
        <f>E79</f>
        <v>10001.845062127592</v>
      </c>
      <c r="L79" s="92">
        <v>10000</v>
      </c>
      <c r="M79" s="100">
        <f>IF(L79=0,0,(K79-L79)/L79)</f>
        <v>1.8450621275915182E-4</v>
      </c>
    </row>
    <row r="80" spans="1:13" ht="35.1" customHeight="1" x14ac:dyDescent="0.2">
      <c r="A80" s="98" t="s">
        <v>69</v>
      </c>
      <c r="C80" s="92"/>
      <c r="D80" s="92"/>
      <c r="E80" s="92"/>
      <c r="F80" s="92"/>
      <c r="G80" s="92"/>
      <c r="H80" s="92"/>
      <c r="I80" s="92"/>
      <c r="J80" s="92"/>
      <c r="K80" s="92">
        <f>SUM(K76:K79)</f>
        <v>44999.999999999993</v>
      </c>
      <c r="L80" s="92">
        <f>SUM(L76:L79)</f>
        <v>45000</v>
      </c>
      <c r="M80" s="100"/>
    </row>
    <row r="81" spans="1:13" ht="35.1" customHeight="1" x14ac:dyDescent="0.2">
      <c r="A81" s="92">
        <v>6</v>
      </c>
      <c r="C81" s="92" t="s">
        <v>70</v>
      </c>
      <c r="D81" s="92"/>
      <c r="E81" s="92"/>
      <c r="F81" s="92"/>
      <c r="G81" s="92"/>
      <c r="H81" s="92"/>
      <c r="I81" s="92"/>
      <c r="J81" s="92"/>
      <c r="K81" s="92"/>
      <c r="L81" s="92"/>
      <c r="M81" s="92"/>
    </row>
    <row r="82" spans="1:13" ht="35.1" customHeight="1" x14ac:dyDescent="0.2">
      <c r="C82" s="92"/>
      <c r="D82" s="92"/>
      <c r="E82" s="92"/>
      <c r="F82" s="96">
        <f>SUM(F83:F86)</f>
        <v>7500.2946263945269</v>
      </c>
      <c r="G82" s="96">
        <f>SUM(G83:G86)</f>
        <v>12502.244566638168</v>
      </c>
      <c r="H82" s="96">
        <f>SUM(H83:H86)</f>
        <v>14996.509040144369</v>
      </c>
      <c r="I82" s="96">
        <f>SUM(I83:I86)</f>
        <v>10000.951766822938</v>
      </c>
      <c r="J82" s="92"/>
      <c r="K82" s="92"/>
      <c r="L82" s="92"/>
      <c r="M82" s="92" t="s">
        <v>71</v>
      </c>
    </row>
    <row r="83" spans="1:13" ht="35.1" customHeight="1" x14ac:dyDescent="0.2">
      <c r="C83" s="92"/>
      <c r="D83" s="92"/>
      <c r="E83" s="92">
        <v>7500</v>
      </c>
      <c r="F83" s="97">
        <v>0</v>
      </c>
      <c r="G83" s="97">
        <f>IF(E76=0,0,(E83/E76)*G76)</f>
        <v>2445.6050896357142</v>
      </c>
      <c r="H83" s="97">
        <f>IF(E76=0,0,(E83/E76)*H76)</f>
        <v>3271.5860018708449</v>
      </c>
      <c r="I83" s="97">
        <f>IF(E76=0,0,(E83/E76)*I76)</f>
        <v>1782.8089084934411</v>
      </c>
      <c r="J83" s="92"/>
      <c r="K83" s="96">
        <f>F82</f>
        <v>7500.2946263945269</v>
      </c>
      <c r="L83" s="96">
        <v>7500</v>
      </c>
      <c r="M83" s="100">
        <f>IF(L83=0,0,(K83-L83)/L83)</f>
        <v>3.9283519270247782E-5</v>
      </c>
    </row>
    <row r="84" spans="1:13" ht="35.1" customHeight="1" x14ac:dyDescent="0.2">
      <c r="C84" s="92"/>
      <c r="D84" s="92"/>
      <c r="E84" s="92">
        <v>12500</v>
      </c>
      <c r="F84" s="97">
        <f>IF(E77=0,0,(E84/E77)*F77)</f>
        <v>2445.3798490631157</v>
      </c>
      <c r="G84" s="97">
        <v>0</v>
      </c>
      <c r="H84" s="97">
        <f>IF(E77=0,0,(E84/E77)*H77)</f>
        <v>6781.2336596490077</v>
      </c>
      <c r="I84" s="97">
        <f>IF(E77=0,0,(E84/E77)*I77)</f>
        <v>3273.3864912878757</v>
      </c>
      <c r="J84" s="92"/>
      <c r="K84" s="96">
        <f>G82</f>
        <v>12502.244566638168</v>
      </c>
      <c r="L84" s="96">
        <v>12500</v>
      </c>
      <c r="M84" s="100">
        <f>IF(L84=0,0,(K84-L84)/L84)</f>
        <v>1.7956533105345442E-4</v>
      </c>
    </row>
    <row r="85" spans="1:13" ht="35.1" customHeight="1" x14ac:dyDescent="0.2">
      <c r="C85" s="92"/>
      <c r="D85" s="92"/>
      <c r="E85" s="92">
        <v>15000</v>
      </c>
      <c r="F85" s="97">
        <f>IF(E78=0,0,(E85/E78)*F78)</f>
        <v>3272.1715489935928</v>
      </c>
      <c r="G85" s="97">
        <f>IF(E78=0,0,(E85/E78)*G78)</f>
        <v>6783.0720839647875</v>
      </c>
      <c r="H85" s="97">
        <v>0</v>
      </c>
      <c r="I85" s="97">
        <f>IF(E78=0,0,(E85/E78)*I78)</f>
        <v>4944.7563670416221</v>
      </c>
      <c r="J85" s="92"/>
      <c r="K85" s="96">
        <f>H82</f>
        <v>14996.509040144369</v>
      </c>
      <c r="L85" s="96">
        <v>15000</v>
      </c>
      <c r="M85" s="100">
        <f>IF(L85=0,0,(K85-L85)/L85)</f>
        <v>-2.3273065704209632E-4</v>
      </c>
    </row>
    <row r="86" spans="1:13" ht="35.1" customHeight="1" x14ac:dyDescent="0.2">
      <c r="C86" s="92"/>
      <c r="D86" s="92"/>
      <c r="E86" s="92">
        <v>10000</v>
      </c>
      <c r="F86" s="97">
        <f>IF(E79=0,0,(E86/E79)*F79)</f>
        <v>1782.7432283378182</v>
      </c>
      <c r="G86" s="97">
        <f>IF(E79=0,0,(E86/E79)*G79)</f>
        <v>3273.5673930376661</v>
      </c>
      <c r="H86" s="97">
        <f>IF(E79=0,0,(E86/E79)*H79)</f>
        <v>4943.6893786245164</v>
      </c>
      <c r="I86" s="97">
        <v>0</v>
      </c>
      <c r="J86" s="92"/>
      <c r="K86" s="96">
        <f>I82</f>
        <v>10000.951766822938</v>
      </c>
      <c r="L86" s="96">
        <v>10000</v>
      </c>
      <c r="M86" s="100">
        <f>IF(L86=0,0,(K86-L86)/L86)</f>
        <v>9.5176682293822526E-5</v>
      </c>
    </row>
    <row r="87" spans="1:13" ht="35.1" customHeight="1" x14ac:dyDescent="0.2">
      <c r="C87" s="92"/>
      <c r="D87" s="92"/>
      <c r="E87" s="92"/>
      <c r="F87" s="99"/>
      <c r="G87" s="99"/>
      <c r="H87" s="99"/>
      <c r="I87" s="99"/>
      <c r="J87" s="92"/>
      <c r="K87" s="92">
        <f>SUM(K83:K86)</f>
        <v>45000</v>
      </c>
      <c r="L87" s="92">
        <f>SUM(L83:L86)</f>
        <v>45000</v>
      </c>
      <c r="M87" s="100"/>
    </row>
    <row r="88" spans="1:13" ht="35.1" customHeight="1" x14ac:dyDescent="0.2">
      <c r="C88" s="92" t="s">
        <v>72</v>
      </c>
      <c r="D88" s="92"/>
      <c r="E88" s="92"/>
      <c r="F88" s="92"/>
      <c r="G88" s="92"/>
      <c r="H88" s="92"/>
      <c r="I88" s="92"/>
      <c r="J88" s="92"/>
      <c r="K88" s="92"/>
      <c r="L88" s="92"/>
      <c r="M88" s="92"/>
    </row>
    <row r="89" spans="1:13" ht="35.1" customHeight="1" x14ac:dyDescent="0.2">
      <c r="C89" s="92"/>
      <c r="D89" s="92"/>
      <c r="E89" s="92"/>
      <c r="F89" s="96">
        <v>7500</v>
      </c>
      <c r="G89" s="96">
        <v>12500</v>
      </c>
      <c r="H89" s="96">
        <v>15000</v>
      </c>
      <c r="I89" s="96">
        <v>10000</v>
      </c>
      <c r="J89" s="92"/>
      <c r="K89" s="92"/>
      <c r="L89" s="92"/>
      <c r="M89" s="92" t="s">
        <v>71</v>
      </c>
    </row>
    <row r="90" spans="1:13" ht="35.1" customHeight="1" x14ac:dyDescent="0.2">
      <c r="C90" s="92"/>
      <c r="D90" s="92"/>
      <c r="E90" s="96">
        <f>SUM(F90:I90)</f>
        <v>7500.1528428665915</v>
      </c>
      <c r="F90" s="101">
        <v>0</v>
      </c>
      <c r="G90" s="101">
        <f>IF(G82=0,0,(G89/G82)*G83)</f>
        <v>2445.1660225893875</v>
      </c>
      <c r="H90" s="101">
        <f>IF(H82=0,0,(H89/H82)*H83)</f>
        <v>3272.3475774726203</v>
      </c>
      <c r="I90" s="101">
        <f>IF(I82=0,0,(I89/I82)*I83)</f>
        <v>1782.6392428045842</v>
      </c>
      <c r="J90" s="92"/>
      <c r="K90" s="96">
        <f>E90</f>
        <v>7500.1528428665915</v>
      </c>
      <c r="L90" s="92">
        <v>7500</v>
      </c>
      <c r="M90" s="100">
        <f>IF(L90=0,0,(K90-L90)/L90)</f>
        <v>2.0379048878870284E-5</v>
      </c>
    </row>
    <row r="91" spans="1:13" ht="35.1" customHeight="1" x14ac:dyDescent="0.2">
      <c r="C91" s="92"/>
      <c r="D91" s="92"/>
      <c r="E91" s="96">
        <f>SUM(F91:I91)</f>
        <v>12501.170988576912</v>
      </c>
      <c r="F91" s="101">
        <f>IF(F82=0,0,(F89/F82)*F84)</f>
        <v>2445.2837897102413</v>
      </c>
      <c r="G91" s="101">
        <v>0</v>
      </c>
      <c r="H91" s="101">
        <f>IF(H82=0,0,(H89/H82)*H84)</f>
        <v>6782.8122279954223</v>
      </c>
      <c r="I91" s="101">
        <f>IF(I82=0,0,(I89/I82)*I84)</f>
        <v>3273.0749708712492</v>
      </c>
      <c r="J91" s="92"/>
      <c r="K91" s="96">
        <f>E91</f>
        <v>12501.170988576912</v>
      </c>
      <c r="L91" s="92">
        <v>12500</v>
      </c>
      <c r="M91" s="100">
        <f>IF(L91=0,0,(K91-L91)/L91)</f>
        <v>9.3679086152988019E-5</v>
      </c>
    </row>
    <row r="92" spans="1:13" ht="35.1" customHeight="1" x14ac:dyDescent="0.2">
      <c r="C92" s="92"/>
      <c r="D92" s="92"/>
      <c r="E92" s="96">
        <f>SUM(F92:I92)</f>
        <v>14998.183096005661</v>
      </c>
      <c r="F92" s="101">
        <f>IF(F82=0,0,(F89/F82)*F85)</f>
        <v>3272.0430116288921</v>
      </c>
      <c r="G92" s="101">
        <f>IF(G82=0,0,(G89/G82)*G85)</f>
        <v>6781.8542980526017</v>
      </c>
      <c r="H92" s="101">
        <v>0</v>
      </c>
      <c r="I92" s="101">
        <f>IF(I82=0,0,(I89/I82)*I85)</f>
        <v>4944.285786324167</v>
      </c>
      <c r="J92" s="92"/>
      <c r="K92" s="96">
        <f>E92</f>
        <v>14998.183096005661</v>
      </c>
      <c r="L92" s="92">
        <v>15000</v>
      </c>
      <c r="M92" s="100">
        <f>IF(L92=0,0,(K92-L92)/L92)</f>
        <v>-1.2112693295590968E-4</v>
      </c>
    </row>
    <row r="93" spans="1:13" ht="35.1" customHeight="1" x14ac:dyDescent="0.2">
      <c r="C93" s="92"/>
      <c r="D93" s="92"/>
      <c r="E93" s="96">
        <f>SUM(F93:I93)</f>
        <v>10000.493072550835</v>
      </c>
      <c r="F93" s="101">
        <f>IF(F82=0,0,(F89/F82)*F86)</f>
        <v>1782.6731986608661</v>
      </c>
      <c r="G93" s="101">
        <f>IF(G82=0,0,(G89/G82)*G86)</f>
        <v>3272.9796793580108</v>
      </c>
      <c r="H93" s="101">
        <f>IF(H82=0,0,(H89/H82)*H86)</f>
        <v>4944.8401945319583</v>
      </c>
      <c r="I93" s="101">
        <v>0</v>
      </c>
      <c r="J93" s="92"/>
      <c r="K93" s="96">
        <f>E93</f>
        <v>10000.493072550835</v>
      </c>
      <c r="L93" s="92">
        <v>10000</v>
      </c>
      <c r="M93" s="100">
        <f>IF(L93=0,0,(K93-L93)/L93)</f>
        <v>4.9307255083476776E-5</v>
      </c>
    </row>
    <row r="94" spans="1:13" ht="35.1" customHeight="1" x14ac:dyDescent="0.2">
      <c r="A94" s="98" t="s">
        <v>69</v>
      </c>
      <c r="C94" s="92"/>
      <c r="D94" s="92"/>
      <c r="E94" s="92"/>
      <c r="F94" s="92"/>
      <c r="G94" s="92"/>
      <c r="H94" s="92"/>
      <c r="I94" s="92"/>
      <c r="J94" s="92"/>
      <c r="K94" s="92">
        <f>SUM(K90:K93)</f>
        <v>45000</v>
      </c>
      <c r="L94" s="92">
        <f>SUM(L90:L93)</f>
        <v>45000</v>
      </c>
      <c r="M94" s="100"/>
    </row>
    <row r="95" spans="1:13" ht="35.1" customHeight="1" x14ac:dyDescent="0.2">
      <c r="A95" s="92">
        <v>7</v>
      </c>
      <c r="C95" s="92" t="s">
        <v>70</v>
      </c>
      <c r="D95" s="92"/>
      <c r="E95" s="92"/>
      <c r="F95" s="92"/>
      <c r="G95" s="92"/>
      <c r="H95" s="92"/>
      <c r="I95" s="92"/>
      <c r="J95" s="92"/>
      <c r="K95" s="92"/>
      <c r="L95" s="92"/>
      <c r="M95" s="92"/>
    </row>
    <row r="96" spans="1:13" ht="35.1" customHeight="1" x14ac:dyDescent="0.2">
      <c r="C96" s="92"/>
      <c r="D96" s="92"/>
      <c r="E96" s="92"/>
      <c r="F96" s="96">
        <f>SUM(F97:F100)</f>
        <v>7500.0794356649885</v>
      </c>
      <c r="G96" s="96">
        <f>SUM(G97:G100)</f>
        <v>12500.610361895033</v>
      </c>
      <c r="H96" s="96">
        <f>SUM(H97:H100)</f>
        <v>14999.054161420045</v>
      </c>
      <c r="I96" s="96">
        <f>SUM(I97:I100)</f>
        <v>10000.256041019937</v>
      </c>
      <c r="J96" s="92"/>
      <c r="K96" s="92"/>
      <c r="L96" s="92"/>
      <c r="M96" s="92" t="s">
        <v>71</v>
      </c>
    </row>
    <row r="97" spans="1:13" ht="35.1" customHeight="1" x14ac:dyDescent="0.2">
      <c r="C97" s="92"/>
      <c r="D97" s="92"/>
      <c r="E97" s="92">
        <v>7500</v>
      </c>
      <c r="F97" s="97">
        <v>0</v>
      </c>
      <c r="G97" s="97">
        <f>IF(E90=0,0,(E97/E90)*G90)</f>
        <v>2445.1161934469665</v>
      </c>
      <c r="H97" s="97">
        <f>IF(E90=0,0,(E97/E90)*H90)</f>
        <v>3272.280891500387</v>
      </c>
      <c r="I97" s="97">
        <f>IF(E90=0,0,(E97/E90)*I90)</f>
        <v>1782.6029150526467</v>
      </c>
      <c r="J97" s="92"/>
      <c r="K97" s="96">
        <f>F96</f>
        <v>7500.0794356649885</v>
      </c>
      <c r="L97" s="96">
        <v>7500</v>
      </c>
      <c r="M97" s="100">
        <f>IF(L97=0,0,(K97-L97)/L97)</f>
        <v>1.0591421998469742E-5</v>
      </c>
    </row>
    <row r="98" spans="1:13" ht="35.1" customHeight="1" x14ac:dyDescent="0.2">
      <c r="C98" s="92"/>
      <c r="D98" s="92"/>
      <c r="E98" s="92">
        <v>12500</v>
      </c>
      <c r="F98" s="97">
        <f>IF(E91=0,0,(E98/E91)*F91)</f>
        <v>2445.0547392166773</v>
      </c>
      <c r="G98" s="97">
        <v>0</v>
      </c>
      <c r="H98" s="97">
        <f>IF(E91=0,0,(E98/E91)*H91)</f>
        <v>6782.1768798631883</v>
      </c>
      <c r="I98" s="97">
        <f>IF(E91=0,0,(E98/E91)*I91)</f>
        <v>3272.7683809201339</v>
      </c>
      <c r="J98" s="92"/>
      <c r="K98" s="96">
        <f>G96</f>
        <v>12500.610361895033</v>
      </c>
      <c r="L98" s="96">
        <v>12500</v>
      </c>
      <c r="M98" s="100">
        <f>IF(L98=0,0,(K98-L98)/L98)</f>
        <v>4.8828951602627054E-5</v>
      </c>
    </row>
    <row r="99" spans="1:13" ht="35.1" customHeight="1" x14ac:dyDescent="0.2">
      <c r="C99" s="92"/>
      <c r="D99" s="92"/>
      <c r="E99" s="92">
        <v>15000</v>
      </c>
      <c r="F99" s="97">
        <f>IF(E92=0,0,(E99/E92)*F92)</f>
        <v>3272.439392175751</v>
      </c>
      <c r="G99" s="97">
        <f>IF(E92=0,0,(E99/E92)*G92)</f>
        <v>6782.6758627770951</v>
      </c>
      <c r="H99" s="97">
        <v>0</v>
      </c>
      <c r="I99" s="97">
        <f>IF(E92=0,0,(E99/E92)*I92)</f>
        <v>4944.8847450471558</v>
      </c>
      <c r="J99" s="92"/>
      <c r="K99" s="96">
        <f>H96</f>
        <v>14999.054161420045</v>
      </c>
      <c r="L99" s="96">
        <v>15000</v>
      </c>
      <c r="M99" s="100">
        <f>IF(L99=0,0,(K99-L99)/L99)</f>
        <v>-6.3055905330353801E-5</v>
      </c>
    </row>
    <row r="100" spans="1:13" ht="35.1" customHeight="1" x14ac:dyDescent="0.2">
      <c r="C100" s="92"/>
      <c r="D100" s="92"/>
      <c r="E100" s="92">
        <v>10000</v>
      </c>
      <c r="F100" s="97">
        <f>IF(E93=0,0,(E100/E93)*F93)</f>
        <v>1782.5853042725603</v>
      </c>
      <c r="G100" s="97">
        <f>IF(E93=0,0,(E100/E93)*G93)</f>
        <v>3272.8183056709713</v>
      </c>
      <c r="H100" s="97">
        <f>IF(E93=0,0,(E100/E93)*H93)</f>
        <v>4944.5963900564693</v>
      </c>
      <c r="I100" s="97">
        <v>0</v>
      </c>
      <c r="J100" s="92"/>
      <c r="K100" s="96">
        <f>I96</f>
        <v>10000.256041019937</v>
      </c>
      <c r="L100" s="96">
        <v>10000</v>
      </c>
      <c r="M100" s="100">
        <f>IF(L100=0,0,(K100-L100)/L100)</f>
        <v>2.5604101993667429E-5</v>
      </c>
    </row>
    <row r="101" spans="1:13" ht="35.1" customHeight="1" x14ac:dyDescent="0.2">
      <c r="C101" s="92"/>
      <c r="D101" s="92"/>
      <c r="E101" s="92"/>
      <c r="F101" s="99"/>
      <c r="G101" s="99"/>
      <c r="H101" s="99"/>
      <c r="I101" s="99"/>
      <c r="J101" s="92"/>
      <c r="K101" s="92">
        <f>SUM(K97:K100)</f>
        <v>45000</v>
      </c>
      <c r="L101" s="92">
        <f>SUM(L97:L100)</f>
        <v>45000</v>
      </c>
      <c r="M101" s="100"/>
    </row>
    <row r="102" spans="1:13" ht="35.1" customHeight="1" x14ac:dyDescent="0.2">
      <c r="C102" s="92" t="s">
        <v>72</v>
      </c>
      <c r="D102" s="92"/>
      <c r="E102" s="92"/>
      <c r="F102" s="92"/>
      <c r="G102" s="92"/>
      <c r="H102" s="92"/>
      <c r="I102" s="92"/>
      <c r="J102" s="92"/>
      <c r="K102" s="92"/>
      <c r="L102" s="92"/>
      <c r="M102" s="92"/>
    </row>
    <row r="103" spans="1:13" ht="35.1" customHeight="1" x14ac:dyDescent="0.2">
      <c r="C103" s="92"/>
      <c r="D103" s="92"/>
      <c r="E103" s="92"/>
      <c r="F103" s="96">
        <v>7500</v>
      </c>
      <c r="G103" s="96">
        <v>12500</v>
      </c>
      <c r="H103" s="96">
        <v>15000</v>
      </c>
      <c r="I103" s="96">
        <v>10000</v>
      </c>
      <c r="J103" s="92"/>
      <c r="K103" s="92"/>
      <c r="L103" s="92"/>
      <c r="M103" s="92" t="s">
        <v>71</v>
      </c>
    </row>
    <row r="104" spans="1:13" ht="35.1" customHeight="1" x14ac:dyDescent="0.2">
      <c r="C104" s="92"/>
      <c r="D104" s="92"/>
      <c r="E104" s="96">
        <f>SUM(F104:I104)</f>
        <v>7500.0413222366642</v>
      </c>
      <c r="F104" s="101">
        <v>0</v>
      </c>
      <c r="G104" s="101">
        <f>IF(G96=0,0,(G103/G96)*G97)</f>
        <v>2444.9968068162179</v>
      </c>
      <c r="H104" s="101">
        <f>IF(H96=0,0,(H103/H96)*H97)</f>
        <v>3272.4872411460592</v>
      </c>
      <c r="I104" s="101">
        <f>IF(I96=0,0,(I103/I96)*I97)</f>
        <v>1782.5572742743866</v>
      </c>
      <c r="J104" s="92"/>
      <c r="K104" s="96">
        <f>E104</f>
        <v>7500.0413222366642</v>
      </c>
      <c r="L104" s="92">
        <v>7500</v>
      </c>
      <c r="M104" s="100">
        <f>IF(L104=0,0,(K104-L104)/L104)</f>
        <v>5.5096315552267092E-6</v>
      </c>
    </row>
    <row r="105" spans="1:13" ht="35.1" customHeight="1" x14ac:dyDescent="0.2">
      <c r="C105" s="92"/>
      <c r="D105" s="92"/>
      <c r="E105" s="96">
        <f>SUM(F105:I105)</f>
        <v>12500.317992789</v>
      </c>
      <c r="F105" s="101">
        <f>IF(F96=0,0,(F103/F96)*F98)</f>
        <v>2445.0288428844037</v>
      </c>
      <c r="G105" s="101">
        <v>0</v>
      </c>
      <c r="H105" s="101">
        <f>IF(H96=0,0,(H103/H96)*H98)</f>
        <v>6782.6045631344141</v>
      </c>
      <c r="I105" s="101">
        <f>IF(I96=0,0,(I103/I96)*I98)</f>
        <v>3272.6845867701813</v>
      </c>
      <c r="J105" s="92"/>
      <c r="K105" s="96">
        <f>E105</f>
        <v>12500.317992789</v>
      </c>
      <c r="L105" s="92">
        <v>12500</v>
      </c>
      <c r="M105" s="100">
        <f>IF(L105=0,0,(K105-L105)/L105)</f>
        <v>2.5439423119969432E-5</v>
      </c>
    </row>
    <row r="106" spans="1:13" ht="35.1" customHeight="1" x14ac:dyDescent="0.2">
      <c r="C106" s="92"/>
      <c r="D106" s="92"/>
      <c r="E106" s="96">
        <f>SUM(F106:I106)</f>
        <v>14999.50755970828</v>
      </c>
      <c r="F106" s="101">
        <f>IF(F96=0,0,(F103/F96)*F99)</f>
        <v>3272.4047327562766</v>
      </c>
      <c r="G106" s="101">
        <f>IF(G96=0,0,(G103/G96)*G99)</f>
        <v>6782.3446879965722</v>
      </c>
      <c r="H106" s="101">
        <v>0</v>
      </c>
      <c r="I106" s="101">
        <f>IF(I96=0,0,(I103/I96)*I99)</f>
        <v>4944.7581389554316</v>
      </c>
      <c r="J106" s="92"/>
      <c r="K106" s="96">
        <f>E106</f>
        <v>14999.50755970828</v>
      </c>
      <c r="L106" s="92">
        <v>15000</v>
      </c>
      <c r="M106" s="100">
        <f>IF(L106=0,0,(K106-L106)/L106)</f>
        <v>-3.2829352781360894E-5</v>
      </c>
    </row>
    <row r="107" spans="1:13" ht="35.1" customHeight="1" x14ac:dyDescent="0.2">
      <c r="C107" s="92"/>
      <c r="D107" s="92"/>
      <c r="E107" s="96">
        <f>SUM(F107:I107)</f>
        <v>10000.133125266057</v>
      </c>
      <c r="F107" s="101">
        <f>IF(F96=0,0,(F103/F96)*F100)</f>
        <v>1782.5664243593196</v>
      </c>
      <c r="G107" s="101">
        <f>IF(G96=0,0,(G103/G96)*G100)</f>
        <v>3272.6585051872098</v>
      </c>
      <c r="H107" s="101">
        <f>IF(H96=0,0,(H103/H96)*H100)</f>
        <v>4944.9081957195258</v>
      </c>
      <c r="I107" s="101">
        <v>0</v>
      </c>
      <c r="J107" s="92"/>
      <c r="K107" s="96">
        <f>E107</f>
        <v>10000.133125266057</v>
      </c>
      <c r="L107" s="92">
        <v>10000</v>
      </c>
      <c r="M107" s="100">
        <f>IF(L107=0,0,(K107-L107)/L107)</f>
        <v>1.3312526605659514E-5</v>
      </c>
    </row>
    <row r="108" spans="1:13" ht="35.1" customHeight="1" x14ac:dyDescent="0.2">
      <c r="A108" s="98" t="s">
        <v>69</v>
      </c>
      <c r="C108" s="92"/>
      <c r="D108" s="92"/>
      <c r="E108" s="92"/>
      <c r="F108" s="92"/>
      <c r="G108" s="92"/>
      <c r="H108" s="92"/>
      <c r="I108" s="92"/>
      <c r="J108" s="92"/>
      <c r="K108" s="92">
        <f>SUM(K104:K107)</f>
        <v>45000</v>
      </c>
      <c r="L108" s="92">
        <f>SUM(L104:L107)</f>
        <v>45000</v>
      </c>
      <c r="M108" s="100"/>
    </row>
    <row r="109" spans="1:13" ht="35.1" customHeight="1" x14ac:dyDescent="0.2">
      <c r="A109" s="92">
        <v>8</v>
      </c>
      <c r="C109" s="92" t="s">
        <v>70</v>
      </c>
      <c r="D109" s="92"/>
      <c r="E109" s="92"/>
      <c r="F109" s="92"/>
      <c r="G109" s="92"/>
      <c r="H109" s="92"/>
      <c r="I109" s="92"/>
      <c r="J109" s="92"/>
      <c r="K109" s="92"/>
      <c r="L109" s="92"/>
      <c r="M109" s="92"/>
    </row>
    <row r="110" spans="1:13" ht="35.1" customHeight="1" x14ac:dyDescent="0.2">
      <c r="C110" s="92"/>
      <c r="D110" s="92"/>
      <c r="E110" s="92"/>
      <c r="F110" s="96">
        <f>SUM(F111:F114)</f>
        <v>7500.0215057683963</v>
      </c>
      <c r="G110" s="96">
        <f>SUM(G111:G114)</f>
        <v>12500.165629565694</v>
      </c>
      <c r="H110" s="96">
        <f>SUM(H111:H114)</f>
        <v>14999.743600396803</v>
      </c>
      <c r="I110" s="96">
        <f>SUM(I111:I114)</f>
        <v>10000.069264269106</v>
      </c>
      <c r="J110" s="92"/>
      <c r="K110" s="92"/>
      <c r="L110" s="92"/>
      <c r="M110" s="92" t="s">
        <v>71</v>
      </c>
    </row>
    <row r="111" spans="1:13" ht="35.1" customHeight="1" x14ac:dyDescent="0.2">
      <c r="C111" s="92"/>
      <c r="D111" s="92"/>
      <c r="E111" s="92">
        <v>7500</v>
      </c>
      <c r="F111" s="97">
        <v>0</v>
      </c>
      <c r="G111" s="97">
        <f>IF(E104=0,0,(E111/E104)*G104)</f>
        <v>2444.9833358588785</v>
      </c>
      <c r="H111" s="97">
        <f>IF(E104=0,0,(E111/E104)*H104)</f>
        <v>3272.4692110464302</v>
      </c>
      <c r="I111" s="97">
        <f>IF(E104=0,0,(E111/E104)*I104)</f>
        <v>1782.5474530946904</v>
      </c>
      <c r="J111" s="92"/>
      <c r="K111" s="96">
        <f>F110</f>
        <v>7500.0215057683963</v>
      </c>
      <c r="L111" s="96">
        <v>7500</v>
      </c>
      <c r="M111" s="100">
        <f>IF(L111=0,0,(K111-L111)/L111)</f>
        <v>2.8674357861746102E-6</v>
      </c>
    </row>
    <row r="112" spans="1:13" ht="35.1" customHeight="1" x14ac:dyDescent="0.2">
      <c r="C112" s="92"/>
      <c r="D112" s="92"/>
      <c r="E112" s="92">
        <v>12500</v>
      </c>
      <c r="F112" s="97">
        <f>IF(E105=0,0,(E112/E105)*F105)</f>
        <v>2444.9666443434239</v>
      </c>
      <c r="G112" s="97">
        <v>0</v>
      </c>
      <c r="H112" s="97">
        <f>IF(E105=0,0,(E112/E105)*H105)</f>
        <v>6782.4320219764249</v>
      </c>
      <c r="I112" s="97">
        <f>IF(E105=0,0,(E112/E105)*I105)</f>
        <v>3272.6013336801511</v>
      </c>
      <c r="J112" s="92"/>
      <c r="K112" s="96">
        <f>G110</f>
        <v>12500.165629565694</v>
      </c>
      <c r="L112" s="96">
        <v>12500</v>
      </c>
      <c r="M112" s="100">
        <f>IF(L112=0,0,(K112-L112)/L112)</f>
        <v>1.3250365255516954E-5</v>
      </c>
    </row>
    <row r="113" spans="1:13" ht="35.1" customHeight="1" x14ac:dyDescent="0.2">
      <c r="C113" s="92"/>
      <c r="D113" s="92"/>
      <c r="E113" s="92">
        <v>15000</v>
      </c>
      <c r="F113" s="97">
        <f>IF(E106=0,0,(E113/E106)*F106)</f>
        <v>3272.5121672126957</v>
      </c>
      <c r="G113" s="97">
        <f>IF(E106=0,0,(E113/E106)*G106)</f>
        <v>6782.567355293043</v>
      </c>
      <c r="H113" s="97">
        <v>0</v>
      </c>
      <c r="I113" s="97">
        <f>IF(E106=0,0,(E113/E106)*I106)</f>
        <v>4944.9204774942637</v>
      </c>
      <c r="J113" s="92"/>
      <c r="K113" s="96">
        <f>H110</f>
        <v>14999.743600396803</v>
      </c>
      <c r="L113" s="96">
        <v>15000</v>
      </c>
      <c r="M113" s="100">
        <f>IF(L113=0,0,(K113-L113)/L113)</f>
        <v>-1.7093306879784602E-5</v>
      </c>
    </row>
    <row r="114" spans="1:13" ht="35.1" customHeight="1" x14ac:dyDescent="0.2">
      <c r="C114" s="92"/>
      <c r="D114" s="92"/>
      <c r="E114" s="92">
        <v>10000</v>
      </c>
      <c r="F114" s="97">
        <f>IF(E107=0,0,(E114/E107)*F107)</f>
        <v>1782.5426942122772</v>
      </c>
      <c r="G114" s="97">
        <f>IF(E107=0,0,(E114/E107)*G107)</f>
        <v>3272.6149384137721</v>
      </c>
      <c r="H114" s="97">
        <f>IF(E107=0,0,(E114/E107)*H107)</f>
        <v>4944.8423673739499</v>
      </c>
      <c r="I114" s="97">
        <v>0</v>
      </c>
      <c r="J114" s="92"/>
      <c r="K114" s="96">
        <f>I110</f>
        <v>10000.069264269106</v>
      </c>
      <c r="L114" s="96">
        <v>10000</v>
      </c>
      <c r="M114" s="100">
        <f>IF(L114=0,0,(K114-L114)/L114)</f>
        <v>6.9264269106497521E-6</v>
      </c>
    </row>
    <row r="115" spans="1:13" ht="35.1" customHeight="1" x14ac:dyDescent="0.2">
      <c r="C115" s="92"/>
      <c r="D115" s="92"/>
      <c r="E115" s="92"/>
      <c r="F115" s="99"/>
      <c r="G115" s="99"/>
      <c r="H115" s="99"/>
      <c r="I115" s="99"/>
      <c r="J115" s="92"/>
      <c r="K115" s="92">
        <f>SUM(K111:K114)</f>
        <v>45000</v>
      </c>
      <c r="L115" s="92">
        <f>SUM(L111:L114)</f>
        <v>45000</v>
      </c>
      <c r="M115" s="100"/>
    </row>
    <row r="116" spans="1:13" ht="35.1" customHeight="1" x14ac:dyDescent="0.2">
      <c r="C116" s="92" t="s">
        <v>72</v>
      </c>
      <c r="D116" s="92"/>
      <c r="E116" s="92"/>
      <c r="F116" s="92"/>
      <c r="G116" s="92"/>
      <c r="H116" s="92"/>
      <c r="I116" s="92"/>
      <c r="J116" s="92"/>
      <c r="K116" s="92"/>
      <c r="L116" s="92"/>
      <c r="M116" s="92"/>
    </row>
    <row r="117" spans="1:13" ht="35.1" customHeight="1" x14ac:dyDescent="0.2">
      <c r="C117" s="92"/>
      <c r="D117" s="92"/>
      <c r="E117" s="92"/>
      <c r="F117" s="96">
        <v>7500</v>
      </c>
      <c r="G117" s="96">
        <v>12500</v>
      </c>
      <c r="H117" s="96">
        <v>15000</v>
      </c>
      <c r="I117" s="96">
        <v>10000</v>
      </c>
      <c r="J117" s="92"/>
      <c r="K117" s="92"/>
      <c r="L117" s="92"/>
      <c r="M117" s="92" t="s">
        <v>71</v>
      </c>
    </row>
    <row r="118" spans="1:13" ht="35.1" customHeight="1" x14ac:dyDescent="0.2">
      <c r="C118" s="92"/>
      <c r="D118" s="92"/>
      <c r="E118" s="96">
        <f>SUM(F118:I118)</f>
        <v>7500.0111951845392</v>
      </c>
      <c r="F118" s="101">
        <v>0</v>
      </c>
      <c r="G118" s="101">
        <f>IF(G110=0,0,(G117/G110)*G111)</f>
        <v>2444.9509393659</v>
      </c>
      <c r="H118" s="101">
        <f>IF(H110=0,0,(H117/H110)*H111)</f>
        <v>3272.5251493230799</v>
      </c>
      <c r="I118" s="101">
        <f>IF(I110=0,0,(I117/I110)*I111)</f>
        <v>1782.5351064955596</v>
      </c>
      <c r="J118" s="92"/>
      <c r="K118" s="96">
        <f>E118</f>
        <v>7500.0111951845392</v>
      </c>
      <c r="L118" s="92">
        <v>7500</v>
      </c>
      <c r="M118" s="100">
        <f>IF(L118=0,0,(K118-L118)/L118)</f>
        <v>1.4926912718995785E-6</v>
      </c>
    </row>
    <row r="119" spans="1:13" ht="35.1" customHeight="1" x14ac:dyDescent="0.2">
      <c r="C119" s="92"/>
      <c r="D119" s="92"/>
      <c r="E119" s="96">
        <f>SUM(F119:I119)</f>
        <v>12500.086258131985</v>
      </c>
      <c r="F119" s="101">
        <f>IF(F110=0,0,(F117/F110)*F112)</f>
        <v>2444.9596335786746</v>
      </c>
      <c r="G119" s="101">
        <v>0</v>
      </c>
      <c r="H119" s="101">
        <f>IF(H110=0,0,(H117/H110)*H112)</f>
        <v>6782.5479581501013</v>
      </c>
      <c r="I119" s="101">
        <f>IF(I110=0,0,(I117/I110)*I112)</f>
        <v>3272.5786664032089</v>
      </c>
      <c r="J119" s="92"/>
      <c r="K119" s="96">
        <f>E119</f>
        <v>12500.086258131985</v>
      </c>
      <c r="L119" s="92">
        <v>12500</v>
      </c>
      <c r="M119" s="100">
        <f>IF(L119=0,0,(K119-L119)/L119)</f>
        <v>6.9006505588185975E-6</v>
      </c>
    </row>
    <row r="120" spans="1:13" ht="35.1" customHeight="1" x14ac:dyDescent="0.2">
      <c r="C120" s="92"/>
      <c r="D120" s="92"/>
      <c r="E120" s="96">
        <f>SUM(F120:I120)</f>
        <v>14999.866495611364</v>
      </c>
      <c r="F120" s="101">
        <f>IF(F110=0,0,(F117/F110)*F113)</f>
        <v>3272.5027835211035</v>
      </c>
      <c r="G120" s="101">
        <f>IF(G110=0,0,(G117/G110)*G113)</f>
        <v>6782.4774849890291</v>
      </c>
      <c r="H120" s="101">
        <v>0</v>
      </c>
      <c r="I120" s="101">
        <f>IF(I110=0,0,(I117/I110)*I113)</f>
        <v>4944.8862271012304</v>
      </c>
      <c r="J120" s="92"/>
      <c r="K120" s="96">
        <f>E120</f>
        <v>14999.866495611364</v>
      </c>
      <c r="L120" s="92">
        <v>15000</v>
      </c>
      <c r="M120" s="100">
        <f>IF(L120=0,0,(K120-L120)/L120)</f>
        <v>-8.9002925757085905E-6</v>
      </c>
    </row>
    <row r="121" spans="1:13" ht="35.1" customHeight="1" x14ac:dyDescent="0.2">
      <c r="C121" s="92"/>
      <c r="D121" s="92"/>
      <c r="E121" s="96">
        <f>SUM(F121:I121)</f>
        <v>10000.036051072115</v>
      </c>
      <c r="F121" s="101">
        <f>IF(F110=0,0,(F117/F110)*F114)</f>
        <v>1782.5375829002217</v>
      </c>
      <c r="G121" s="101">
        <f>IF(G110=0,0,(G117/G110)*G114)</f>
        <v>3272.57157564507</v>
      </c>
      <c r="H121" s="101">
        <f>IF(H110=0,0,(H117/H110)*H114)</f>
        <v>4944.9268925268225</v>
      </c>
      <c r="I121" s="101">
        <v>0</v>
      </c>
      <c r="J121" s="92"/>
      <c r="K121" s="96">
        <f>E121</f>
        <v>10000.036051072115</v>
      </c>
      <c r="L121" s="92">
        <v>10000</v>
      </c>
      <c r="M121" s="100">
        <f>IF(L121=0,0,(K121-L121)/L121)</f>
        <v>3.6051072114787532E-6</v>
      </c>
    </row>
    <row r="122" spans="1:13" ht="35.1" customHeight="1" x14ac:dyDescent="0.2">
      <c r="A122" s="98" t="s">
        <v>69</v>
      </c>
      <c r="C122" s="92"/>
      <c r="D122" s="92"/>
      <c r="E122" s="92"/>
      <c r="F122" s="92"/>
      <c r="G122" s="92"/>
      <c r="H122" s="92"/>
      <c r="I122" s="92"/>
      <c r="J122" s="92"/>
      <c r="K122" s="92">
        <f>SUM(K118:K121)</f>
        <v>45000.000000000007</v>
      </c>
      <c r="L122" s="92">
        <f>SUM(L118:L121)</f>
        <v>45000</v>
      </c>
      <c r="M122" s="100"/>
    </row>
    <row r="123" spans="1:13" ht="35.1" customHeight="1" x14ac:dyDescent="0.2">
      <c r="A123" s="92">
        <v>9</v>
      </c>
      <c r="C123" s="92" t="s">
        <v>70</v>
      </c>
      <c r="D123" s="92"/>
      <c r="E123" s="92"/>
      <c r="F123" s="92"/>
      <c r="G123" s="92"/>
      <c r="H123" s="92"/>
      <c r="I123" s="92"/>
      <c r="J123" s="92"/>
      <c r="K123" s="92"/>
      <c r="L123" s="92"/>
      <c r="M123" s="92"/>
    </row>
    <row r="124" spans="1:13" ht="35.1" customHeight="1" x14ac:dyDescent="0.2">
      <c r="C124" s="92"/>
      <c r="D124" s="92"/>
      <c r="E124" s="92"/>
      <c r="F124" s="96">
        <f>SUM(F125:F128)</f>
        <v>7500.0058285798987</v>
      </c>
      <c r="G124" s="96">
        <f>SUM(G125:G128)</f>
        <v>12500.044919090948</v>
      </c>
      <c r="H124" s="96">
        <f>SUM(H125:H128)</f>
        <v>14999.930484539853</v>
      </c>
      <c r="I124" s="96">
        <f>SUM(I125:I128)</f>
        <v>10000.018767789297</v>
      </c>
      <c r="J124" s="92"/>
      <c r="K124" s="92"/>
      <c r="L124" s="92"/>
      <c r="M124" s="92" t="s">
        <v>71</v>
      </c>
    </row>
    <row r="125" spans="1:13" ht="35.1" customHeight="1" x14ac:dyDescent="0.2">
      <c r="C125" s="92"/>
      <c r="D125" s="92"/>
      <c r="E125" s="92">
        <v>7500</v>
      </c>
      <c r="F125" s="97">
        <v>0</v>
      </c>
      <c r="G125" s="97">
        <f>IF(E118=0,0,(E125/E118)*G118)</f>
        <v>2444.9472898144199</v>
      </c>
      <c r="H125" s="97">
        <f>IF(E118=0,0,(E125/E118)*H118)</f>
        <v>3272.5202644606438</v>
      </c>
      <c r="I125" s="97">
        <f>IF(E118=0,0,(E125/E118)*I118)</f>
        <v>1782.532445724936</v>
      </c>
      <c r="J125" s="92"/>
      <c r="K125" s="96">
        <f>F124</f>
        <v>7500.0058285798987</v>
      </c>
      <c r="L125" s="96">
        <v>7500</v>
      </c>
      <c r="M125" s="100">
        <f>IF(L125=0,0,(K125-L125)/L125)</f>
        <v>7.7714398648822676E-7</v>
      </c>
    </row>
    <row r="126" spans="1:13" ht="35.1" customHeight="1" x14ac:dyDescent="0.2">
      <c r="C126" s="92"/>
      <c r="D126" s="92"/>
      <c r="E126" s="92">
        <v>12500</v>
      </c>
      <c r="F126" s="97">
        <f>IF(E119=0,0,(E126/E119)*F119)</f>
        <v>2444.9427618830387</v>
      </c>
      <c r="G126" s="97">
        <v>0</v>
      </c>
      <c r="H126" s="97">
        <f>IF(E119=0,0,(E126/E119)*H119)</f>
        <v>6782.5011544797198</v>
      </c>
      <c r="I126" s="97">
        <f>IF(E119=0,0,(E126/E119)*I119)</f>
        <v>3272.5560836372415</v>
      </c>
      <c r="J126" s="92"/>
      <c r="K126" s="96">
        <f>G124</f>
        <v>12500.044919090948</v>
      </c>
      <c r="L126" s="96">
        <v>12500</v>
      </c>
      <c r="M126" s="100">
        <f>IF(L126=0,0,(K126-L126)/L126)</f>
        <v>3.5935272758069915E-6</v>
      </c>
    </row>
    <row r="127" spans="1:13" ht="35.1" customHeight="1" x14ac:dyDescent="0.2">
      <c r="C127" s="92"/>
      <c r="D127" s="92"/>
      <c r="E127" s="92">
        <v>15000</v>
      </c>
      <c r="F127" s="97">
        <f>IF(E120=0,0,(E127/E120)*F120)</f>
        <v>3272.5319100125657</v>
      </c>
      <c r="G127" s="97">
        <f>IF(E120=0,0,(E127/E120)*G120)</f>
        <v>6782.5378515603134</v>
      </c>
      <c r="H127" s="97">
        <v>0</v>
      </c>
      <c r="I127" s="97">
        <f>IF(E120=0,0,(E127/E120)*I120)</f>
        <v>4944.9302384271186</v>
      </c>
      <c r="J127" s="92"/>
      <c r="K127" s="96">
        <f>H124</f>
        <v>14999.930484539853</v>
      </c>
      <c r="L127" s="96">
        <v>15000</v>
      </c>
      <c r="M127" s="100">
        <f>IF(L127=0,0,(K127-L127)/L127)</f>
        <v>-4.6343640098105727E-6</v>
      </c>
    </row>
    <row r="128" spans="1:13" ht="35.1" customHeight="1" x14ac:dyDescent="0.2">
      <c r="C128" s="92"/>
      <c r="D128" s="92"/>
      <c r="E128" s="92">
        <v>10000</v>
      </c>
      <c r="F128" s="97">
        <f>IF(E121=0,0,(E128/E121)*F121)</f>
        <v>1782.531156684294</v>
      </c>
      <c r="G128" s="97">
        <f>IF(E121=0,0,(E128/E121)*G121)</f>
        <v>3272.5597777162152</v>
      </c>
      <c r="H128" s="97">
        <f>IF(E121=0,0,(E128/E121)*H121)</f>
        <v>4944.9090655994896</v>
      </c>
      <c r="I128" s="97">
        <v>0</v>
      </c>
      <c r="J128" s="92"/>
      <c r="K128" s="96">
        <f>I124</f>
        <v>10000.018767789297</v>
      </c>
      <c r="L128" s="96">
        <v>10000</v>
      </c>
      <c r="M128" s="100">
        <f>IF(L128=0,0,(K128-L128)/L128)</f>
        <v>1.876778929727152E-6</v>
      </c>
    </row>
    <row r="129" spans="1:13" ht="35.1" customHeight="1" x14ac:dyDescent="0.2">
      <c r="C129" s="92"/>
      <c r="D129" s="92"/>
      <c r="E129" s="92"/>
      <c r="F129" s="99"/>
      <c r="G129" s="99"/>
      <c r="H129" s="99"/>
      <c r="I129" s="99"/>
      <c r="J129" s="92"/>
      <c r="K129" s="92">
        <f>SUM(K125:K128)</f>
        <v>44999.999999999993</v>
      </c>
      <c r="L129" s="92">
        <f>SUM(L125:L128)</f>
        <v>45000</v>
      </c>
      <c r="M129" s="100"/>
    </row>
    <row r="130" spans="1:13" ht="35.1" customHeight="1" x14ac:dyDescent="0.2">
      <c r="C130" s="92" t="s">
        <v>72</v>
      </c>
      <c r="D130" s="92"/>
      <c r="E130" s="92"/>
      <c r="F130" s="92"/>
      <c r="G130" s="92"/>
      <c r="H130" s="92"/>
      <c r="I130" s="92"/>
      <c r="J130" s="92"/>
      <c r="K130" s="92"/>
      <c r="L130" s="92"/>
      <c r="M130" s="92"/>
    </row>
    <row r="131" spans="1:13" ht="35.1" customHeight="1" x14ac:dyDescent="0.2">
      <c r="C131" s="92"/>
      <c r="D131" s="92"/>
      <c r="E131" s="92"/>
      <c r="F131" s="96">
        <v>7500</v>
      </c>
      <c r="G131" s="96">
        <v>12500</v>
      </c>
      <c r="H131" s="96">
        <v>15000</v>
      </c>
      <c r="I131" s="96">
        <v>10000</v>
      </c>
      <c r="J131" s="92"/>
      <c r="K131" s="92"/>
      <c r="L131" s="92"/>
      <c r="M131" s="92" t="s">
        <v>71</v>
      </c>
    </row>
    <row r="132" spans="1:13" ht="35.1" customHeight="1" x14ac:dyDescent="0.2">
      <c r="C132" s="92"/>
      <c r="D132" s="92"/>
      <c r="E132" s="96">
        <f>SUM(F132:I132)</f>
        <v>7500.0030347541615</v>
      </c>
      <c r="F132" s="101">
        <v>0</v>
      </c>
      <c r="G132" s="101">
        <f>IF(G124=0,0,(G131/G124)*G125)</f>
        <v>2444.9385038612186</v>
      </c>
      <c r="H132" s="101">
        <f>IF(H124=0,0,(H131/H124)*H125)</f>
        <v>3272.5354305810638</v>
      </c>
      <c r="I132" s="101">
        <f>IF(I124=0,0,(I131/I124)*I125)</f>
        <v>1782.5291003118789</v>
      </c>
      <c r="J132" s="92"/>
      <c r="K132" s="96">
        <f>E132</f>
        <v>7500.0030347541615</v>
      </c>
      <c r="L132" s="92">
        <v>7500</v>
      </c>
      <c r="M132" s="100">
        <f>IF(L132=0,0,(K132-L132)/L132)</f>
        <v>4.0463388819868366E-7</v>
      </c>
    </row>
    <row r="133" spans="1:13" ht="35.1" customHeight="1" x14ac:dyDescent="0.2">
      <c r="C133" s="92"/>
      <c r="D133" s="92"/>
      <c r="E133" s="96">
        <f>SUM(F133:I133)</f>
        <v>12500.02339080105</v>
      </c>
      <c r="F133" s="101">
        <f>IF(F124=0,0,(F131/F124)*F126)</f>
        <v>2444.9408618119505</v>
      </c>
      <c r="G133" s="101">
        <v>0</v>
      </c>
      <c r="H133" s="101">
        <f>IF(H124=0,0,(H131/H124)*H126)</f>
        <v>6782.5325872046369</v>
      </c>
      <c r="I133" s="101">
        <f>IF(I124=0,0,(I131/I124)*I126)</f>
        <v>3272.5499417844644</v>
      </c>
      <c r="J133" s="92"/>
      <c r="K133" s="96">
        <f>E133</f>
        <v>12500.02339080105</v>
      </c>
      <c r="L133" s="92">
        <v>12500</v>
      </c>
      <c r="M133" s="100">
        <f>IF(L133=0,0,(K133-L133)/L133)</f>
        <v>1.8712640840385575E-6</v>
      </c>
    </row>
    <row r="134" spans="1:13" ht="35.1" customHeight="1" x14ac:dyDescent="0.2">
      <c r="C134" s="92"/>
      <c r="D134" s="92"/>
      <c r="E134" s="96">
        <f>SUM(F134:I134)</f>
        <v>14999.963803102835</v>
      </c>
      <c r="F134" s="101">
        <f>IF(F124=0,0,(F131/F124)*F127)</f>
        <v>3272.5293667860478</v>
      </c>
      <c r="G134" s="101">
        <f>IF(G124=0,0,(G131/G124)*G127)</f>
        <v>6782.5134784131305</v>
      </c>
      <c r="H134" s="101">
        <v>0</v>
      </c>
      <c r="I134" s="101">
        <f>IF(I124=0,0,(I131/I124)*I127)</f>
        <v>4944.920957903656</v>
      </c>
      <c r="J134" s="92"/>
      <c r="K134" s="96">
        <f>E134</f>
        <v>14999.963803102835</v>
      </c>
      <c r="L134" s="92">
        <v>15000</v>
      </c>
      <c r="M134" s="100">
        <f>IF(L134=0,0,(K134-L134)/L134)</f>
        <v>-2.4131264776466801E-6</v>
      </c>
    </row>
    <row r="135" spans="1:13" ht="35.1" customHeight="1" x14ac:dyDescent="0.2">
      <c r="C135" s="92"/>
      <c r="D135" s="92"/>
      <c r="E135" s="96">
        <f>SUM(F135:I135)</f>
        <v>10000.009771341953</v>
      </c>
      <c r="F135" s="101">
        <f>IF(F124=0,0,(F131/F124)*F128)</f>
        <v>1782.5297714020014</v>
      </c>
      <c r="G135" s="101">
        <f>IF(G124=0,0,(G131/G124)*G128)</f>
        <v>3272.5480177256522</v>
      </c>
      <c r="H135" s="101">
        <f>IF(H124=0,0,(H131/H124)*H128)</f>
        <v>4944.9319822142988</v>
      </c>
      <c r="I135" s="101">
        <v>0</v>
      </c>
      <c r="J135" s="92"/>
      <c r="K135" s="96">
        <f>E135</f>
        <v>10000.009771341953</v>
      </c>
      <c r="L135" s="92">
        <v>10000</v>
      </c>
      <c r="M135" s="100">
        <f>IF(L135=0,0,(K135-L135)/L135)</f>
        <v>9.7713419527281066E-7</v>
      </c>
    </row>
    <row r="136" spans="1:13" ht="35.1" customHeight="1" x14ac:dyDescent="0.2">
      <c r="A136" s="98" t="s">
        <v>69</v>
      </c>
      <c r="C136" s="92"/>
      <c r="D136" s="92"/>
      <c r="E136" s="92"/>
      <c r="F136" s="92"/>
      <c r="G136" s="92"/>
      <c r="H136" s="92"/>
      <c r="I136" s="92"/>
      <c r="J136" s="92"/>
      <c r="K136" s="92">
        <f>SUM(K132:K135)</f>
        <v>45000</v>
      </c>
      <c r="L136" s="92">
        <f>SUM(L132:L135)</f>
        <v>45000</v>
      </c>
      <c r="M136" s="100"/>
    </row>
    <row r="137" spans="1:13" ht="35.1" customHeight="1" x14ac:dyDescent="0.2">
      <c r="A137" s="92">
        <v>10</v>
      </c>
      <c r="C137" s="92" t="s">
        <v>70</v>
      </c>
      <c r="D137" s="92"/>
      <c r="E137" s="92"/>
      <c r="F137" s="92"/>
      <c r="G137" s="92"/>
      <c r="H137" s="92"/>
      <c r="I137" s="92"/>
      <c r="J137" s="92"/>
      <c r="K137" s="92"/>
      <c r="L137" s="92"/>
      <c r="M137" s="92"/>
    </row>
    <row r="138" spans="1:13" ht="35.1" customHeight="1" x14ac:dyDescent="0.2">
      <c r="C138" s="92"/>
      <c r="D138" s="92"/>
      <c r="E138" s="92"/>
      <c r="F138" s="96">
        <f>SUM(F139:F142)</f>
        <v>7500.0015801557674</v>
      </c>
      <c r="G138" s="96">
        <f>SUM(G139:G142)</f>
        <v>12500.012180082336</v>
      </c>
      <c r="H138" s="96">
        <f>SUM(H139:H142)</f>
        <v>14999.98115207851</v>
      </c>
      <c r="I138" s="96">
        <f>SUM(I139:I142)</f>
        <v>10000.005087683388</v>
      </c>
      <c r="J138" s="92"/>
      <c r="K138" s="92"/>
      <c r="L138" s="92"/>
      <c r="M138" s="92" t="s">
        <v>71</v>
      </c>
    </row>
    <row r="139" spans="1:13" ht="35.1" customHeight="1" x14ac:dyDescent="0.2">
      <c r="C139" s="92"/>
      <c r="D139" s="92"/>
      <c r="E139" s="92">
        <v>7500</v>
      </c>
      <c r="F139" s="97">
        <v>0</v>
      </c>
      <c r="G139" s="97">
        <f>IF(E132=0,0,(E139/E132)*G132)</f>
        <v>2444.937514556646</v>
      </c>
      <c r="H139" s="97">
        <f>IF(E132=0,0,(E139/E132)*H132)</f>
        <v>3272.5341064028644</v>
      </c>
      <c r="I139" s="97">
        <f>IF(E132=0,0,(E139/E132)*I132)</f>
        <v>1782.5283790404901</v>
      </c>
      <c r="J139" s="92"/>
      <c r="K139" s="96">
        <f>F138</f>
        <v>7500.0015801557674</v>
      </c>
      <c r="L139" s="96">
        <v>7500</v>
      </c>
      <c r="M139" s="100">
        <f>IF(L139=0,0,(K139-L139)/L139)</f>
        <v>2.1068743565895905E-7</v>
      </c>
    </row>
    <row r="140" spans="1:13" ht="35.1" customHeight="1" x14ac:dyDescent="0.2">
      <c r="C140" s="92"/>
      <c r="D140" s="92"/>
      <c r="E140" s="92">
        <v>12500</v>
      </c>
      <c r="F140" s="97">
        <f>IF(E133=0,0,(E140/E133)*F133)</f>
        <v>2444.9362866904894</v>
      </c>
      <c r="G140" s="97">
        <v>0</v>
      </c>
      <c r="H140" s="97">
        <f>IF(E133=0,0,(E140/E133)*H133)</f>
        <v>6782.5198953187582</v>
      </c>
      <c r="I140" s="97">
        <f>IF(E133=0,0,(E140/E133)*I133)</f>
        <v>3272.5438179907546</v>
      </c>
      <c r="J140" s="92"/>
      <c r="K140" s="96">
        <f>G138</f>
        <v>12500.012180082336</v>
      </c>
      <c r="L140" s="96">
        <v>12500</v>
      </c>
      <c r="M140" s="100">
        <f>IF(L140=0,0,(K140-L140)/L140)</f>
        <v>9.7440658690175033E-7</v>
      </c>
    </row>
    <row r="141" spans="1:13" ht="35.1" customHeight="1" x14ac:dyDescent="0.2">
      <c r="C141" s="92"/>
      <c r="D141" s="92"/>
      <c r="E141" s="92">
        <v>15000</v>
      </c>
      <c r="F141" s="97">
        <f>IF(E134=0,0,(E141/E134)*F134)</f>
        <v>3272.5372638323684</v>
      </c>
      <c r="G141" s="97">
        <f>IF(E134=0,0,(E141/E134)*G134)</f>
        <v>6782.5298455154862</v>
      </c>
      <c r="H141" s="97">
        <v>0</v>
      </c>
      <c r="I141" s="97">
        <f>IF(E134=0,0,(E141/E134)*I134)</f>
        <v>4944.932890652145</v>
      </c>
      <c r="J141" s="92"/>
      <c r="K141" s="96">
        <f>H138</f>
        <v>14999.98115207851</v>
      </c>
      <c r="L141" s="96">
        <v>15000</v>
      </c>
      <c r="M141" s="100">
        <f>IF(L141=0,0,(K141-L141)/L141)</f>
        <v>-1.2565280993536967E-6</v>
      </c>
    </row>
    <row r="142" spans="1:13" ht="35.1" customHeight="1" x14ac:dyDescent="0.2">
      <c r="C142" s="92"/>
      <c r="D142" s="92"/>
      <c r="E142" s="92">
        <v>10000</v>
      </c>
      <c r="F142" s="97">
        <f>IF(E135=0,0,(E142/E135)*F135)</f>
        <v>1782.5280296329097</v>
      </c>
      <c r="G142" s="97">
        <f>IF(E135=0,0,(E142/E135)*G135)</f>
        <v>3272.5448200102032</v>
      </c>
      <c r="H142" s="97">
        <f>IF(E135=0,0,(E142/E135)*H135)</f>
        <v>4944.9271503568871</v>
      </c>
      <c r="I142" s="97">
        <v>0</v>
      </c>
      <c r="J142" s="92"/>
      <c r="K142" s="96">
        <f>I138</f>
        <v>10000.005087683388</v>
      </c>
      <c r="L142" s="96">
        <v>10000</v>
      </c>
      <c r="M142" s="100">
        <f>IF(L142=0,0,(K142-L142)/L142)</f>
        <v>5.0876833884103694E-7</v>
      </c>
    </row>
    <row r="143" spans="1:13" ht="35.1" customHeight="1" x14ac:dyDescent="0.2">
      <c r="C143" s="92"/>
      <c r="D143" s="92"/>
      <c r="E143" s="92"/>
      <c r="F143" s="99"/>
      <c r="G143" s="99"/>
      <c r="H143" s="99"/>
      <c r="I143" s="99"/>
      <c r="J143" s="92"/>
      <c r="K143" s="92">
        <f>SUM(K139:K142)</f>
        <v>45000</v>
      </c>
      <c r="L143" s="92">
        <f>SUM(L139:L142)</f>
        <v>45000</v>
      </c>
      <c r="M143" s="100"/>
    </row>
    <row r="144" spans="1:13" ht="35.1" customHeight="1" x14ac:dyDescent="0.2">
      <c r="C144" s="92" t="s">
        <v>72</v>
      </c>
      <c r="D144" s="92"/>
      <c r="E144" s="92"/>
      <c r="F144" s="92"/>
      <c r="G144" s="92"/>
      <c r="H144" s="92"/>
      <c r="I144" s="92"/>
      <c r="J144" s="92"/>
      <c r="K144" s="92"/>
      <c r="L144" s="92"/>
      <c r="M144" s="92"/>
    </row>
    <row r="145" spans="1:13" ht="35.1" customHeight="1" x14ac:dyDescent="0.2">
      <c r="C145" s="92"/>
      <c r="D145" s="92"/>
      <c r="E145" s="92"/>
      <c r="F145" s="96">
        <v>7500</v>
      </c>
      <c r="G145" s="96">
        <v>12500</v>
      </c>
      <c r="H145" s="96">
        <v>15000</v>
      </c>
      <c r="I145" s="96">
        <v>10000</v>
      </c>
      <c r="J145" s="92"/>
      <c r="K145" s="92"/>
      <c r="L145" s="92"/>
      <c r="M145" s="92" t="s">
        <v>71</v>
      </c>
    </row>
    <row r="146" spans="1:13" ht="35.1" customHeight="1" x14ac:dyDescent="0.2">
      <c r="C146" s="92"/>
      <c r="D146" s="92"/>
      <c r="E146" s="96">
        <f>SUM(F146:I146)</f>
        <v>7500.0008227817907</v>
      </c>
      <c r="F146" s="101">
        <v>0</v>
      </c>
      <c r="G146" s="101">
        <f>IF(G138=0,0,(G145/G138)*G139)</f>
        <v>2444.9351321957488</v>
      </c>
      <c r="H146" s="101">
        <f>IF(H138=0,0,(H145/H138)*H139)</f>
        <v>3272.5382184390924</v>
      </c>
      <c r="I146" s="101">
        <f>IF(I138=0,0,(I145/I138)*I139)</f>
        <v>1782.5274721469491</v>
      </c>
      <c r="J146" s="92"/>
      <c r="K146" s="96">
        <f>E146</f>
        <v>7500.0008227817907</v>
      </c>
      <c r="L146" s="92">
        <v>7500</v>
      </c>
      <c r="M146" s="100">
        <f>IF(L146=0,0,(K146-L146)/L146)</f>
        <v>1.0970423876036269E-7</v>
      </c>
    </row>
    <row r="147" spans="1:13" ht="35.1" customHeight="1" x14ac:dyDescent="0.2">
      <c r="C147" s="92"/>
      <c r="D147" s="92"/>
      <c r="E147" s="96">
        <f>SUM(F147:I147)</f>
        <v>12500.00634235446</v>
      </c>
      <c r="F147" s="101">
        <f>IF(F138=0,0,(F145/F138)*F140)</f>
        <v>2444.9357715732413</v>
      </c>
      <c r="G147" s="101">
        <v>0</v>
      </c>
      <c r="H147" s="101">
        <f>IF(H138=0,0,(H145/H138)*H140)</f>
        <v>6782.5284177563008</v>
      </c>
      <c r="I147" s="101">
        <f>IF(I138=0,0,(I145/I138)*I140)</f>
        <v>3272.5421530249196</v>
      </c>
      <c r="J147" s="92"/>
      <c r="K147" s="96">
        <f>E147</f>
        <v>12500.00634235446</v>
      </c>
      <c r="L147" s="92">
        <v>12500</v>
      </c>
      <c r="M147" s="100">
        <f>IF(L147=0,0,(K147-L147)/L147)</f>
        <v>5.0738835678203027E-7</v>
      </c>
    </row>
    <row r="148" spans="1:13" ht="35.1" customHeight="1" x14ac:dyDescent="0.2">
      <c r="C148" s="92"/>
      <c r="D148" s="92"/>
      <c r="E148" s="96">
        <f>SUM(F148:I148)</f>
        <v>14999.99018575833</v>
      </c>
      <c r="F148" s="101">
        <f>IF(F138=0,0,(F145/F138)*F141)</f>
        <v>3272.5365743500292</v>
      </c>
      <c r="G148" s="101">
        <f>IF(G138=0,0,(G145/G138)*G141)</f>
        <v>6782.5232365801685</v>
      </c>
      <c r="H148" s="101">
        <v>0</v>
      </c>
      <c r="I148" s="101">
        <f>IF(I138=0,0,(I145/I138)*I141)</f>
        <v>4944.9303748281327</v>
      </c>
      <c r="J148" s="92"/>
      <c r="K148" s="96">
        <f>E148</f>
        <v>14999.99018575833</v>
      </c>
      <c r="L148" s="92">
        <v>15000</v>
      </c>
      <c r="M148" s="100">
        <f>IF(L148=0,0,(K148-L148)/L148)</f>
        <v>-6.5428277800189484E-7</v>
      </c>
    </row>
    <row r="149" spans="1:13" ht="35.1" customHeight="1" x14ac:dyDescent="0.2">
      <c r="C149" s="92"/>
      <c r="D149" s="92"/>
      <c r="E149" s="96">
        <f>SUM(F149:I149)</f>
        <v>10000.00264910542</v>
      </c>
      <c r="F149" s="101">
        <f>IF(F138=0,0,(F145/F138)*F142)</f>
        <v>1782.5276540767293</v>
      </c>
      <c r="G149" s="101">
        <f>IF(G138=0,0,(G145/G138)*G142)</f>
        <v>3272.5416312240818</v>
      </c>
      <c r="H149" s="101">
        <f>IF(H138=0,0,(H145/H138)*H142)</f>
        <v>4944.9333638046082</v>
      </c>
      <c r="I149" s="101">
        <v>0</v>
      </c>
      <c r="J149" s="92"/>
      <c r="K149" s="96">
        <f>E149</f>
        <v>10000.00264910542</v>
      </c>
      <c r="L149" s="92">
        <v>10000</v>
      </c>
      <c r="M149" s="100">
        <f>IF(L149=0,0,(K149-L149)/L149)</f>
        <v>2.6491054195503241E-7</v>
      </c>
    </row>
    <row r="150" spans="1:13" ht="35.1" customHeight="1" x14ac:dyDescent="0.2">
      <c r="A150" s="98" t="s">
        <v>69</v>
      </c>
      <c r="C150" s="92"/>
      <c r="D150" s="92"/>
      <c r="E150" s="92"/>
      <c r="F150" s="92"/>
      <c r="G150" s="92"/>
      <c r="H150" s="92"/>
      <c r="I150" s="92"/>
      <c r="J150" s="92"/>
      <c r="K150" s="92">
        <f>SUM(K146:K149)</f>
        <v>45000</v>
      </c>
      <c r="L150" s="92">
        <f>SUM(L146:L149)</f>
        <v>45000</v>
      </c>
      <c r="M150" s="100"/>
    </row>
    <row r="151" spans="1:13" ht="35.1" customHeight="1" x14ac:dyDescent="0.2">
      <c r="A151" s="92">
        <v>11</v>
      </c>
      <c r="C151" s="92" t="s">
        <v>70</v>
      </c>
      <c r="D151" s="92"/>
      <c r="E151" s="92"/>
      <c r="F151" s="92"/>
      <c r="G151" s="92"/>
      <c r="H151" s="92"/>
      <c r="I151" s="92"/>
      <c r="J151" s="92"/>
      <c r="K151" s="92"/>
      <c r="L151" s="92"/>
      <c r="M151" s="92"/>
    </row>
    <row r="152" spans="1:13" ht="35.1" customHeight="1" x14ac:dyDescent="0.2">
      <c r="C152" s="92"/>
      <c r="D152" s="92"/>
      <c r="E152" s="92"/>
      <c r="F152" s="96">
        <f>SUM(F153:F156)</f>
        <v>7500.0004284241659</v>
      </c>
      <c r="G152" s="96">
        <f>SUM(G153:G156)</f>
        <v>12500.003302540783</v>
      </c>
      <c r="H152" s="96">
        <f>SUM(H153:H156)</f>
        <v>14999.994889649894</v>
      </c>
      <c r="I152" s="96">
        <f>SUM(I153:I156)</f>
        <v>10000.001379385161</v>
      </c>
      <c r="J152" s="92"/>
      <c r="K152" s="92"/>
      <c r="L152" s="92"/>
      <c r="M152" s="92" t="s">
        <v>71</v>
      </c>
    </row>
    <row r="153" spans="1:13" ht="35.1" customHeight="1" x14ac:dyDescent="0.2">
      <c r="C153" s="92"/>
      <c r="D153" s="92"/>
      <c r="E153" s="92">
        <v>7500</v>
      </c>
      <c r="F153" s="97">
        <v>0</v>
      </c>
      <c r="G153" s="97">
        <f>IF(E146=0,0,(E153/E146)*G146)</f>
        <v>2444.9348639760306</v>
      </c>
      <c r="H153" s="97">
        <f>IF(E146=0,0,(E153/E146)*H146)</f>
        <v>3272.5378594278177</v>
      </c>
      <c r="I153" s="97">
        <f>IF(E146=0,0,(E153/E146)*I146)</f>
        <v>1782.5272765961513</v>
      </c>
      <c r="J153" s="92"/>
      <c r="K153" s="96">
        <f>F152</f>
        <v>7500.0004284241659</v>
      </c>
      <c r="L153" s="96">
        <v>7500</v>
      </c>
      <c r="M153" s="100">
        <f>IF(L153=0,0,(K153-L153)/L153)</f>
        <v>5.7123222116691368E-8</v>
      </c>
    </row>
    <row r="154" spans="1:13" ht="35.1" customHeight="1" x14ac:dyDescent="0.2">
      <c r="C154" s="92"/>
      <c r="D154" s="92"/>
      <c r="E154" s="92">
        <v>12500</v>
      </c>
      <c r="F154" s="97">
        <f>IF(E147=0,0,(E154/E147)*F147)</f>
        <v>2444.9345310419271</v>
      </c>
      <c r="G154" s="97">
        <v>0</v>
      </c>
      <c r="H154" s="97">
        <f>IF(E147=0,0,(E154/E147)*H147)</f>
        <v>6782.5249763820984</v>
      </c>
      <c r="I154" s="97">
        <f>IF(E147=0,0,(E154/E147)*I147)</f>
        <v>3272.5404925759767</v>
      </c>
      <c r="J154" s="92"/>
      <c r="K154" s="96">
        <f>G152</f>
        <v>12500.003302540783</v>
      </c>
      <c r="L154" s="96">
        <v>12500</v>
      </c>
      <c r="M154" s="100">
        <f>IF(L154=0,0,(K154-L154)/L154)</f>
        <v>2.6420326263178141E-7</v>
      </c>
    </row>
    <row r="155" spans="1:13" ht="35.1" customHeight="1" x14ac:dyDescent="0.2">
      <c r="C155" s="92"/>
      <c r="D155" s="92"/>
      <c r="E155" s="92">
        <v>15000</v>
      </c>
      <c r="F155" s="97">
        <f>IF(E148=0,0,(E155/E148)*F148)</f>
        <v>3272.5387155157509</v>
      </c>
      <c r="G155" s="97">
        <f>IF(E148=0,0,(E155/E148)*G148)</f>
        <v>6782.5276742712167</v>
      </c>
      <c r="H155" s="97">
        <v>0</v>
      </c>
      <c r="I155" s="97">
        <f>IF(E148=0,0,(E155/E148)*I148)</f>
        <v>4944.9336102130319</v>
      </c>
      <c r="J155" s="92"/>
      <c r="K155" s="96">
        <f>H152</f>
        <v>14999.994889649894</v>
      </c>
      <c r="L155" s="96">
        <v>15000</v>
      </c>
      <c r="M155" s="100">
        <f>IF(L155=0,0,(K155-L155)/L155)</f>
        <v>-3.4069000709375055E-7</v>
      </c>
    </row>
    <row r="156" spans="1:13" ht="35.1" customHeight="1" x14ac:dyDescent="0.2">
      <c r="C156" s="92"/>
      <c r="D156" s="92"/>
      <c r="E156" s="92">
        <v>10000</v>
      </c>
      <c r="F156" s="97">
        <f>IF(E149=0,0,(E156/E149)*F149)</f>
        <v>1782.5271818664876</v>
      </c>
      <c r="G156" s="97">
        <f>IF(E149=0,0,(E156/E149)*G149)</f>
        <v>3272.5407642935343</v>
      </c>
      <c r="H156" s="97">
        <f>IF(E149=0,0,(E156/E149)*H149)</f>
        <v>4944.9320538399779</v>
      </c>
      <c r="I156" s="97">
        <v>0</v>
      </c>
      <c r="J156" s="92"/>
      <c r="K156" s="96">
        <f>I152</f>
        <v>10000.001379385161</v>
      </c>
      <c r="L156" s="96">
        <v>10000</v>
      </c>
      <c r="M156" s="100">
        <f>IF(L156=0,0,(K156-L156)/L156)</f>
        <v>1.3793851612717844E-7</v>
      </c>
    </row>
    <row r="157" spans="1:13" ht="35.1" customHeight="1" x14ac:dyDescent="0.2">
      <c r="C157" s="92"/>
      <c r="D157" s="92"/>
      <c r="E157" s="92"/>
      <c r="F157" s="99"/>
      <c r="G157" s="99"/>
      <c r="H157" s="99"/>
      <c r="I157" s="99"/>
      <c r="J157" s="92"/>
      <c r="K157" s="92">
        <f>SUM(K153:K156)</f>
        <v>45000.000000000007</v>
      </c>
      <c r="L157" s="92">
        <f>SUM(L153:L156)</f>
        <v>45000</v>
      </c>
      <c r="M157" s="100"/>
    </row>
    <row r="158" spans="1:13" ht="35.1" customHeight="1" x14ac:dyDescent="0.2">
      <c r="C158" s="92" t="s">
        <v>72</v>
      </c>
      <c r="D158" s="92"/>
      <c r="E158" s="92"/>
      <c r="F158" s="92"/>
      <c r="G158" s="92"/>
      <c r="H158" s="92"/>
      <c r="I158" s="92"/>
      <c r="J158" s="92"/>
      <c r="K158" s="92"/>
      <c r="L158" s="92"/>
      <c r="M158" s="92"/>
    </row>
    <row r="159" spans="1:13" ht="35.1" customHeight="1" x14ac:dyDescent="0.2">
      <c r="C159" s="92"/>
      <c r="D159" s="92"/>
      <c r="E159" s="92"/>
      <c r="F159" s="96">
        <v>7500</v>
      </c>
      <c r="G159" s="96">
        <v>12500</v>
      </c>
      <c r="H159" s="96">
        <v>15000</v>
      </c>
      <c r="I159" s="96">
        <v>10000</v>
      </c>
      <c r="J159" s="92"/>
      <c r="K159" s="92"/>
      <c r="L159" s="92"/>
      <c r="M159" s="92" t="s">
        <v>71</v>
      </c>
    </row>
    <row r="160" spans="1:13" ht="35.1" customHeight="1" x14ac:dyDescent="0.2">
      <c r="C160" s="92"/>
      <c r="D160" s="92"/>
      <c r="E160" s="96">
        <f>SUM(F160:I160)</f>
        <v>7500.0002230825949</v>
      </c>
      <c r="F160" s="101">
        <v>0</v>
      </c>
      <c r="G160" s="101">
        <f>IF(G152=0,0,(G159/G152)*G153)</f>
        <v>2444.9342180164331</v>
      </c>
      <c r="H160" s="101">
        <f>IF(H152=0,0,(H159/H152)*H153)</f>
        <v>3272.5389743491442</v>
      </c>
      <c r="I160" s="101">
        <f>IF(I152=0,0,(I159/I152)*I153)</f>
        <v>1782.5270307170179</v>
      </c>
      <c r="J160" s="92"/>
      <c r="K160" s="96">
        <f>E160</f>
        <v>7500.0002230825949</v>
      </c>
      <c r="L160" s="92">
        <v>7500</v>
      </c>
      <c r="M160" s="100">
        <f>IF(L160=0,0,(K160-L160)/L160)</f>
        <v>2.9744345980968016E-8</v>
      </c>
    </row>
    <row r="161" spans="1:13" ht="35.1" customHeight="1" x14ac:dyDescent="0.2">
      <c r="C161" s="92"/>
      <c r="D161" s="92"/>
      <c r="E161" s="96">
        <f>SUM(F161:I161)</f>
        <v>12500.001719667425</v>
      </c>
      <c r="F161" s="101">
        <f>IF(F152=0,0,(F159/F152)*F154)</f>
        <v>2444.9343913793969</v>
      </c>
      <c r="G161" s="101">
        <v>0</v>
      </c>
      <c r="H161" s="101">
        <f>IF(H152=0,0,(H159/H152)*H154)</f>
        <v>6782.5272871213683</v>
      </c>
      <c r="I161" s="101">
        <f>IF(I152=0,0,(I159/I152)*I154)</f>
        <v>3272.5400411666596</v>
      </c>
      <c r="J161" s="92"/>
      <c r="K161" s="96">
        <f>E161</f>
        <v>12500.001719667425</v>
      </c>
      <c r="L161" s="92">
        <v>12500</v>
      </c>
      <c r="M161" s="100">
        <f>IF(L161=0,0,(K161-L161)/L161)</f>
        <v>1.3757339402218349E-7</v>
      </c>
    </row>
    <row r="162" spans="1:13" ht="35.1" customHeight="1" x14ac:dyDescent="0.2">
      <c r="C162" s="92"/>
      <c r="D162" s="92"/>
      <c r="E162" s="96">
        <f>SUM(F162:I162)</f>
        <v>14999.997338999878</v>
      </c>
      <c r="F162" s="101">
        <f>IF(F152=0,0,(F159/F152)*F155)</f>
        <v>3272.5385285778057</v>
      </c>
      <c r="G162" s="101">
        <f>IF(G152=0,0,(G159/G152)*G155)</f>
        <v>6782.5258823057493</v>
      </c>
      <c r="H162" s="101">
        <v>0</v>
      </c>
      <c r="I162" s="101">
        <f>IF(I152=0,0,(I159/I152)*I155)</f>
        <v>4944.9329281163218</v>
      </c>
      <c r="J162" s="92"/>
      <c r="K162" s="96">
        <f>E162</f>
        <v>14999.997338999878</v>
      </c>
      <c r="L162" s="92">
        <v>15000</v>
      </c>
      <c r="M162" s="100">
        <f>IF(L162=0,0,(K162-L162)/L162)</f>
        <v>-1.7740000815441211E-7</v>
      </c>
    </row>
    <row r="163" spans="1:13" ht="35.1" customHeight="1" x14ac:dyDescent="0.2">
      <c r="C163" s="92"/>
      <c r="D163" s="92"/>
      <c r="E163" s="96">
        <f>SUM(F163:I163)</f>
        <v>10000.000718250101</v>
      </c>
      <c r="F163" s="101">
        <f>IF(F152=0,0,(F159/F152)*F156)</f>
        <v>1782.5270800427973</v>
      </c>
      <c r="G163" s="101">
        <f>IF(G152=0,0,(G159/G152)*G156)</f>
        <v>3272.5398996778154</v>
      </c>
      <c r="H163" s="101">
        <f>IF(H152=0,0,(H159/H152)*H156)</f>
        <v>4944.9337385294884</v>
      </c>
      <c r="I163" s="101">
        <v>0</v>
      </c>
      <c r="J163" s="92"/>
      <c r="K163" s="96">
        <f>E163</f>
        <v>10000.000718250101</v>
      </c>
      <c r="L163" s="92">
        <v>10000</v>
      </c>
      <c r="M163" s="100">
        <f>IF(L163=0,0,(K163-L163)/L163)</f>
        <v>7.1825010127213317E-8</v>
      </c>
    </row>
    <row r="164" spans="1:13" ht="35.1" customHeight="1" x14ac:dyDescent="0.2">
      <c r="A164" s="98" t="s">
        <v>69</v>
      </c>
      <c r="C164" s="92"/>
      <c r="D164" s="92"/>
      <c r="E164" s="92"/>
      <c r="F164" s="92"/>
      <c r="G164" s="92"/>
      <c r="H164" s="92"/>
      <c r="I164" s="92"/>
      <c r="J164" s="92"/>
      <c r="K164" s="92">
        <f>SUM(K160:K163)</f>
        <v>45000</v>
      </c>
      <c r="L164" s="92">
        <f>SUM(L160:L163)</f>
        <v>45000</v>
      </c>
      <c r="M164" s="100"/>
    </row>
    <row r="165" spans="1:13" ht="35.1" customHeight="1" x14ac:dyDescent="0.2">
      <c r="A165" s="92">
        <v>12</v>
      </c>
      <c r="C165" s="92" t="s">
        <v>70</v>
      </c>
      <c r="D165" s="92"/>
      <c r="E165" s="92"/>
      <c r="F165" s="92"/>
      <c r="G165" s="92"/>
      <c r="H165" s="92"/>
      <c r="I165" s="92"/>
      <c r="J165" s="92"/>
      <c r="K165" s="92"/>
      <c r="L165" s="92"/>
      <c r="M165" s="92"/>
    </row>
    <row r="166" spans="1:13" ht="35.1" customHeight="1" x14ac:dyDescent="0.2">
      <c r="C166" s="92"/>
      <c r="D166" s="92"/>
      <c r="E166" s="92"/>
      <c r="F166" s="96">
        <f>SUM(F167:F170)</f>
        <v>7500.0001161605705</v>
      </c>
      <c r="G166" s="96">
        <f>SUM(G167:G170)</f>
        <v>12500.000895447196</v>
      </c>
      <c r="H166" s="96">
        <f>SUM(H167:H170)</f>
        <v>14999.998614395412</v>
      </c>
      <c r="I166" s="96">
        <f>SUM(I167:I170)</f>
        <v>10000.000373996818</v>
      </c>
      <c r="J166" s="92"/>
      <c r="K166" s="92"/>
      <c r="L166" s="92"/>
      <c r="M166" s="92" t="s">
        <v>71</v>
      </c>
    </row>
    <row r="167" spans="1:13" ht="35.1" customHeight="1" x14ac:dyDescent="0.2">
      <c r="C167" s="92"/>
      <c r="D167" s="92"/>
      <c r="E167" s="92">
        <v>7500</v>
      </c>
      <c r="F167" s="97">
        <v>0</v>
      </c>
      <c r="G167" s="97">
        <f>IF(E160=0,0,(E167/E160)*G160)</f>
        <v>2444.9341452934659</v>
      </c>
      <c r="H167" s="97">
        <f>IF(E160=0,0,(E167/E160)*H160)</f>
        <v>3272.5388770096156</v>
      </c>
      <c r="I167" s="97">
        <f>IF(E160=0,0,(E167/E160)*I160)</f>
        <v>1782.5269776969187</v>
      </c>
      <c r="J167" s="92"/>
      <c r="K167" s="96">
        <f>F166</f>
        <v>7500.0001161605705</v>
      </c>
      <c r="L167" s="96">
        <v>7500</v>
      </c>
      <c r="M167" s="100">
        <f>IF(L167=0,0,(K167-L167)/L167)</f>
        <v>1.5488076072263842E-8</v>
      </c>
    </row>
    <row r="168" spans="1:13" ht="35.1" customHeight="1" x14ac:dyDescent="0.2">
      <c r="C168" s="92"/>
      <c r="D168" s="92"/>
      <c r="E168" s="92">
        <v>12500</v>
      </c>
      <c r="F168" s="97">
        <f>IF(E161=0,0,(E168/E161)*F161)</f>
        <v>2444.9340550215206</v>
      </c>
      <c r="G168" s="97">
        <v>0</v>
      </c>
      <c r="H168" s="97">
        <f>IF(E161=0,0,(E168/E161)*H161)</f>
        <v>6782.5263540261976</v>
      </c>
      <c r="I168" s="97">
        <f>IF(E161=0,0,(E168/E161)*I161)</f>
        <v>3272.5395909522808</v>
      </c>
      <c r="J168" s="92"/>
      <c r="K168" s="96">
        <f>G166</f>
        <v>12500.000895447196</v>
      </c>
      <c r="L168" s="96">
        <v>12500</v>
      </c>
      <c r="M168" s="100">
        <f>IF(L168=0,0,(K168-L168)/L168)</f>
        <v>7.1635775675531471E-8</v>
      </c>
    </row>
    <row r="169" spans="1:13" ht="35.1" customHeight="1" x14ac:dyDescent="0.2">
      <c r="C169" s="92"/>
      <c r="D169" s="92"/>
      <c r="E169" s="92">
        <v>15000</v>
      </c>
      <c r="F169" s="97">
        <f>IF(E162=0,0,(E169/E162)*F162)</f>
        <v>3272.53910912627</v>
      </c>
      <c r="G169" s="97">
        <f>IF(E162=0,0,(E169/E162)*G162)</f>
        <v>6782.5270855261087</v>
      </c>
      <c r="H169" s="97">
        <v>0</v>
      </c>
      <c r="I169" s="97">
        <f>IF(E162=0,0,(E169/E162)*I162)</f>
        <v>4944.9338053476185</v>
      </c>
      <c r="J169" s="92"/>
      <c r="K169" s="96">
        <f>H166</f>
        <v>14999.998614395412</v>
      </c>
      <c r="L169" s="96">
        <v>15000</v>
      </c>
      <c r="M169" s="100">
        <f>IF(L169=0,0,(K169-L169)/L169)</f>
        <v>-9.2373639199649919E-8</v>
      </c>
    </row>
    <row r="170" spans="1:13" ht="35.1" customHeight="1" x14ac:dyDescent="0.2">
      <c r="C170" s="92"/>
      <c r="D170" s="92"/>
      <c r="E170" s="92">
        <v>10000</v>
      </c>
      <c r="F170" s="97">
        <f>IF(E163=0,0,(E170/E163)*F163)</f>
        <v>1782.5269520127808</v>
      </c>
      <c r="G170" s="97">
        <f>IF(E163=0,0,(E170/E163)*G163)</f>
        <v>3272.5396646276208</v>
      </c>
      <c r="H170" s="97">
        <f>IF(E163=0,0,(E170/E163)*H163)</f>
        <v>4944.9333833595983</v>
      </c>
      <c r="I170" s="97">
        <v>0</v>
      </c>
      <c r="J170" s="92"/>
      <c r="K170" s="96">
        <f>I166</f>
        <v>10000.000373996818</v>
      </c>
      <c r="L170" s="96">
        <v>10000</v>
      </c>
      <c r="M170" s="100">
        <f>IF(L170=0,0,(K170-L170)/L170)</f>
        <v>3.7399681787064767E-8</v>
      </c>
    </row>
    <row r="171" spans="1:13" ht="35.1" customHeight="1" x14ac:dyDescent="0.2">
      <c r="C171" s="92"/>
      <c r="D171" s="92"/>
      <c r="E171" s="92"/>
      <c r="F171" s="99"/>
      <c r="G171" s="99"/>
      <c r="H171" s="99"/>
      <c r="I171" s="99"/>
      <c r="J171" s="92"/>
      <c r="K171" s="92">
        <f>SUM(K167:K170)</f>
        <v>44999.999999999993</v>
      </c>
      <c r="L171" s="92">
        <f>SUM(L167:L170)</f>
        <v>45000</v>
      </c>
      <c r="M171" s="100"/>
    </row>
    <row r="172" spans="1:13" ht="35.1" customHeight="1" x14ac:dyDescent="0.2">
      <c r="C172" s="92" t="s">
        <v>72</v>
      </c>
      <c r="D172" s="92"/>
      <c r="E172" s="92"/>
      <c r="F172" s="92"/>
      <c r="G172" s="92"/>
      <c r="H172" s="92"/>
      <c r="I172" s="92"/>
      <c r="J172" s="92"/>
      <c r="K172" s="92"/>
      <c r="L172" s="92"/>
      <c r="M172" s="92"/>
    </row>
    <row r="173" spans="1:13" ht="35.1" customHeight="1" x14ac:dyDescent="0.2">
      <c r="C173" s="92"/>
      <c r="D173" s="92"/>
      <c r="E173" s="92"/>
      <c r="F173" s="96">
        <v>7500</v>
      </c>
      <c r="G173" s="96">
        <v>12500</v>
      </c>
      <c r="H173" s="96">
        <v>15000</v>
      </c>
      <c r="I173" s="96">
        <v>10000</v>
      </c>
      <c r="J173" s="92"/>
      <c r="K173" s="92"/>
      <c r="L173" s="92"/>
      <c r="M173" s="92" t="s">
        <v>71</v>
      </c>
    </row>
    <row r="174" spans="1:13" ht="35.1" customHeight="1" x14ac:dyDescent="0.2">
      <c r="C174" s="92"/>
      <c r="D174" s="92"/>
      <c r="E174" s="96">
        <f>SUM(F174:I174)</f>
        <v>7500.0000604856741</v>
      </c>
      <c r="F174" s="101">
        <v>0</v>
      </c>
      <c r="G174" s="101">
        <f>IF(G166=0,0,(G173/G166)*G167)</f>
        <v>2444.9339701487247</v>
      </c>
      <c r="H174" s="101">
        <f>IF(H166=0,0,(H173/H166)*H167)</f>
        <v>3272.5391793059694</v>
      </c>
      <c r="I174" s="101">
        <f>IF(I166=0,0,(I173/I166)*I167)</f>
        <v>1782.5269110309796</v>
      </c>
      <c r="J174" s="92"/>
      <c r="K174" s="96">
        <f>E174</f>
        <v>7500.0000604856741</v>
      </c>
      <c r="L174" s="92">
        <v>7500</v>
      </c>
      <c r="M174" s="100">
        <f>IF(L174=0,0,(K174-L174)/L174)</f>
        <v>8.064756548264996E-9</v>
      </c>
    </row>
    <row r="175" spans="1:13" ht="35.1" customHeight="1" x14ac:dyDescent="0.2">
      <c r="C175" s="92"/>
      <c r="D175" s="92"/>
      <c r="E175" s="96">
        <f>SUM(F175:I175)</f>
        <v>12500.000466267442</v>
      </c>
      <c r="F175" s="101">
        <f>IF(F166=0,0,(F173/F166)*F168)</f>
        <v>2444.9340171541967</v>
      </c>
      <c r="G175" s="101">
        <v>0</v>
      </c>
      <c r="H175" s="101">
        <f>IF(H166=0,0,(H173/H166)*H168)</f>
        <v>6782.5269805528987</v>
      </c>
      <c r="I175" s="101">
        <f>IF(I166=0,0,(I173/I166)*I168)</f>
        <v>3272.539468560346</v>
      </c>
      <c r="J175" s="92"/>
      <c r="K175" s="96">
        <f>E175</f>
        <v>12500.000466267442</v>
      </c>
      <c r="L175" s="92">
        <v>12500</v>
      </c>
      <c r="M175" s="100">
        <f>IF(L175=0,0,(K175-L175)/L175)</f>
        <v>3.7301395350368695E-8</v>
      </c>
    </row>
    <row r="176" spans="1:13" ht="35.1" customHeight="1" x14ac:dyDescent="0.2">
      <c r="C176" s="92"/>
      <c r="D176" s="92"/>
      <c r="E176" s="96">
        <f>SUM(F176:I176)</f>
        <v>14999.999278504165</v>
      </c>
      <c r="F176" s="101">
        <f>IF(F166=0,0,(F173/F166)*F169)</f>
        <v>3272.5390584409361</v>
      </c>
      <c r="G176" s="101">
        <f>IF(G166=0,0,(G173/G166)*G169)</f>
        <v>6782.526599654555</v>
      </c>
      <c r="H176" s="101">
        <v>0</v>
      </c>
      <c r="I176" s="101">
        <f>IF(I166=0,0,(I173/I166)*I169)</f>
        <v>4944.9336204086749</v>
      </c>
      <c r="J176" s="92"/>
      <c r="K176" s="96">
        <f>E176</f>
        <v>14999.999278504165</v>
      </c>
      <c r="L176" s="92">
        <v>15000</v>
      </c>
      <c r="M176" s="100">
        <f>IF(L176=0,0,(K176-L176)/L176)</f>
        <v>-4.8099722334882243E-8</v>
      </c>
    </row>
    <row r="177" spans="1:13" ht="35.1" customHeight="1" x14ac:dyDescent="0.2">
      <c r="C177" s="92"/>
      <c r="D177" s="92"/>
      <c r="E177" s="96">
        <f>SUM(F177:I177)</f>
        <v>10000.000194742723</v>
      </c>
      <c r="F177" s="101">
        <f>IF(F166=0,0,(F173/F166)*F170)</f>
        <v>1782.5269244048682</v>
      </c>
      <c r="G177" s="101">
        <f>IF(G166=0,0,(G173/G166)*G170)</f>
        <v>3272.5394301967203</v>
      </c>
      <c r="H177" s="101">
        <f>IF(H166=0,0,(H173/H166)*H170)</f>
        <v>4944.9338401411333</v>
      </c>
      <c r="I177" s="101">
        <v>0</v>
      </c>
      <c r="J177" s="92"/>
      <c r="K177" s="96">
        <f>E177</f>
        <v>10000.000194742723</v>
      </c>
      <c r="L177" s="92">
        <v>10000</v>
      </c>
      <c r="M177" s="100">
        <f>IF(L177=0,0,(K177-L177)/L177)</f>
        <v>1.9474272266961634E-8</v>
      </c>
    </row>
    <row r="178" spans="1:13" ht="35.1" customHeight="1" x14ac:dyDescent="0.2">
      <c r="A178" s="98" t="s">
        <v>69</v>
      </c>
      <c r="C178" s="92"/>
      <c r="D178" s="92"/>
      <c r="E178" s="92"/>
      <c r="F178" s="92"/>
      <c r="G178" s="92"/>
      <c r="H178" s="92"/>
      <c r="I178" s="92"/>
      <c r="J178" s="92"/>
      <c r="K178" s="92">
        <f>SUM(K174:K177)</f>
        <v>45000</v>
      </c>
      <c r="L178" s="92">
        <f>SUM(L174:L177)</f>
        <v>45000</v>
      </c>
      <c r="M178" s="100"/>
    </row>
    <row r="179" spans="1:13" ht="35.1" customHeight="1" x14ac:dyDescent="0.2">
      <c r="A179" s="92">
        <v>13</v>
      </c>
      <c r="C179" s="92" t="s">
        <v>70</v>
      </c>
      <c r="D179" s="92"/>
      <c r="E179" s="92"/>
      <c r="F179" s="92"/>
      <c r="G179" s="92"/>
      <c r="H179" s="92"/>
      <c r="I179" s="92"/>
      <c r="J179" s="92"/>
      <c r="K179" s="92"/>
      <c r="L179" s="92"/>
      <c r="M179" s="92"/>
    </row>
    <row r="180" spans="1:13" ht="35.1" customHeight="1" x14ac:dyDescent="0.2">
      <c r="C180" s="92"/>
      <c r="D180" s="92"/>
      <c r="E180" s="92"/>
      <c r="F180" s="96">
        <f>SUM(F181:F184)</f>
        <v>7500.0000314953677</v>
      </c>
      <c r="G180" s="96">
        <f>SUM(G181:G184)</f>
        <v>12500.000242789542</v>
      </c>
      <c r="H180" s="96">
        <f>SUM(H181:H184)</f>
        <v>14999.999624311073</v>
      </c>
      <c r="I180" s="96">
        <f>SUM(I181:I184)</f>
        <v>10000.000101404017</v>
      </c>
      <c r="J180" s="92"/>
      <c r="K180" s="92"/>
      <c r="L180" s="92"/>
      <c r="M180" s="92" t="s">
        <v>71</v>
      </c>
    </row>
    <row r="181" spans="1:13" ht="35.1" customHeight="1" x14ac:dyDescent="0.2">
      <c r="C181" s="92"/>
      <c r="D181" s="92"/>
      <c r="E181" s="92">
        <v>7500</v>
      </c>
      <c r="F181" s="97">
        <v>0</v>
      </c>
      <c r="G181" s="97">
        <f>IF(E174=0,0,(E181/E174)*G174)</f>
        <v>2444.9339504309273</v>
      </c>
      <c r="H181" s="97">
        <f>IF(E174=0,0,(E181/E174)*H174)</f>
        <v>3272.5391529137378</v>
      </c>
      <c r="I181" s="97">
        <f>IF(E174=0,0,(E181/E174)*I174)</f>
        <v>1782.526896655334</v>
      </c>
      <c r="J181" s="92"/>
      <c r="K181" s="96">
        <f>F180</f>
        <v>7500.0000314953677</v>
      </c>
      <c r="L181" s="96">
        <v>7500</v>
      </c>
      <c r="M181" s="100">
        <f>IF(L181=0,0,(K181-L181)/L181)</f>
        <v>4.1993823591231681E-9</v>
      </c>
    </row>
    <row r="182" spans="1:13" ht="35.1" customHeight="1" x14ac:dyDescent="0.2">
      <c r="C182" s="92"/>
      <c r="D182" s="92"/>
      <c r="E182" s="92">
        <v>12500</v>
      </c>
      <c r="F182" s="97">
        <f>IF(E175=0,0,(E182/E175)*F175)</f>
        <v>2444.9339259547496</v>
      </c>
      <c r="G182" s="97">
        <v>0</v>
      </c>
      <c r="H182" s="97">
        <f>IF(E175=0,0,(E182/E175)*H175)</f>
        <v>6782.5267275551878</v>
      </c>
      <c r="I182" s="97">
        <f>IF(E175=0,0,(E182/E175)*I175)</f>
        <v>3272.5393464900621</v>
      </c>
      <c r="J182" s="92"/>
      <c r="K182" s="96">
        <f>G180</f>
        <v>12500.000242789542</v>
      </c>
      <c r="L182" s="96">
        <v>12500</v>
      </c>
      <c r="M182" s="100">
        <f>IF(L182=0,0,(K182-L182)/L182)</f>
        <v>1.9423163321334869E-8</v>
      </c>
    </row>
    <row r="183" spans="1:13" ht="35.1" customHeight="1" x14ac:dyDescent="0.2">
      <c r="C183" s="92"/>
      <c r="D183" s="92"/>
      <c r="E183" s="92">
        <v>15000</v>
      </c>
      <c r="F183" s="97">
        <f>IF(E176=0,0,(E183/E176)*F176)</f>
        <v>3272.5392158491636</v>
      </c>
      <c r="G183" s="97">
        <f>IF(E176=0,0,(E183/E176)*G176)</f>
        <v>6782.5269258922172</v>
      </c>
      <c r="H183" s="97">
        <v>0</v>
      </c>
      <c r="I183" s="97">
        <f>IF(E176=0,0,(E183/E176)*I176)</f>
        <v>4944.9338582586206</v>
      </c>
      <c r="J183" s="92"/>
      <c r="K183" s="96">
        <f>H180</f>
        <v>14999.999624311073</v>
      </c>
      <c r="L183" s="96">
        <v>15000</v>
      </c>
      <c r="M183" s="100">
        <f>IF(L183=0,0,(K183-L183)/L183)</f>
        <v>-2.5045928487088531E-8</v>
      </c>
    </row>
    <row r="184" spans="1:13" ht="35.1" customHeight="1" x14ac:dyDescent="0.2">
      <c r="C184" s="92"/>
      <c r="D184" s="92"/>
      <c r="E184" s="92">
        <v>10000</v>
      </c>
      <c r="F184" s="97">
        <f>IF(E177=0,0,(E184/E177)*F177)</f>
        <v>1782.5268896914542</v>
      </c>
      <c r="G184" s="97">
        <f>IF(E177=0,0,(E184/E177)*G177)</f>
        <v>3272.539366466398</v>
      </c>
      <c r="H184" s="97">
        <f>IF(E177=0,0,(E184/E177)*H177)</f>
        <v>4944.9337438421471</v>
      </c>
      <c r="I184" s="97">
        <v>0</v>
      </c>
      <c r="J184" s="92"/>
      <c r="K184" s="96">
        <f>I180</f>
        <v>10000.000101404017</v>
      </c>
      <c r="L184" s="96">
        <v>10000</v>
      </c>
      <c r="M184" s="100">
        <f>IF(L184=0,0,(K184-L184)/L184)</f>
        <v>1.0140401718672366E-8</v>
      </c>
    </row>
    <row r="185" spans="1:13" ht="35.1" customHeight="1" x14ac:dyDescent="0.2">
      <c r="C185" s="92"/>
      <c r="D185" s="92"/>
      <c r="E185" s="92"/>
      <c r="F185" s="99"/>
      <c r="G185" s="99"/>
      <c r="H185" s="99"/>
      <c r="I185" s="99"/>
      <c r="J185" s="92"/>
      <c r="K185" s="92">
        <f>SUM(K181:K184)</f>
        <v>45000</v>
      </c>
      <c r="L185" s="92">
        <f>SUM(L181:L184)</f>
        <v>45000</v>
      </c>
      <c r="M185" s="100"/>
    </row>
    <row r="186" spans="1:13" ht="35.1" customHeight="1" x14ac:dyDescent="0.2">
      <c r="C186" s="92" t="s">
        <v>72</v>
      </c>
      <c r="D186" s="92"/>
      <c r="E186" s="92"/>
      <c r="F186" s="92"/>
      <c r="G186" s="92"/>
      <c r="H186" s="92"/>
      <c r="I186" s="92"/>
      <c r="J186" s="92"/>
      <c r="K186" s="92"/>
      <c r="L186" s="92"/>
      <c r="M186" s="92"/>
    </row>
    <row r="187" spans="1:13" ht="35.1" customHeight="1" x14ac:dyDescent="0.2">
      <c r="C187" s="92"/>
      <c r="D187" s="92"/>
      <c r="E187" s="92"/>
      <c r="F187" s="96">
        <v>7500</v>
      </c>
      <c r="G187" s="96">
        <v>12500</v>
      </c>
      <c r="H187" s="96">
        <v>15000</v>
      </c>
      <c r="I187" s="96">
        <v>10000</v>
      </c>
      <c r="J187" s="92"/>
      <c r="K187" s="92"/>
      <c r="L187" s="92"/>
      <c r="M187" s="92" t="s">
        <v>71</v>
      </c>
    </row>
    <row r="188" spans="1:13" ht="35.1" customHeight="1" x14ac:dyDescent="0.2">
      <c r="C188" s="92"/>
      <c r="D188" s="92"/>
      <c r="E188" s="96">
        <f>SUM(F188:I188)</f>
        <v>7500.000016399893</v>
      </c>
      <c r="F188" s="101">
        <v>0</v>
      </c>
      <c r="G188" s="101">
        <f>IF(G180=0,0,(G187/G180)*G181)</f>
        <v>2444.9339029425769</v>
      </c>
      <c r="H188" s="101">
        <f>IF(H180=0,0,(H187/H180)*H181)</f>
        <v>3272.5392348775213</v>
      </c>
      <c r="I188" s="101">
        <f>IF(I180=0,0,(I187/I180)*I181)</f>
        <v>1782.5268785797953</v>
      </c>
      <c r="J188" s="92"/>
      <c r="K188" s="96">
        <f>E188</f>
        <v>7500.000016399893</v>
      </c>
      <c r="L188" s="92">
        <v>7500</v>
      </c>
      <c r="M188" s="100">
        <f>IF(L188=0,0,(K188-L188)/L188)</f>
        <v>2.1866523942056424E-9</v>
      </c>
    </row>
    <row r="189" spans="1:13" ht="35.1" customHeight="1" x14ac:dyDescent="0.2">
      <c r="C189" s="92"/>
      <c r="D189" s="92"/>
      <c r="E189" s="96">
        <f>SUM(F189:I189)</f>
        <v>12500.000126422608</v>
      </c>
      <c r="F189" s="101">
        <f>IF(F180=0,0,(F187/F180)*F182)</f>
        <v>2444.9339156875376</v>
      </c>
      <c r="G189" s="101">
        <v>0</v>
      </c>
      <c r="H189" s="101">
        <f>IF(H180=0,0,(H187/H180)*H182)</f>
        <v>6782.5268974298715</v>
      </c>
      <c r="I189" s="101">
        <f>IF(I180=0,0,(I187/I180)*I182)</f>
        <v>3272.5393133051989</v>
      </c>
      <c r="J189" s="92"/>
      <c r="K189" s="96">
        <f>E189</f>
        <v>12500.000126422608</v>
      </c>
      <c r="L189" s="92">
        <v>12500</v>
      </c>
      <c r="M189" s="100">
        <f>IF(L189=0,0,(K189-L189)/L189)</f>
        <v>1.0113808675669133E-8</v>
      </c>
    </row>
    <row r="190" spans="1:13" ht="35.1" customHeight="1" x14ac:dyDescent="0.2">
      <c r="C190" s="92"/>
      <c r="D190" s="92"/>
      <c r="E190" s="96">
        <f>SUM(F190:I190)</f>
        <v>14999.999804375617</v>
      </c>
      <c r="F190" s="101">
        <f>IF(F180=0,0,(F187/F180)*F183)</f>
        <v>3272.5392021065204</v>
      </c>
      <c r="G190" s="101">
        <f>IF(G180=0,0,(G187/G180)*G183)</f>
        <v>6782.5267941540915</v>
      </c>
      <c r="H190" s="101">
        <v>0</v>
      </c>
      <c r="I190" s="101">
        <f>IF(I180=0,0,(I187/I180)*I183)</f>
        <v>4944.9338081150054</v>
      </c>
      <c r="J190" s="92"/>
      <c r="K190" s="96">
        <f>E190</f>
        <v>14999.999804375617</v>
      </c>
      <c r="L190" s="92">
        <v>15000</v>
      </c>
      <c r="M190" s="100">
        <f>IF(L190=0,0,(K190-L190)/L190)</f>
        <v>-1.304162554636908E-8</v>
      </c>
    </row>
    <row r="191" spans="1:13" ht="35.1" customHeight="1" x14ac:dyDescent="0.2">
      <c r="C191" s="92"/>
      <c r="D191" s="92"/>
      <c r="E191" s="96">
        <f>SUM(F191:I191)</f>
        <v>10000.000052801883</v>
      </c>
      <c r="F191" s="101">
        <f>IF(F180=0,0,(F187/F180)*F184)</f>
        <v>1782.5268822059425</v>
      </c>
      <c r="G191" s="101">
        <f>IF(G180=0,0,(G187/G180)*G184)</f>
        <v>3272.5393029033326</v>
      </c>
      <c r="H191" s="101">
        <f>IF(H180=0,0,(H187/H180)*H184)</f>
        <v>4944.9338676926072</v>
      </c>
      <c r="I191" s="101">
        <v>0</v>
      </c>
      <c r="J191" s="92"/>
      <c r="K191" s="96">
        <f>E191</f>
        <v>10000.000052801883</v>
      </c>
      <c r="L191" s="92">
        <v>10000</v>
      </c>
      <c r="M191" s="100">
        <f>IF(L191=0,0,(K191-L191)/L191)</f>
        <v>5.2801882702624422E-9</v>
      </c>
    </row>
    <row r="192" spans="1:13" ht="35.1" customHeight="1" x14ac:dyDescent="0.2">
      <c r="A192" s="98" t="s">
        <v>69</v>
      </c>
      <c r="C192" s="92"/>
      <c r="D192" s="92"/>
      <c r="E192" s="92"/>
      <c r="F192" s="92"/>
      <c r="G192" s="92"/>
      <c r="H192" s="92"/>
      <c r="I192" s="92"/>
      <c r="J192" s="92"/>
      <c r="K192" s="92">
        <f>SUM(K188:K191)</f>
        <v>45000</v>
      </c>
      <c r="L192" s="92">
        <f>SUM(L188:L191)</f>
        <v>45000</v>
      </c>
      <c r="M192" s="100"/>
    </row>
    <row r="193" spans="1:13" ht="35.1" customHeight="1" x14ac:dyDescent="0.2">
      <c r="A193" s="92">
        <v>14</v>
      </c>
      <c r="C193" s="92" t="s">
        <v>70</v>
      </c>
      <c r="D193" s="92"/>
      <c r="E193" s="92"/>
      <c r="F193" s="92"/>
      <c r="G193" s="92"/>
      <c r="H193" s="92"/>
      <c r="I193" s="92"/>
      <c r="J193" s="92"/>
      <c r="K193" s="92"/>
      <c r="L193" s="92"/>
      <c r="M193" s="92"/>
    </row>
    <row r="194" spans="1:13" ht="35.1" customHeight="1" x14ac:dyDescent="0.2">
      <c r="C194" s="92"/>
      <c r="D194" s="92"/>
      <c r="E194" s="92"/>
      <c r="F194" s="96">
        <f>SUM(F195:F198)</f>
        <v>7500.0000085395613</v>
      </c>
      <c r="G194" s="96">
        <f>SUM(G195:G198)</f>
        <v>12500.000065829332</v>
      </c>
      <c r="H194" s="96">
        <f>SUM(H195:H198)</f>
        <v>14999.999898136732</v>
      </c>
      <c r="I194" s="96">
        <f>SUM(I195:I198)</f>
        <v>10000.000027494374</v>
      </c>
      <c r="J194" s="92"/>
      <c r="K194" s="92"/>
      <c r="L194" s="92"/>
      <c r="M194" s="92" t="s">
        <v>71</v>
      </c>
    </row>
    <row r="195" spans="1:13" ht="35.1" customHeight="1" x14ac:dyDescent="0.2">
      <c r="C195" s="92"/>
      <c r="D195" s="92"/>
      <c r="E195" s="92">
        <v>7500</v>
      </c>
      <c r="F195" s="97">
        <v>0</v>
      </c>
      <c r="G195" s="97">
        <f>IF(E188=0,0,(E195/E188)*G188)</f>
        <v>2444.9338975963565</v>
      </c>
      <c r="H195" s="97">
        <f>IF(E188=0,0,(E195/E188)*H188)</f>
        <v>3272.5392277216156</v>
      </c>
      <c r="I195" s="97">
        <f>IF(E188=0,0,(E195/E188)*I188)</f>
        <v>1782.5268746820286</v>
      </c>
      <c r="J195" s="92"/>
      <c r="K195" s="96">
        <f>F194</f>
        <v>7500.0000085395613</v>
      </c>
      <c r="L195" s="96">
        <v>7500</v>
      </c>
      <c r="M195" s="100">
        <f>IF(L195=0,0,(K195-L195)/L195)</f>
        <v>1.1386081799476717E-9</v>
      </c>
    </row>
    <row r="196" spans="1:13" ht="35.1" customHeight="1" x14ac:dyDescent="0.2">
      <c r="C196" s="92"/>
      <c r="D196" s="92"/>
      <c r="E196" s="92">
        <v>12500</v>
      </c>
      <c r="F196" s="97">
        <f>IF(E189=0,0,(E196/E189)*F189)</f>
        <v>2444.9338909599442</v>
      </c>
      <c r="G196" s="97">
        <v>0</v>
      </c>
      <c r="H196" s="97">
        <f>IF(E189=0,0,(E196/E189)*H189)</f>
        <v>6782.5268288326924</v>
      </c>
      <c r="I196" s="97">
        <f>IF(E189=0,0,(E196/E189)*I189)</f>
        <v>3272.5392802073629</v>
      </c>
      <c r="J196" s="92"/>
      <c r="K196" s="96">
        <f>G194</f>
        <v>12500.000065829332</v>
      </c>
      <c r="L196" s="96">
        <v>12500</v>
      </c>
      <c r="M196" s="100">
        <f>IF(L196=0,0,(K196-L196)/L196)</f>
        <v>5.266346561256796E-9</v>
      </c>
    </row>
    <row r="197" spans="1:13" ht="35.1" customHeight="1" x14ac:dyDescent="0.2">
      <c r="C197" s="92"/>
      <c r="D197" s="92"/>
      <c r="E197" s="92">
        <v>15000</v>
      </c>
      <c r="F197" s="97">
        <f>IF(E190=0,0,(E197/E190)*F190)</f>
        <v>3272.5392447857521</v>
      </c>
      <c r="G197" s="97">
        <f>IF(E190=0,0,(E197/E190)*G190)</f>
        <v>6782.5268826092679</v>
      </c>
      <c r="H197" s="97">
        <v>0</v>
      </c>
      <c r="I197" s="97">
        <f>IF(E190=0,0,(E197/E190)*I190)</f>
        <v>4944.9338726049818</v>
      </c>
      <c r="J197" s="92"/>
      <c r="K197" s="96">
        <f>H194</f>
        <v>14999.999898136732</v>
      </c>
      <c r="L197" s="96">
        <v>15000</v>
      </c>
      <c r="M197" s="100">
        <f>IF(L197=0,0,(K197-L197)/L197)</f>
        <v>-6.7908845570248866E-9</v>
      </c>
    </row>
    <row r="198" spans="1:13" ht="35.1" customHeight="1" x14ac:dyDescent="0.2">
      <c r="C198" s="92"/>
      <c r="D198" s="92"/>
      <c r="E198" s="92">
        <v>10000</v>
      </c>
      <c r="F198" s="97">
        <f>IF(E191=0,0,(E198/E191)*F191)</f>
        <v>1782.5268727938649</v>
      </c>
      <c r="G198" s="97">
        <f>IF(E191=0,0,(E198/E191)*G191)</f>
        <v>3272.539285623709</v>
      </c>
      <c r="H198" s="97">
        <f>IF(E191=0,0,(E198/E191)*H191)</f>
        <v>4944.933841582425</v>
      </c>
      <c r="I198" s="97">
        <v>0</v>
      </c>
      <c r="J198" s="92"/>
      <c r="K198" s="96">
        <f>I194</f>
        <v>10000.000027494374</v>
      </c>
      <c r="L198" s="96">
        <v>10000</v>
      </c>
      <c r="M198" s="100">
        <f>IF(L198=0,0,(K198-L198)/L198)</f>
        <v>2.7494374080561101E-9</v>
      </c>
    </row>
    <row r="199" spans="1:13" ht="35.1" customHeight="1" x14ac:dyDescent="0.2">
      <c r="C199" s="92"/>
      <c r="D199" s="92"/>
      <c r="E199" s="92"/>
      <c r="F199" s="99"/>
      <c r="G199" s="99"/>
      <c r="H199" s="99"/>
      <c r="I199" s="99"/>
      <c r="J199" s="92"/>
      <c r="K199" s="92">
        <f>SUM(K195:K198)</f>
        <v>45000</v>
      </c>
      <c r="L199" s="92">
        <f>SUM(L195:L198)</f>
        <v>45000</v>
      </c>
      <c r="M199" s="100"/>
    </row>
    <row r="200" spans="1:13" ht="35.1" customHeight="1" x14ac:dyDescent="0.2">
      <c r="C200" s="92" t="s">
        <v>72</v>
      </c>
      <c r="D200" s="92"/>
      <c r="E200" s="92"/>
      <c r="F200" s="92"/>
      <c r="G200" s="92"/>
      <c r="H200" s="92"/>
      <c r="I200" s="92"/>
      <c r="J200" s="92"/>
      <c r="K200" s="92"/>
      <c r="L200" s="92"/>
      <c r="M200" s="92"/>
    </row>
    <row r="201" spans="1:13" ht="35.1" customHeight="1" x14ac:dyDescent="0.2">
      <c r="C201" s="92"/>
      <c r="D201" s="92"/>
      <c r="E201" s="92"/>
      <c r="F201" s="96">
        <v>7500</v>
      </c>
      <c r="G201" s="96">
        <v>12500</v>
      </c>
      <c r="H201" s="96">
        <v>15000</v>
      </c>
      <c r="I201" s="96">
        <v>10000</v>
      </c>
      <c r="J201" s="92"/>
      <c r="K201" s="92"/>
      <c r="L201" s="92"/>
      <c r="M201" s="92" t="s">
        <v>71</v>
      </c>
    </row>
    <row r="202" spans="1:13" ht="35.1" customHeight="1" x14ac:dyDescent="0.2">
      <c r="C202" s="92"/>
      <c r="D202" s="92"/>
      <c r="E202" s="96">
        <f>SUM(F202:I202)</f>
        <v>7500.0000044466215</v>
      </c>
      <c r="F202" s="101">
        <v>0</v>
      </c>
      <c r="G202" s="101">
        <f>IF(G194=0,0,(G201/G194)*G195)</f>
        <v>2444.9338847204872</v>
      </c>
      <c r="H202" s="101">
        <f>IF(H194=0,0,(H201/H194)*H195)</f>
        <v>3272.5392499450518</v>
      </c>
      <c r="I202" s="101">
        <f>IF(I194=0,0,(I201/I194)*I195)</f>
        <v>1782.5268697810825</v>
      </c>
      <c r="J202" s="92"/>
      <c r="K202" s="96">
        <f>E202</f>
        <v>7500.0000044466215</v>
      </c>
      <c r="L202" s="92">
        <v>7500</v>
      </c>
      <c r="M202" s="100">
        <f>IF(L202=0,0,(K202-L202)/L202)</f>
        <v>5.9288286138325934E-10</v>
      </c>
    </row>
    <row r="203" spans="1:13" ht="35.1" customHeight="1" x14ac:dyDescent="0.2">
      <c r="C203" s="92"/>
      <c r="D203" s="92"/>
      <c r="E203" s="96">
        <f>SUM(F203:I203)</f>
        <v>12500.000034277891</v>
      </c>
      <c r="F203" s="101">
        <f>IF(F194=0,0,(F201/F194)*F196)</f>
        <v>2444.9338881761223</v>
      </c>
      <c r="G203" s="101">
        <v>0</v>
      </c>
      <c r="H203" s="101">
        <f>IF(H194=0,0,(H201/H194)*H196)</f>
        <v>6782.5268748920489</v>
      </c>
      <c r="I203" s="101">
        <f>IF(I194=0,0,(I201/I194)*I196)</f>
        <v>3272.5392712097209</v>
      </c>
      <c r="J203" s="92"/>
      <c r="K203" s="96">
        <f>E203</f>
        <v>12500.000034277891</v>
      </c>
      <c r="L203" s="92">
        <v>12500</v>
      </c>
      <c r="M203" s="100">
        <f>IF(L203=0,0,(K203-L203)/L203)</f>
        <v>2.742231299635023E-9</v>
      </c>
    </row>
    <row r="204" spans="1:13" ht="35.1" customHeight="1" x14ac:dyDescent="0.2">
      <c r="C204" s="92"/>
      <c r="D204" s="92"/>
      <c r="E204" s="96">
        <f>SUM(F204:I204)</f>
        <v>14999.999946958938</v>
      </c>
      <c r="F204" s="101">
        <f>IF(F194=0,0,(F201/F194)*F197)</f>
        <v>3272.5392410596119</v>
      </c>
      <c r="G204" s="101">
        <f>IF(G194=0,0,(G201/G194)*G197)</f>
        <v>6782.5268468901304</v>
      </c>
      <c r="H204" s="101">
        <v>0</v>
      </c>
      <c r="I204" s="101">
        <f>IF(I194=0,0,(I201/I194)*I197)</f>
        <v>4944.9338590091957</v>
      </c>
      <c r="J204" s="92"/>
      <c r="K204" s="96">
        <f>E204</f>
        <v>14999.999946958938</v>
      </c>
      <c r="L204" s="92">
        <v>15000</v>
      </c>
      <c r="M204" s="100">
        <f>IF(L204=0,0,(K204-L204)/L204)</f>
        <v>-3.5360707746197782E-9</v>
      </c>
    </row>
    <row r="205" spans="1:13" ht="35.1" customHeight="1" x14ac:dyDescent="0.2">
      <c r="C205" s="92"/>
      <c r="D205" s="92"/>
      <c r="E205" s="96">
        <f>SUM(F205:I205)</f>
        <v>10000.000014316547</v>
      </c>
      <c r="F205" s="101">
        <f>IF(F194=0,0,(F201/F194)*F198)</f>
        <v>1782.5268707642651</v>
      </c>
      <c r="G205" s="101">
        <f>IF(G194=0,0,(G201/G194)*G198)</f>
        <v>3272.5392683893829</v>
      </c>
      <c r="H205" s="101">
        <f>IF(H194=0,0,(H201/H194)*H198)</f>
        <v>4944.9338751628993</v>
      </c>
      <c r="I205" s="101">
        <v>0</v>
      </c>
      <c r="J205" s="92"/>
      <c r="K205" s="96">
        <f>E205</f>
        <v>10000.000014316547</v>
      </c>
      <c r="L205" s="92">
        <v>10000</v>
      </c>
      <c r="M205" s="100">
        <f>IF(L205=0,0,(K205-L205)/L205)</f>
        <v>1.4316547094495037E-9</v>
      </c>
    </row>
    <row r="206" spans="1:13" ht="35.1" customHeight="1" x14ac:dyDescent="0.2">
      <c r="A206" s="98" t="s">
        <v>69</v>
      </c>
      <c r="C206" s="92"/>
      <c r="D206" s="92"/>
      <c r="E206" s="92"/>
      <c r="F206" s="92"/>
      <c r="G206" s="92"/>
      <c r="H206" s="92"/>
      <c r="I206" s="92"/>
      <c r="J206" s="92"/>
      <c r="K206" s="92">
        <f>SUM(K202:K205)</f>
        <v>44999.999999999993</v>
      </c>
      <c r="L206" s="92">
        <f>SUM(L202:L205)</f>
        <v>45000</v>
      </c>
      <c r="M206" s="100"/>
    </row>
    <row r="207" spans="1:13" ht="35.1" customHeight="1" x14ac:dyDescent="0.2">
      <c r="A207" s="92">
        <v>15</v>
      </c>
      <c r="C207" s="92" t="s">
        <v>70</v>
      </c>
      <c r="D207" s="92"/>
      <c r="E207" s="92"/>
      <c r="F207" s="92"/>
      <c r="G207" s="92"/>
      <c r="H207" s="92"/>
      <c r="I207" s="92"/>
      <c r="J207" s="92"/>
      <c r="K207" s="92"/>
      <c r="L207" s="92"/>
      <c r="M207" s="92"/>
    </row>
    <row r="208" spans="1:13" ht="35.1" customHeight="1" x14ac:dyDescent="0.2">
      <c r="C208" s="92"/>
      <c r="D208" s="92"/>
      <c r="E208" s="92"/>
      <c r="F208" s="96">
        <f>SUM(F209:F212)</f>
        <v>7500.0000023153925</v>
      </c>
      <c r="G208" s="96">
        <f>SUM(G209:G212)</f>
        <v>12500.00001784879</v>
      </c>
      <c r="H208" s="96">
        <f>SUM(H209:H212)</f>
        <v>14999.999972381072</v>
      </c>
      <c r="I208" s="96">
        <f>SUM(I209:I212)</f>
        <v>10000.000007454746</v>
      </c>
      <c r="J208" s="92"/>
      <c r="K208" s="92"/>
      <c r="L208" s="92"/>
      <c r="M208" s="92" t="s">
        <v>71</v>
      </c>
    </row>
    <row r="209" spans="1:18" ht="35.1" customHeight="1" x14ac:dyDescent="0.2">
      <c r="C209" s="92"/>
      <c r="D209" s="92"/>
      <c r="E209" s="92">
        <v>7500</v>
      </c>
      <c r="F209" s="97">
        <v>0</v>
      </c>
      <c r="G209" s="97">
        <f>IF(E202=0,0,(E209/E202)*G202)</f>
        <v>2444.9338832709277</v>
      </c>
      <c r="H209" s="97">
        <f>IF(E202=0,0,(E209/E202)*H202)</f>
        <v>3272.5392480048195</v>
      </c>
      <c r="I209" s="97">
        <f>IF(E202=0,0,(E209/E202)*I202)</f>
        <v>1782.5268687242528</v>
      </c>
      <c r="J209" s="92"/>
      <c r="K209" s="96">
        <f>F208</f>
        <v>7500.0000023153925</v>
      </c>
      <c r="L209" s="96">
        <v>7500</v>
      </c>
      <c r="M209" s="100">
        <f>IF(L209=0,0,(K209-L209)/L209)</f>
        <v>3.08719002835763E-10</v>
      </c>
    </row>
    <row r="210" spans="1:18" ht="35.1" customHeight="1" x14ac:dyDescent="0.2">
      <c r="C210" s="92"/>
      <c r="D210" s="92"/>
      <c r="E210" s="92">
        <v>12500</v>
      </c>
      <c r="F210" s="97">
        <f>IF(E203=0,0,(E210/E203)*F203)</f>
        <v>2444.9338814715479</v>
      </c>
      <c r="G210" s="97">
        <v>0</v>
      </c>
      <c r="H210" s="97">
        <f>IF(E203=0,0,(E210/E203)*H203)</f>
        <v>6782.5268562927913</v>
      </c>
      <c r="I210" s="97">
        <f>IF(E203=0,0,(E210/E203)*I203)</f>
        <v>3272.5392622356612</v>
      </c>
      <c r="J210" s="92"/>
      <c r="K210" s="96">
        <f>G208</f>
        <v>12500.00001784879</v>
      </c>
      <c r="L210" s="96">
        <v>12500</v>
      </c>
      <c r="M210" s="100">
        <f>IF(L210=0,0,(K210-L210)/L210)</f>
        <v>1.4279031893238425E-9</v>
      </c>
    </row>
    <row r="211" spans="1:18" ht="35.1" customHeight="1" x14ac:dyDescent="0.2">
      <c r="C211" s="92"/>
      <c r="D211" s="92"/>
      <c r="E211" s="92">
        <v>15000</v>
      </c>
      <c r="F211" s="97">
        <f>IF(E204=0,0,(E211/E204)*F204)</f>
        <v>3272.5392526315422</v>
      </c>
      <c r="G211" s="97">
        <f>IF(E204=0,0,(E211/E204)*G204)</f>
        <v>6782.5268708736257</v>
      </c>
      <c r="H211" s="97">
        <v>0</v>
      </c>
      <c r="I211" s="97">
        <f>IF(E204=0,0,(E211/E204)*I204)</f>
        <v>4944.9338764948316</v>
      </c>
      <c r="J211" s="92"/>
      <c r="K211" s="96">
        <f>H208</f>
        <v>14999.999972381072</v>
      </c>
      <c r="L211" s="96">
        <v>15000</v>
      </c>
      <c r="M211" s="100">
        <f>IF(L211=0,0,(K211-L211)/L211)</f>
        <v>-1.8412618373986334E-9</v>
      </c>
    </row>
    <row r="212" spans="1:18" ht="35.1" customHeight="1" x14ac:dyDescent="0.2">
      <c r="C212" s="92"/>
      <c r="D212" s="92"/>
      <c r="E212" s="92">
        <v>10000</v>
      </c>
      <c r="F212" s="97">
        <f>IF(E205=0,0,(E212/E205)*F205)</f>
        <v>1782.5268682123021</v>
      </c>
      <c r="G212" s="97">
        <f>IF(E205=0,0,(E212/E205)*G205)</f>
        <v>3272.5392637042369</v>
      </c>
      <c r="H212" s="97">
        <f>IF(E205=0,0,(E212/E205)*H205)</f>
        <v>4944.9338680834617</v>
      </c>
      <c r="I212" s="97">
        <v>0</v>
      </c>
      <c r="J212" s="92"/>
      <c r="K212" s="96">
        <f>I208</f>
        <v>10000.000007454746</v>
      </c>
      <c r="L212" s="96">
        <v>10000</v>
      </c>
      <c r="M212" s="100">
        <f>IF(L212=0,0,(K212-L212)/L212)</f>
        <v>7.4547460826579483E-10</v>
      </c>
    </row>
    <row r="213" spans="1:18" ht="35.1" customHeight="1" x14ac:dyDescent="0.2">
      <c r="C213" s="92"/>
      <c r="D213" s="92"/>
      <c r="E213" s="92"/>
      <c r="F213" s="99"/>
      <c r="G213" s="99"/>
      <c r="H213" s="99"/>
      <c r="I213" s="99"/>
      <c r="J213" s="92"/>
      <c r="K213" s="92">
        <f>SUM(K209:K212)</f>
        <v>45000</v>
      </c>
      <c r="L213" s="92">
        <f>SUM(L209:L212)</f>
        <v>45000</v>
      </c>
      <c r="M213" s="100"/>
    </row>
    <row r="214" spans="1:18" ht="35.1" customHeight="1" x14ac:dyDescent="0.2">
      <c r="C214" s="92" t="s">
        <v>72</v>
      </c>
      <c r="D214" s="92"/>
      <c r="E214" s="92"/>
      <c r="F214" s="92"/>
      <c r="G214" s="92"/>
      <c r="H214" s="92"/>
      <c r="I214" s="92"/>
      <c r="J214" s="92"/>
      <c r="K214" s="92"/>
      <c r="L214" s="92"/>
      <c r="M214" s="92"/>
    </row>
    <row r="215" spans="1:18" ht="35.1" customHeight="1" x14ac:dyDescent="0.2">
      <c r="C215" s="92"/>
      <c r="D215" s="92"/>
      <c r="E215" s="92"/>
      <c r="F215" s="96">
        <v>7500</v>
      </c>
      <c r="G215" s="96">
        <v>12500</v>
      </c>
      <c r="H215" s="96">
        <v>15000</v>
      </c>
      <c r="I215" s="96">
        <v>10000</v>
      </c>
      <c r="J215" s="92"/>
      <c r="K215" s="92"/>
      <c r="L215" s="92"/>
      <c r="M215" s="92" t="s">
        <v>71</v>
      </c>
    </row>
    <row r="216" spans="1:18" ht="35.1" customHeight="1" x14ac:dyDescent="0.2">
      <c r="C216" s="92"/>
      <c r="D216" s="92"/>
      <c r="E216" s="96">
        <f>SUM(F216:I216)</f>
        <v>7500.0000012056435</v>
      </c>
      <c r="F216" s="101">
        <v>0</v>
      </c>
      <c r="G216" s="101">
        <f>IF(G208=0,0,(G215/G208)*G209)</f>
        <v>2444.9338797797986</v>
      </c>
      <c r="H216" s="101">
        <f>IF(H208=0,0,(H215/H208)*H209)</f>
        <v>3272.539254030421</v>
      </c>
      <c r="I216" s="101">
        <f>IF(I208=0,0,(I215/I208)*I209)</f>
        <v>1782.5268673954245</v>
      </c>
      <c r="J216" s="92"/>
      <c r="K216" s="96">
        <f>E216</f>
        <v>7500.0000012056435</v>
      </c>
      <c r="L216" s="92">
        <v>7500</v>
      </c>
      <c r="M216" s="100">
        <f>IF(L216=0,0,(K216-L216)/L216)</f>
        <v>1.6075246094260365E-10</v>
      </c>
    </row>
    <row r="217" spans="1:18" ht="35.1" customHeight="1" x14ac:dyDescent="0.2">
      <c r="C217" s="92"/>
      <c r="D217" s="92"/>
      <c r="E217" s="96">
        <f>SUM(F217:I217)</f>
        <v>12500.000009294014</v>
      </c>
      <c r="F217" s="101">
        <f>IF(F208=0,0,(F215/F208)*F210)</f>
        <v>2444.9338807167501</v>
      </c>
      <c r="G217" s="101">
        <v>0</v>
      </c>
      <c r="H217" s="101">
        <f>IF(H208=0,0,(H215/H208)*H210)</f>
        <v>6782.5268687811986</v>
      </c>
      <c r="I217" s="101">
        <f>IF(I208=0,0,(I215/I208)*I210)</f>
        <v>3272.5392597960663</v>
      </c>
      <c r="J217" s="92"/>
      <c r="K217" s="96">
        <f>E217</f>
        <v>12500.000009294014</v>
      </c>
      <c r="L217" s="92">
        <v>12500</v>
      </c>
      <c r="M217" s="100">
        <f>IF(L217=0,0,(K217-L217)/L217)</f>
        <v>7.4352108640596272E-10</v>
      </c>
    </row>
    <row r="218" spans="1:18" ht="35.1" customHeight="1" x14ac:dyDescent="0.2">
      <c r="C218" s="92"/>
      <c r="D218" s="92"/>
      <c r="E218" s="96">
        <f>SUM(F218:I218)</f>
        <v>14999.99998561859</v>
      </c>
      <c r="F218" s="101">
        <f>IF(F208=0,0,(F215/F208)*F211)</f>
        <v>3272.5392516212469</v>
      </c>
      <c r="G218" s="101">
        <f>IF(G208=0,0,(G215/G208)*G211)</f>
        <v>6782.5268611888332</v>
      </c>
      <c r="H218" s="101">
        <v>0</v>
      </c>
      <c r="I218" s="101">
        <f>IF(I208=0,0,(I215/I208)*I211)</f>
        <v>4944.9338728085095</v>
      </c>
      <c r="J218" s="92"/>
      <c r="K218" s="96">
        <f>E218</f>
        <v>14999.99998561859</v>
      </c>
      <c r="L218" s="92">
        <v>15000</v>
      </c>
      <c r="M218" s="100">
        <f>IF(L218=0,0,(K218-L218)/L218)</f>
        <v>-9.5876069584240508E-10</v>
      </c>
    </row>
    <row r="219" spans="1:18" ht="35.1" customHeight="1" x14ac:dyDescent="0.2">
      <c r="C219" s="92"/>
      <c r="D219" s="92"/>
      <c r="E219" s="96">
        <f>SUM(F219:I219)</f>
        <v>10000.000003881749</v>
      </c>
      <c r="F219" s="101">
        <f>IF(F208=0,0,(F215/F208)*F212)</f>
        <v>1782.5268676620021</v>
      </c>
      <c r="G219" s="101">
        <f>IF(G208=0,0,(G215/G208)*G212)</f>
        <v>3272.5392590313672</v>
      </c>
      <c r="H219" s="101">
        <f>IF(H208=0,0,(H215/H208)*H212)</f>
        <v>4944.9338771883795</v>
      </c>
      <c r="I219" s="101">
        <v>0</v>
      </c>
      <c r="J219" s="92"/>
      <c r="K219" s="96">
        <f>E219</f>
        <v>10000.000003881749</v>
      </c>
      <c r="L219" s="92">
        <v>10000</v>
      </c>
      <c r="M219" s="100">
        <f>IF(L219=0,0,(K219-L219)/L219)</f>
        <v>3.8817488530185073E-10</v>
      </c>
    </row>
    <row r="220" spans="1:18" ht="35.1" customHeight="1" x14ac:dyDescent="0.2">
      <c r="C220" s="92"/>
      <c r="D220" s="92"/>
      <c r="E220" s="92"/>
      <c r="F220" s="92"/>
      <c r="G220" s="92"/>
      <c r="H220" s="92"/>
      <c r="I220" s="92"/>
      <c r="J220" s="92"/>
      <c r="K220" s="92">
        <f>SUM(K216:K219)</f>
        <v>45000</v>
      </c>
      <c r="L220" s="92">
        <f>SUM(L216:L219)</f>
        <v>45000</v>
      </c>
      <c r="M220" s="100"/>
    </row>
    <row r="221" spans="1:18" ht="35.1" customHeight="1" x14ac:dyDescent="0.2">
      <c r="A221" s="99"/>
      <c r="B221" s="99"/>
      <c r="C221" s="92" t="s">
        <v>70</v>
      </c>
      <c r="D221" s="92"/>
      <c r="E221" s="92"/>
      <c r="F221" s="92"/>
      <c r="G221" s="92"/>
      <c r="H221" s="92"/>
      <c r="I221" s="92"/>
      <c r="J221" s="92"/>
      <c r="K221" s="92"/>
      <c r="L221" s="92"/>
      <c r="M221" s="92"/>
      <c r="N221" s="102"/>
      <c r="O221" s="102"/>
      <c r="P221" s="102"/>
      <c r="Q221" s="102"/>
      <c r="R221" s="102"/>
    </row>
    <row r="222" spans="1:18" ht="35.1" customHeight="1" x14ac:dyDescent="0.2">
      <c r="A222" s="99"/>
      <c r="B222" s="99"/>
      <c r="C222" s="92"/>
      <c r="D222" s="92"/>
      <c r="E222" s="92"/>
      <c r="F222" s="96">
        <f>SUM(F223:F226)</f>
        <v>7500.0000006277887</v>
      </c>
      <c r="G222" s="96">
        <f>SUM(G223:G226)</f>
        <v>12500.000004839472</v>
      </c>
      <c r="H222" s="96">
        <f>SUM(H223:H226)</f>
        <v>14999.999992511479</v>
      </c>
      <c r="I222" s="96">
        <f>SUM(I223:I226)</f>
        <v>10000.000002021261</v>
      </c>
      <c r="J222" s="92"/>
      <c r="K222" s="92"/>
      <c r="L222" s="92"/>
      <c r="M222" s="92" t="s">
        <v>71</v>
      </c>
      <c r="N222" s="102"/>
      <c r="O222" s="102"/>
      <c r="P222" s="102"/>
      <c r="Q222" s="102"/>
      <c r="R222" s="102"/>
    </row>
    <row r="223" spans="1:18" ht="35.1" customHeight="1" x14ac:dyDescent="0.2">
      <c r="A223" s="99"/>
      <c r="B223" s="99"/>
      <c r="C223" s="92"/>
      <c r="D223" s="92"/>
      <c r="E223" s="92">
        <v>7500</v>
      </c>
      <c r="F223" s="97">
        <v>0</v>
      </c>
      <c r="G223" s="97">
        <f>IF(E216=0,0,(E223/E216)*G216)</f>
        <v>2444.9338793867696</v>
      </c>
      <c r="H223" s="97">
        <f>IF(E216=0,0,(E223/E216)*H216)</f>
        <v>3272.5392535043525</v>
      </c>
      <c r="I223" s="97">
        <f>IF(E216=0,0,(E223/E216)*I216)</f>
        <v>1782.5268671088791</v>
      </c>
      <c r="J223" s="92"/>
      <c r="K223" s="96">
        <f>F222</f>
        <v>7500.0000006277887</v>
      </c>
      <c r="L223" s="96">
        <v>7500</v>
      </c>
      <c r="M223" s="100">
        <f>IF(L223=0,0,(K223-L223)/L223)</f>
        <v>8.37051629787311E-11</v>
      </c>
      <c r="N223" s="102"/>
      <c r="O223" s="102"/>
      <c r="P223" s="102"/>
      <c r="Q223" s="102"/>
      <c r="R223" s="102"/>
    </row>
    <row r="224" spans="1:18" ht="35.1" customHeight="1" x14ac:dyDescent="0.2">
      <c r="A224" s="99"/>
      <c r="B224" s="99"/>
      <c r="C224" s="92"/>
      <c r="D224" s="92"/>
      <c r="E224" s="92">
        <v>12500</v>
      </c>
      <c r="F224" s="97">
        <f>IF(E217=0,0,(E224/E217)*F217)</f>
        <v>2444.9338788988903</v>
      </c>
      <c r="G224" s="97">
        <v>0</v>
      </c>
      <c r="H224" s="97">
        <f>IF(E217=0,0,(E224/E217)*H217)</f>
        <v>6782.5268637382469</v>
      </c>
      <c r="I224" s="97">
        <f>IF(E217=0,0,(E224/E217)*I217)</f>
        <v>3272.5392573628642</v>
      </c>
      <c r="J224" s="92"/>
      <c r="K224" s="96">
        <f>G222</f>
        <v>12500.000004839472</v>
      </c>
      <c r="L224" s="96">
        <v>12500</v>
      </c>
      <c r="M224" s="100">
        <f>IF(L224=0,0,(K224-L224)/L224)</f>
        <v>3.8715777918696404E-10</v>
      </c>
      <c r="N224" s="102"/>
      <c r="O224" s="102"/>
      <c r="P224" s="102"/>
      <c r="Q224" s="102"/>
      <c r="R224" s="102"/>
    </row>
    <row r="225" spans="1:18" ht="35.1" customHeight="1" x14ac:dyDescent="0.2">
      <c r="A225" s="99"/>
      <c r="B225" s="99"/>
      <c r="C225" s="92"/>
      <c r="D225" s="92"/>
      <c r="E225" s="92">
        <v>15000</v>
      </c>
      <c r="F225" s="97">
        <f>IF(E218=0,0,(E225/E218)*F218)</f>
        <v>3272.5392547588285</v>
      </c>
      <c r="G225" s="97">
        <f>IF(E218=0,0,(E225/E218)*G218)</f>
        <v>6782.526867691653</v>
      </c>
      <c r="H225" s="97">
        <v>0</v>
      </c>
      <c r="I225" s="97">
        <f>IF(E218=0,0,(E225/E218)*I218)</f>
        <v>4944.9338775495171</v>
      </c>
      <c r="J225" s="92"/>
      <c r="K225" s="96">
        <f>H222</f>
        <v>14999.999992511479</v>
      </c>
      <c r="L225" s="96">
        <v>15000</v>
      </c>
      <c r="M225" s="100">
        <f>IF(L225=0,0,(K225-L225)/L225)</f>
        <v>-4.9923473852686584E-10</v>
      </c>
      <c r="N225" s="102"/>
      <c r="O225" s="102"/>
      <c r="P225" s="102"/>
      <c r="Q225" s="102"/>
      <c r="R225" s="102"/>
    </row>
    <row r="226" spans="1:18" ht="35.1" customHeight="1" x14ac:dyDescent="0.2">
      <c r="A226" s="99"/>
      <c r="B226" s="99"/>
      <c r="C226" s="92"/>
      <c r="D226" s="92"/>
      <c r="E226" s="92">
        <v>10000</v>
      </c>
      <c r="F226" s="97">
        <f>IF(E219=0,0,(E226/E219)*F219)</f>
        <v>1782.5268669700699</v>
      </c>
      <c r="G226" s="97">
        <f>IF(E219=0,0,(E226/E219)*G219)</f>
        <v>3272.5392577610496</v>
      </c>
      <c r="H226" s="97">
        <f>IF(E219=0,0,(E226/E219)*H219)</f>
        <v>4944.93387526888</v>
      </c>
      <c r="I226" s="97">
        <v>0</v>
      </c>
      <c r="J226" s="92"/>
      <c r="K226" s="96">
        <f>I222</f>
        <v>10000.000002021261</v>
      </c>
      <c r="L226" s="96">
        <v>10000</v>
      </c>
      <c r="M226" s="100">
        <f>IF(L226=0,0,(K226-L226)/L226)</f>
        <v>2.0212610252201558E-10</v>
      </c>
      <c r="N226" s="102"/>
      <c r="O226" s="102"/>
      <c r="P226" s="102"/>
      <c r="Q226" s="102"/>
      <c r="R226" s="102"/>
    </row>
    <row r="227" spans="1:18" ht="35.1" customHeight="1" x14ac:dyDescent="0.2">
      <c r="A227" s="99"/>
      <c r="B227" s="99"/>
      <c r="C227" s="92"/>
      <c r="D227" s="92"/>
      <c r="E227" s="92"/>
      <c r="F227" s="99"/>
      <c r="G227" s="99"/>
      <c r="H227" s="99"/>
      <c r="I227" s="99"/>
      <c r="J227" s="92"/>
      <c r="K227" s="92">
        <f>SUM(K223:K226)</f>
        <v>45000</v>
      </c>
      <c r="L227" s="92">
        <f>SUM(L223:L226)</f>
        <v>45000</v>
      </c>
      <c r="M227" s="100"/>
      <c r="N227" s="102"/>
      <c r="O227" s="102"/>
      <c r="P227" s="102"/>
      <c r="Q227" s="102"/>
      <c r="R227" s="102"/>
    </row>
    <row r="228" spans="1:18" ht="35.1" customHeight="1" x14ac:dyDescent="0.2">
      <c r="A228" s="99"/>
      <c r="B228" s="99"/>
      <c r="C228" s="92" t="s">
        <v>72</v>
      </c>
      <c r="D228" s="92"/>
      <c r="E228" s="92"/>
      <c r="F228" s="92"/>
      <c r="G228" s="92"/>
      <c r="H228" s="92"/>
      <c r="I228" s="92"/>
      <c r="J228" s="92"/>
      <c r="K228" s="92"/>
      <c r="L228" s="92"/>
      <c r="M228" s="92"/>
      <c r="N228" s="102"/>
      <c r="O228" s="102"/>
      <c r="P228" s="102"/>
      <c r="Q228" s="102"/>
      <c r="R228" s="102"/>
    </row>
    <row r="229" spans="1:18" ht="35.1" customHeight="1" x14ac:dyDescent="0.2">
      <c r="A229" s="99"/>
      <c r="B229" s="99"/>
      <c r="C229" s="92"/>
      <c r="D229" s="92"/>
      <c r="E229" s="92"/>
      <c r="F229" s="96">
        <v>7500</v>
      </c>
      <c r="G229" s="96">
        <v>12500</v>
      </c>
      <c r="H229" s="96">
        <v>15000</v>
      </c>
      <c r="I229" s="96">
        <v>10000</v>
      </c>
      <c r="J229" s="92"/>
      <c r="K229" s="92"/>
      <c r="L229" s="92"/>
      <c r="M229" s="92" t="s">
        <v>71</v>
      </c>
      <c r="N229" s="102"/>
      <c r="O229" s="102"/>
      <c r="P229" s="102"/>
      <c r="Q229" s="102"/>
      <c r="R229" s="102"/>
    </row>
    <row r="230" spans="1:18" ht="35.1" customHeight="1" x14ac:dyDescent="0.2">
      <c r="A230" s="99"/>
      <c r="B230" s="99"/>
      <c r="C230" s="92"/>
      <c r="D230" s="92"/>
      <c r="E230" s="96">
        <f>SUM(F230:I230)</f>
        <v>7500.000000326896</v>
      </c>
      <c r="F230" s="101">
        <v>0</v>
      </c>
      <c r="G230" s="101">
        <f>IF(G222=0,0,(G229/G222)*G223)</f>
        <v>2444.9338784401943</v>
      </c>
      <c r="H230" s="101">
        <f>IF(H222=0,0,(H229/H222)*H223)</f>
        <v>3272.5392551381174</v>
      </c>
      <c r="I230" s="101">
        <f>IF(I222=0,0,(I229/I222)*I223)</f>
        <v>1782.5268667485839</v>
      </c>
      <c r="J230" s="92"/>
      <c r="K230" s="96">
        <f>E230</f>
        <v>7500.000000326896</v>
      </c>
      <c r="L230" s="92">
        <v>7500</v>
      </c>
      <c r="M230" s="100">
        <f>IF(L230=0,0,(K230-L230)/L230)</f>
        <v>4.358613902392487E-11</v>
      </c>
      <c r="N230" s="102"/>
      <c r="O230" s="102"/>
      <c r="P230" s="102"/>
      <c r="Q230" s="102"/>
      <c r="R230" s="102"/>
    </row>
    <row r="231" spans="1:18" ht="35.1" customHeight="1" x14ac:dyDescent="0.2">
      <c r="A231" s="99"/>
      <c r="B231" s="99"/>
      <c r="C231" s="92"/>
      <c r="D231" s="92"/>
      <c r="E231" s="96">
        <f>SUM(F231:I231)</f>
        <v>12500.000002519955</v>
      </c>
      <c r="F231" s="101">
        <f>IF(F222=0,0,(F229/F222)*F224)</f>
        <v>2444.9338786942367</v>
      </c>
      <c r="G231" s="101">
        <v>0</v>
      </c>
      <c r="H231" s="101">
        <f>IF(H222=0,0,(H229/H222)*H224)</f>
        <v>6782.5268671243193</v>
      </c>
      <c r="I231" s="101">
        <f>IF(I222=0,0,(I229/I222)*I224)</f>
        <v>3272.5392567013987</v>
      </c>
      <c r="J231" s="92"/>
      <c r="K231" s="96">
        <f>E231</f>
        <v>12500.000002519955</v>
      </c>
      <c r="L231" s="92">
        <v>12500</v>
      </c>
      <c r="M231" s="100">
        <f>IF(L231=0,0,(K231-L231)/L231)</f>
        <v>2.0159641280770302E-10</v>
      </c>
      <c r="N231" s="102"/>
      <c r="O231" s="102"/>
      <c r="P231" s="102"/>
      <c r="Q231" s="102"/>
      <c r="R231" s="102"/>
    </row>
    <row r="232" spans="1:18" ht="35.1" customHeight="1" x14ac:dyDescent="0.2">
      <c r="A232" s="99"/>
      <c r="B232" s="99"/>
      <c r="C232" s="92"/>
      <c r="D232" s="92"/>
      <c r="E232" s="96">
        <f>SUM(F232:I232)</f>
        <v>14999.999996100662</v>
      </c>
      <c r="F232" s="101">
        <f>IF(F222=0,0,(F229/F222)*F225)</f>
        <v>3272.5392544849001</v>
      </c>
      <c r="G232" s="101">
        <f>IF(G222=0,0,(G229/G222)*G225)</f>
        <v>6782.5268650657454</v>
      </c>
      <c r="H232" s="101">
        <v>0</v>
      </c>
      <c r="I232" s="101">
        <f>IF(I222=0,0,(I229/I222)*I225)</f>
        <v>4944.933876550017</v>
      </c>
      <c r="J232" s="92"/>
      <c r="K232" s="96">
        <f>E232</f>
        <v>14999.999996100662</v>
      </c>
      <c r="L232" s="92">
        <v>15000</v>
      </c>
      <c r="M232" s="100">
        <f>IF(L232=0,0,(K232-L232)/L232)</f>
        <v>-2.5995589870338636E-10</v>
      </c>
      <c r="N232" s="102"/>
      <c r="O232" s="102"/>
      <c r="P232" s="102"/>
      <c r="Q232" s="102"/>
      <c r="R232" s="102"/>
    </row>
    <row r="233" spans="1:18" ht="35.1" customHeight="1" x14ac:dyDescent="0.2">
      <c r="A233" s="99"/>
      <c r="B233" s="99"/>
      <c r="C233" s="92"/>
      <c r="D233" s="92"/>
      <c r="E233" s="96">
        <f>SUM(F233:I233)</f>
        <v>10000.000001052485</v>
      </c>
      <c r="F233" s="101">
        <f>IF(F222=0,0,(F229/F222)*F226)</f>
        <v>1782.5268668208632</v>
      </c>
      <c r="G233" s="101">
        <f>IF(G222=0,0,(G229/G222)*G226)</f>
        <v>3272.5392564940607</v>
      </c>
      <c r="H233" s="101">
        <f>IF(H222=0,0,(H229/H222)*H226)</f>
        <v>4944.9338777375624</v>
      </c>
      <c r="I233" s="101">
        <v>0</v>
      </c>
      <c r="J233" s="92"/>
      <c r="K233" s="96">
        <f>E233</f>
        <v>10000.000001052485</v>
      </c>
      <c r="L233" s="92">
        <v>10000</v>
      </c>
      <c r="M233" s="100">
        <f>IF(L233=0,0,(K233-L233)/L233)</f>
        <v>1.052485458785668E-10</v>
      </c>
      <c r="N233" s="102"/>
      <c r="O233" s="102"/>
      <c r="P233" s="102"/>
      <c r="Q233" s="102"/>
      <c r="R233" s="102"/>
    </row>
    <row r="234" spans="1:18" ht="35.1" customHeight="1" x14ac:dyDescent="0.2">
      <c r="A234" s="99"/>
      <c r="B234" s="99"/>
      <c r="C234" s="92"/>
      <c r="D234" s="92"/>
      <c r="E234" s="92"/>
      <c r="F234" s="92"/>
      <c r="G234" s="92"/>
      <c r="H234" s="92"/>
      <c r="I234" s="92"/>
      <c r="J234" s="92"/>
      <c r="K234" s="92">
        <f>SUM(K230:K233)</f>
        <v>45000</v>
      </c>
      <c r="L234" s="92">
        <f>SUM(L230:L233)</f>
        <v>45000</v>
      </c>
      <c r="M234" s="100"/>
      <c r="N234" s="102"/>
      <c r="O234" s="102"/>
      <c r="P234" s="102"/>
      <c r="Q234" s="102"/>
      <c r="R234" s="102"/>
    </row>
    <row r="235" spans="1:18" ht="35.1" customHeight="1" x14ac:dyDescent="0.2">
      <c r="A235" s="99"/>
      <c r="B235" s="99"/>
      <c r="C235" s="92" t="s">
        <v>70</v>
      </c>
      <c r="D235" s="92"/>
      <c r="E235" s="92"/>
      <c r="F235" s="92"/>
      <c r="G235" s="92"/>
      <c r="H235" s="92"/>
      <c r="I235" s="92"/>
      <c r="J235" s="92"/>
      <c r="K235" s="92"/>
      <c r="L235" s="92"/>
      <c r="M235" s="92"/>
      <c r="N235" s="102"/>
      <c r="O235" s="102"/>
      <c r="P235" s="102"/>
      <c r="Q235" s="102"/>
      <c r="R235" s="102"/>
    </row>
    <row r="236" spans="1:18" ht="35.1" customHeight="1" x14ac:dyDescent="0.2">
      <c r="A236" s="99"/>
      <c r="B236" s="99"/>
      <c r="C236" s="92"/>
      <c r="D236" s="92"/>
      <c r="E236" s="92"/>
      <c r="F236" s="96">
        <f>SUM(F237:F240)</f>
        <v>7500.0000001702183</v>
      </c>
      <c r="G236" s="96">
        <f>SUM(G237:G240)</f>
        <v>12500.000001312163</v>
      </c>
      <c r="H236" s="96">
        <f>SUM(H237:H240)</f>
        <v>14999.999997969582</v>
      </c>
      <c r="I236" s="96">
        <f>SUM(I237:I240)</f>
        <v>10000.00000054804</v>
      </c>
      <c r="J236" s="92"/>
      <c r="K236" s="92"/>
      <c r="L236" s="92"/>
      <c r="M236" s="92" t="s">
        <v>71</v>
      </c>
      <c r="N236" s="102"/>
      <c r="O236" s="102"/>
      <c r="P236" s="102"/>
      <c r="Q236" s="102"/>
      <c r="R236" s="102"/>
    </row>
    <row r="237" spans="1:18" ht="35.1" customHeight="1" x14ac:dyDescent="0.2">
      <c r="A237" s="99"/>
      <c r="B237" s="99"/>
      <c r="C237" s="92"/>
      <c r="D237" s="92"/>
      <c r="E237" s="92">
        <v>7500</v>
      </c>
      <c r="F237" s="97">
        <v>0</v>
      </c>
      <c r="G237" s="97">
        <f>IF(E230=0,0,(E237/E230)*G230)</f>
        <v>2444.9338783336293</v>
      </c>
      <c r="H237" s="97">
        <f>IF(E230=0,0,(E237/E230)*H230)</f>
        <v>3272.53925499548</v>
      </c>
      <c r="I237" s="97">
        <f>IF(E230=0,0,(E237/E230)*I230)</f>
        <v>1782.5268666708905</v>
      </c>
      <c r="J237" s="92"/>
      <c r="K237" s="96">
        <f>F236</f>
        <v>7500.0000001702183</v>
      </c>
      <c r="L237" s="96">
        <v>7500</v>
      </c>
      <c r="M237" s="100">
        <f>IF(L237=0,0,(K237-L237)/L237)</f>
        <v>2.2695773319962123E-11</v>
      </c>
      <c r="N237" s="102"/>
      <c r="O237" s="102"/>
      <c r="P237" s="102"/>
      <c r="Q237" s="102"/>
      <c r="R237" s="102"/>
    </row>
    <row r="238" spans="1:18" ht="35.1" customHeight="1" x14ac:dyDescent="0.2">
      <c r="A238" s="99"/>
      <c r="B238" s="99"/>
      <c r="C238" s="92"/>
      <c r="D238" s="92"/>
      <c r="E238" s="92">
        <v>12500</v>
      </c>
      <c r="F238" s="97">
        <f>IF(E231=0,0,(E238/E231)*F231)</f>
        <v>2444.9338782013469</v>
      </c>
      <c r="G238" s="97">
        <v>0</v>
      </c>
      <c r="H238" s="97">
        <f>IF(E231=0,0,(E238/E231)*H231)</f>
        <v>6782.5268657569859</v>
      </c>
      <c r="I238" s="97">
        <f>IF(E231=0,0,(E238/E231)*I231)</f>
        <v>3272.5392560416667</v>
      </c>
      <c r="J238" s="92"/>
      <c r="K238" s="96">
        <f>G236</f>
        <v>12500.000001312163</v>
      </c>
      <c r="L238" s="96">
        <v>12500</v>
      </c>
      <c r="M238" s="100">
        <f>IF(L238=0,0,(K238-L238)/L238)</f>
        <v>1.0497300536371767E-10</v>
      </c>
      <c r="N238" s="102"/>
      <c r="O238" s="102"/>
      <c r="P238" s="102"/>
      <c r="Q238" s="102"/>
      <c r="R238" s="102"/>
    </row>
    <row r="239" spans="1:18" ht="35.1" customHeight="1" x14ac:dyDescent="0.2">
      <c r="A239" s="99"/>
      <c r="B239" s="99"/>
      <c r="C239" s="92"/>
      <c r="D239" s="92"/>
      <c r="E239" s="92">
        <v>15000</v>
      </c>
      <c r="F239" s="97">
        <f>IF(E232=0,0,(E239/E232)*F232)</f>
        <v>3272.539255335616</v>
      </c>
      <c r="G239" s="97">
        <f>IF(E232=0,0,(E239/E232)*G232)</f>
        <v>6782.5268668289027</v>
      </c>
      <c r="H239" s="97">
        <v>0</v>
      </c>
      <c r="I239" s="97">
        <f>IF(E232=0,0,(E239/E232)*I232)</f>
        <v>4944.9338778354813</v>
      </c>
      <c r="J239" s="92"/>
      <c r="K239" s="96">
        <f>H236</f>
        <v>14999.999997969582</v>
      </c>
      <c r="L239" s="96">
        <v>15000</v>
      </c>
      <c r="M239" s="100">
        <f>IF(L239=0,0,(K239-L239)/L239)</f>
        <v>-1.3536118785850703E-10</v>
      </c>
      <c r="N239" s="102"/>
      <c r="O239" s="102"/>
      <c r="P239" s="102"/>
      <c r="Q239" s="102"/>
      <c r="R239" s="102"/>
    </row>
    <row r="240" spans="1:18" ht="35.1" customHeight="1" x14ac:dyDescent="0.2">
      <c r="A240" s="99"/>
      <c r="B240" s="99"/>
      <c r="C240" s="92"/>
      <c r="D240" s="92"/>
      <c r="E240" s="92">
        <v>10000</v>
      </c>
      <c r="F240" s="97">
        <f>IF(E233=0,0,(E240/E233)*F233)</f>
        <v>1782.5268666332547</v>
      </c>
      <c r="G240" s="97">
        <f>IF(E233=0,0,(E240/E233)*G233)</f>
        <v>3272.5392561496305</v>
      </c>
      <c r="H240" s="97">
        <f>IF(E233=0,0,(E240/E233)*H233)</f>
        <v>4944.933877217115</v>
      </c>
      <c r="I240" s="97">
        <v>0</v>
      </c>
      <c r="J240" s="92"/>
      <c r="K240" s="96">
        <f>I236</f>
        <v>10000.00000054804</v>
      </c>
      <c r="L240" s="96">
        <v>10000</v>
      </c>
      <c r="M240" s="100">
        <f>IF(L240=0,0,(K240-L240)/L240)</f>
        <v>5.4803967941552397E-11</v>
      </c>
      <c r="N240" s="102"/>
      <c r="O240" s="102"/>
      <c r="P240" s="102"/>
      <c r="Q240" s="102"/>
      <c r="R240" s="102"/>
    </row>
    <row r="241" spans="1:18" ht="35.1" customHeight="1" x14ac:dyDescent="0.2">
      <c r="A241" s="99"/>
      <c r="B241" s="99"/>
      <c r="C241" s="92"/>
      <c r="D241" s="92"/>
      <c r="E241" s="92"/>
      <c r="F241" s="99"/>
      <c r="G241" s="99"/>
      <c r="H241" s="99"/>
      <c r="I241" s="99"/>
      <c r="J241" s="92"/>
      <c r="K241" s="92">
        <f>SUM(K237:K240)</f>
        <v>45000</v>
      </c>
      <c r="L241" s="92">
        <f>SUM(L237:L240)</f>
        <v>45000</v>
      </c>
      <c r="M241" s="100"/>
      <c r="N241" s="102"/>
      <c r="O241" s="102"/>
      <c r="P241" s="102"/>
      <c r="Q241" s="102"/>
      <c r="R241" s="102"/>
    </row>
    <row r="242" spans="1:18" ht="35.1" customHeight="1" x14ac:dyDescent="0.2">
      <c r="A242" s="99"/>
      <c r="B242" s="99"/>
      <c r="C242" s="92" t="s">
        <v>72</v>
      </c>
      <c r="D242" s="92"/>
      <c r="E242" s="92"/>
      <c r="F242" s="92"/>
      <c r="G242" s="92"/>
      <c r="H242" s="92"/>
      <c r="I242" s="92"/>
      <c r="J242" s="92"/>
      <c r="K242" s="92"/>
      <c r="L242" s="92"/>
      <c r="M242" s="92"/>
      <c r="N242" s="102"/>
      <c r="O242" s="102"/>
      <c r="P242" s="102"/>
      <c r="Q242" s="102"/>
      <c r="R242" s="102"/>
    </row>
    <row r="243" spans="1:18" ht="35.1" customHeight="1" x14ac:dyDescent="0.2">
      <c r="A243" s="99"/>
      <c r="B243" s="99"/>
      <c r="C243" s="92"/>
      <c r="D243" s="92"/>
      <c r="E243" s="92"/>
      <c r="F243" s="96">
        <v>7500</v>
      </c>
      <c r="G243" s="96">
        <v>12500</v>
      </c>
      <c r="H243" s="96">
        <v>15000</v>
      </c>
      <c r="I243" s="96">
        <v>10000</v>
      </c>
      <c r="J243" s="92"/>
      <c r="K243" s="92"/>
      <c r="L243" s="92"/>
      <c r="M243" s="92" t="s">
        <v>71</v>
      </c>
      <c r="N243" s="102"/>
      <c r="O243" s="102"/>
      <c r="P243" s="102"/>
      <c r="Q243" s="102"/>
      <c r="R243" s="102"/>
    </row>
    <row r="244" spans="1:18" ht="35.1" customHeight="1" x14ac:dyDescent="0.2">
      <c r="A244" s="99"/>
      <c r="B244" s="99"/>
      <c r="C244" s="92"/>
      <c r="D244" s="92"/>
      <c r="E244" s="96">
        <f>SUM(F244:I244)</f>
        <v>7500.000000088633</v>
      </c>
      <c r="F244" s="101">
        <v>0</v>
      </c>
      <c r="G244" s="101">
        <f>IF(G236=0,0,(G243/G236)*G237)</f>
        <v>2444.9338780769772</v>
      </c>
      <c r="H244" s="101">
        <f>IF(H236=0,0,(H243/H236)*H237)</f>
        <v>3272.5392554384553</v>
      </c>
      <c r="I244" s="101">
        <f>IF(I236=0,0,(I243/I236)*I237)</f>
        <v>1782.526866573201</v>
      </c>
      <c r="J244" s="92"/>
      <c r="K244" s="96">
        <f>E244</f>
        <v>7500.000000088633</v>
      </c>
      <c r="L244" s="92">
        <v>7500</v>
      </c>
      <c r="M244" s="100">
        <f>IF(L244=0,0,(K244-L244)/L244)</f>
        <v>1.1817731622916957E-11</v>
      </c>
      <c r="N244" s="102"/>
      <c r="O244" s="102"/>
      <c r="P244" s="102"/>
      <c r="Q244" s="102"/>
      <c r="R244" s="102"/>
    </row>
    <row r="245" spans="1:18" ht="35.1" customHeight="1" x14ac:dyDescent="0.2">
      <c r="A245" s="99"/>
      <c r="B245" s="99"/>
      <c r="C245" s="92"/>
      <c r="D245" s="92"/>
      <c r="E245" s="96">
        <f>SUM(F245:I245)</f>
        <v>12500.000000683254</v>
      </c>
      <c r="F245" s="101">
        <f>IF(F236=0,0,(F243/F236)*F238)</f>
        <v>2444.9338781458573</v>
      </c>
      <c r="G245" s="101">
        <v>0</v>
      </c>
      <c r="H245" s="101">
        <f>IF(H236=0,0,(H243/H236)*H238)</f>
        <v>6782.5268666750771</v>
      </c>
      <c r="I245" s="101">
        <f>IF(I236=0,0,(I243/I236)*I238)</f>
        <v>3272.5392558623184</v>
      </c>
      <c r="J245" s="92"/>
      <c r="K245" s="96">
        <f>E245</f>
        <v>12500.000000683254</v>
      </c>
      <c r="L245" s="92">
        <v>12500</v>
      </c>
      <c r="M245" s="100">
        <f>IF(L245=0,0,(K245-L245)/L245)</f>
        <v>5.4660340538248419E-11</v>
      </c>
      <c r="N245" s="102"/>
      <c r="O245" s="102"/>
      <c r="P245" s="102"/>
      <c r="Q245" s="102"/>
      <c r="R245" s="102"/>
    </row>
    <row r="246" spans="1:18" ht="35.1" customHeight="1" x14ac:dyDescent="0.2">
      <c r="A246" s="99"/>
      <c r="B246" s="99"/>
      <c r="C246" s="92"/>
      <c r="D246" s="92"/>
      <c r="E246" s="96">
        <f>SUM(F246:I246)</f>
        <v>14999.999998942743</v>
      </c>
      <c r="F246" s="101">
        <f>IF(F236=0,0,(F243/F236)*F239)</f>
        <v>3272.5392552613434</v>
      </c>
      <c r="G246" s="101">
        <f>IF(G236=0,0,(G243/G236)*G239)</f>
        <v>6782.5268661169202</v>
      </c>
      <c r="H246" s="101">
        <v>0</v>
      </c>
      <c r="I246" s="101">
        <f>IF(I236=0,0,(I243/I236)*I239)</f>
        <v>4944.9338775644792</v>
      </c>
      <c r="J246" s="92"/>
      <c r="K246" s="96">
        <f>E246</f>
        <v>14999.999998942743</v>
      </c>
      <c r="L246" s="92">
        <v>15000</v>
      </c>
      <c r="M246" s="100">
        <f>IF(L246=0,0,(K246-L246)/L246)</f>
        <v>-7.0483777866077916E-11</v>
      </c>
      <c r="N246" s="102"/>
      <c r="O246" s="102"/>
      <c r="P246" s="102"/>
      <c r="Q246" s="102"/>
      <c r="R246" s="102"/>
    </row>
    <row r="247" spans="1:18" ht="35.1" customHeight="1" x14ac:dyDescent="0.2">
      <c r="A247" s="99"/>
      <c r="B247" s="99"/>
      <c r="C247" s="92"/>
      <c r="D247" s="92"/>
      <c r="E247" s="96">
        <f>SUM(F247:I247)</f>
        <v>10000.000000285369</v>
      </c>
      <c r="F247" s="101">
        <f>IF(F236=0,0,(F243/F236)*F240)</f>
        <v>1782.526866592799</v>
      </c>
      <c r="G247" s="101">
        <f>IF(G236=0,0,(G243/G236)*G240)</f>
        <v>3272.5392558061021</v>
      </c>
      <c r="H247" s="101">
        <f>IF(H236=0,0,(H243/H236)*H240)</f>
        <v>4944.9338778864676</v>
      </c>
      <c r="I247" s="101">
        <v>0</v>
      </c>
      <c r="J247" s="92"/>
      <c r="K247" s="96">
        <f>E247</f>
        <v>10000.000000285369</v>
      </c>
      <c r="L247" s="92">
        <v>10000</v>
      </c>
      <c r="M247" s="100">
        <f>IF(L247=0,0,(K247-L247)/L247)</f>
        <v>2.853685145964846E-11</v>
      </c>
      <c r="N247" s="102"/>
      <c r="O247" s="102"/>
      <c r="P247" s="102"/>
      <c r="Q247" s="102"/>
      <c r="R247" s="102"/>
    </row>
    <row r="248" spans="1:18" ht="35.1" customHeight="1" x14ac:dyDescent="0.2">
      <c r="A248" s="99"/>
      <c r="B248" s="99"/>
      <c r="C248" s="92"/>
      <c r="D248" s="92"/>
      <c r="E248" s="92"/>
      <c r="F248" s="92"/>
      <c r="G248" s="92"/>
      <c r="H248" s="92"/>
      <c r="I248" s="92"/>
      <c r="J248" s="92"/>
      <c r="K248" s="92">
        <f>SUM(K244:K247)</f>
        <v>45000</v>
      </c>
      <c r="L248" s="92">
        <f>SUM(L244:L247)</f>
        <v>45000</v>
      </c>
      <c r="M248" s="100"/>
      <c r="N248" s="102"/>
      <c r="O248" s="102"/>
      <c r="P248" s="102"/>
      <c r="Q248" s="102"/>
      <c r="R248" s="102"/>
    </row>
    <row r="249" spans="1:18" ht="35.1" customHeight="1" x14ac:dyDescent="0.2">
      <c r="A249" s="99"/>
      <c r="B249" s="99"/>
      <c r="C249" s="92" t="s">
        <v>70</v>
      </c>
      <c r="D249" s="92"/>
      <c r="E249" s="92"/>
      <c r="F249" s="92"/>
      <c r="G249" s="92"/>
      <c r="H249" s="92"/>
      <c r="I249" s="92"/>
      <c r="J249" s="92"/>
      <c r="K249" s="92"/>
      <c r="L249" s="92"/>
      <c r="M249" s="92"/>
      <c r="N249" s="102"/>
      <c r="O249" s="102"/>
      <c r="P249" s="102"/>
      <c r="Q249" s="102"/>
      <c r="R249" s="102"/>
    </row>
    <row r="250" spans="1:18" ht="35.1" customHeight="1" x14ac:dyDescent="0.2">
      <c r="A250" s="99"/>
      <c r="B250" s="99"/>
      <c r="C250" s="92"/>
      <c r="D250" s="92"/>
      <c r="E250" s="92"/>
      <c r="F250" s="96">
        <f>SUM(F251:F254)</f>
        <v>7500.0000000461523</v>
      </c>
      <c r="G250" s="96">
        <f>SUM(G251:G254)</f>
        <v>12500.000000355776</v>
      </c>
      <c r="H250" s="96">
        <f>SUM(H251:H254)</f>
        <v>14999.999999449479</v>
      </c>
      <c r="I250" s="96">
        <f>SUM(I251:I254)</f>
        <v>10000.000000148593</v>
      </c>
      <c r="J250" s="92"/>
      <c r="K250" s="92"/>
      <c r="L250" s="92"/>
      <c r="M250" s="92" t="s">
        <v>71</v>
      </c>
      <c r="N250" s="102"/>
      <c r="O250" s="102"/>
      <c r="P250" s="102"/>
      <c r="Q250" s="102"/>
      <c r="R250" s="102"/>
    </row>
    <row r="251" spans="1:18" ht="35.1" customHeight="1" x14ac:dyDescent="0.2">
      <c r="A251" s="99"/>
      <c r="B251" s="99"/>
      <c r="C251" s="92"/>
      <c r="D251" s="92"/>
      <c r="E251" s="92">
        <v>7500</v>
      </c>
      <c r="F251" s="97">
        <v>0</v>
      </c>
      <c r="G251" s="97">
        <f>IF(E244=0,0,(E251/E244)*G244)</f>
        <v>2444.9338780480834</v>
      </c>
      <c r="H251" s="97">
        <f>IF(E244=0,0,(E251/E244)*H244)</f>
        <v>3272.5392553997813</v>
      </c>
      <c r="I251" s="97">
        <f>IF(E244=0,0,(E251/E244)*I244)</f>
        <v>1782.5268665521355</v>
      </c>
      <c r="J251" s="92"/>
      <c r="K251" s="96">
        <f>F250</f>
        <v>7500.0000000461523</v>
      </c>
      <c r="L251" s="96">
        <v>7500</v>
      </c>
      <c r="M251" s="100">
        <f>IF(L251=0,0,(K251-L251)/L251)</f>
        <v>6.1536411521956325E-12</v>
      </c>
      <c r="N251" s="102"/>
      <c r="O251" s="102"/>
      <c r="P251" s="102"/>
      <c r="Q251" s="102"/>
      <c r="R251" s="102"/>
    </row>
    <row r="252" spans="1:18" ht="35.1" customHeight="1" x14ac:dyDescent="0.2">
      <c r="A252" s="99"/>
      <c r="B252" s="99"/>
      <c r="C252" s="92"/>
      <c r="D252" s="92"/>
      <c r="E252" s="92">
        <v>12500</v>
      </c>
      <c r="F252" s="97">
        <f>IF(E245=0,0,(E252/E245)*F245)</f>
        <v>2444.9338780122162</v>
      </c>
      <c r="G252" s="97">
        <v>0</v>
      </c>
      <c r="H252" s="97">
        <f>IF(E245=0,0,(E252/E245)*H245)</f>
        <v>6782.5268663043416</v>
      </c>
      <c r="I252" s="97">
        <f>IF(E245=0,0,(E252/E245)*I245)</f>
        <v>3272.5392556834404</v>
      </c>
      <c r="J252" s="92"/>
      <c r="K252" s="96">
        <f>G250</f>
        <v>12500.000000355776</v>
      </c>
      <c r="L252" s="96">
        <v>12500</v>
      </c>
      <c r="M252" s="100">
        <f>IF(L252=0,0,(K252-L252)/L252)</f>
        <v>2.8462090995162725E-11</v>
      </c>
      <c r="N252" s="102"/>
      <c r="O252" s="102"/>
      <c r="P252" s="102"/>
      <c r="Q252" s="102"/>
      <c r="R252" s="102"/>
    </row>
    <row r="253" spans="1:18" ht="35.1" customHeight="1" x14ac:dyDescent="0.2">
      <c r="A253" s="99"/>
      <c r="B253" s="99"/>
      <c r="C253" s="92"/>
      <c r="D253" s="92"/>
      <c r="E253" s="92">
        <v>15000</v>
      </c>
      <c r="F253" s="97">
        <f>IF(E246=0,0,(E253/E246)*F246)</f>
        <v>3272.5392554920045</v>
      </c>
      <c r="G253" s="97">
        <f>IF(E246=0,0,(E253/E246)*G246)</f>
        <v>6782.5268665949789</v>
      </c>
      <c r="H253" s="97">
        <v>0</v>
      </c>
      <c r="I253" s="97">
        <f>IF(E246=0,0,(E253/E246)*I246)</f>
        <v>4944.9338779130176</v>
      </c>
      <c r="J253" s="92"/>
      <c r="K253" s="96">
        <f>H250</f>
        <v>14999.999999449479</v>
      </c>
      <c r="L253" s="96">
        <v>15000</v>
      </c>
      <c r="M253" s="100">
        <f>IF(L253=0,0,(K253-L253)/L253)</f>
        <v>-3.6701385397464037E-11</v>
      </c>
      <c r="N253" s="102"/>
      <c r="O253" s="102"/>
      <c r="P253" s="102"/>
      <c r="Q253" s="102"/>
      <c r="R253" s="102"/>
    </row>
    <row r="254" spans="1:18" ht="35.1" customHeight="1" x14ac:dyDescent="0.2">
      <c r="A254" s="99"/>
      <c r="B254" s="99"/>
      <c r="C254" s="92"/>
      <c r="D254" s="92"/>
      <c r="E254" s="92">
        <v>10000</v>
      </c>
      <c r="F254" s="97">
        <f>IF(E247=0,0,(E254/E247)*F247)</f>
        <v>1782.5268665419314</v>
      </c>
      <c r="G254" s="97">
        <f>IF(E247=0,0,(E254/E247)*G247)</f>
        <v>3272.5392557127143</v>
      </c>
      <c r="H254" s="97">
        <f>IF(E247=0,0,(E254/E247)*H247)</f>
        <v>4944.9338777453549</v>
      </c>
      <c r="I254" s="97">
        <v>0</v>
      </c>
      <c r="J254" s="92"/>
      <c r="K254" s="96">
        <f>I250</f>
        <v>10000.000000148593</v>
      </c>
      <c r="L254" s="96">
        <v>10000</v>
      </c>
      <c r="M254" s="100">
        <f>IF(L254=0,0,(K254-L254)/L254)</f>
        <v>1.4859324437566102E-11</v>
      </c>
      <c r="N254" s="102"/>
      <c r="O254" s="102"/>
      <c r="P254" s="102"/>
      <c r="Q254" s="102"/>
      <c r="R254" s="102"/>
    </row>
    <row r="255" spans="1:18" ht="35.1" customHeight="1" x14ac:dyDescent="0.2">
      <c r="A255" s="99"/>
      <c r="B255" s="99"/>
      <c r="C255" s="92"/>
      <c r="D255" s="92"/>
      <c r="E255" s="92"/>
      <c r="F255" s="99"/>
      <c r="G255" s="99"/>
      <c r="H255" s="99"/>
      <c r="I255" s="99"/>
      <c r="J255" s="92"/>
      <c r="K255" s="92">
        <f>SUM(K251:K254)</f>
        <v>45000</v>
      </c>
      <c r="L255" s="92">
        <f>SUM(L251:L254)</f>
        <v>45000</v>
      </c>
      <c r="M255" s="100"/>
      <c r="N255" s="102"/>
      <c r="O255" s="102"/>
      <c r="P255" s="102"/>
      <c r="Q255" s="102"/>
      <c r="R255" s="102"/>
    </row>
    <row r="256" spans="1:18" ht="35.1" customHeight="1" x14ac:dyDescent="0.2">
      <c r="A256" s="99"/>
      <c r="B256" s="99"/>
      <c r="C256" s="92" t="s">
        <v>72</v>
      </c>
      <c r="D256" s="92"/>
      <c r="E256" s="92"/>
      <c r="F256" s="92"/>
      <c r="G256" s="92"/>
      <c r="H256" s="92"/>
      <c r="I256" s="92"/>
      <c r="J256" s="92"/>
      <c r="K256" s="92"/>
      <c r="L256" s="92"/>
      <c r="M256" s="92"/>
      <c r="N256" s="102"/>
      <c r="O256" s="102"/>
      <c r="P256" s="102"/>
      <c r="Q256" s="102"/>
      <c r="R256" s="102"/>
    </row>
    <row r="257" spans="1:18" ht="35.1" customHeight="1" x14ac:dyDescent="0.2">
      <c r="A257" s="99"/>
      <c r="B257" s="99"/>
      <c r="C257" s="92"/>
      <c r="D257" s="92"/>
      <c r="E257" s="92"/>
      <c r="F257" s="96">
        <v>7500</v>
      </c>
      <c r="G257" s="96">
        <v>12500</v>
      </c>
      <c r="H257" s="96">
        <v>15000</v>
      </c>
      <c r="I257" s="96">
        <v>10000</v>
      </c>
      <c r="J257" s="92"/>
      <c r="K257" s="92"/>
      <c r="L257" s="92"/>
      <c r="M257" s="92" t="s">
        <v>71</v>
      </c>
      <c r="N257" s="102"/>
      <c r="O257" s="102"/>
      <c r="P257" s="102"/>
      <c r="Q257" s="102"/>
      <c r="R257" s="102"/>
    </row>
    <row r="258" spans="1:18" ht="35.1" customHeight="1" x14ac:dyDescent="0.2">
      <c r="A258" s="99"/>
      <c r="B258" s="99"/>
      <c r="C258" s="92"/>
      <c r="D258" s="92"/>
      <c r="E258" s="96">
        <f>SUM(F258:I258)</f>
        <v>7500.0000000240307</v>
      </c>
      <c r="F258" s="101">
        <v>0</v>
      </c>
      <c r="G258" s="101">
        <f>IF(G250=0,0,(G257/G250)*G251)</f>
        <v>2444.9338779784953</v>
      </c>
      <c r="H258" s="101">
        <f>IF(H250=0,0,(H257/H250)*H251)</f>
        <v>3272.5392555198878</v>
      </c>
      <c r="I258" s="101">
        <f>IF(I250=0,0,(I257/I250)*I251)</f>
        <v>1782.5268665256483</v>
      </c>
      <c r="J258" s="92"/>
      <c r="K258" s="96">
        <f>E258</f>
        <v>7500.0000000240307</v>
      </c>
      <c r="L258" s="92">
        <v>7500</v>
      </c>
      <c r="M258" s="100">
        <f>IF(L258=0,0,(K258-L258)/L258)</f>
        <v>3.2040892013659081E-12</v>
      </c>
      <c r="N258" s="102"/>
      <c r="O258" s="102"/>
      <c r="P258" s="102"/>
      <c r="Q258" s="102"/>
      <c r="R258" s="102"/>
    </row>
    <row r="259" spans="1:18" ht="35.1" customHeight="1" x14ac:dyDescent="0.2">
      <c r="A259" s="99"/>
      <c r="B259" s="99"/>
      <c r="C259" s="92"/>
      <c r="D259" s="92"/>
      <c r="E259" s="96">
        <f>SUM(F259:I259)</f>
        <v>12500.000000185253</v>
      </c>
      <c r="F259" s="101">
        <f>IF(F250=0,0,(F257/F250)*F252)</f>
        <v>2444.9338779971708</v>
      </c>
      <c r="G259" s="101">
        <v>0</v>
      </c>
      <c r="H259" s="101">
        <f>IF(H250=0,0,(H257/H250)*H252)</f>
        <v>6782.5268665532694</v>
      </c>
      <c r="I259" s="101">
        <f>IF(I250=0,0,(I257/I250)*I252)</f>
        <v>3272.5392556348124</v>
      </c>
      <c r="J259" s="92"/>
      <c r="K259" s="96">
        <f>E259</f>
        <v>12500.000000185253</v>
      </c>
      <c r="L259" s="92">
        <v>12500</v>
      </c>
      <c r="M259" s="100">
        <f>IF(L259=0,0,(K259-L259)/L259)</f>
        <v>1.4820252545177937E-11</v>
      </c>
      <c r="N259" s="102"/>
      <c r="O259" s="102"/>
      <c r="P259" s="102"/>
      <c r="Q259" s="102"/>
      <c r="R259" s="102"/>
    </row>
    <row r="260" spans="1:18" ht="35.1" customHeight="1" x14ac:dyDescent="0.2">
      <c r="A260" s="99"/>
      <c r="B260" s="99"/>
      <c r="C260" s="92"/>
      <c r="D260" s="92"/>
      <c r="E260" s="96">
        <f>SUM(F260:I260)</f>
        <v>14999.99999971334</v>
      </c>
      <c r="F260" s="101">
        <f>IF(F250=0,0,(F257/F250)*F253)</f>
        <v>3272.5392554718665</v>
      </c>
      <c r="G260" s="101">
        <f>IF(G250=0,0,(G257/G250)*G253)</f>
        <v>6782.5268664019341</v>
      </c>
      <c r="H260" s="101">
        <v>0</v>
      </c>
      <c r="I260" s="101">
        <f>IF(I250=0,0,(I257/I250)*I253)</f>
        <v>4944.9338778395395</v>
      </c>
      <c r="J260" s="92"/>
      <c r="K260" s="96">
        <f>E260</f>
        <v>14999.99999971334</v>
      </c>
      <c r="L260" s="92">
        <v>15000</v>
      </c>
      <c r="M260" s="100">
        <f>IF(L260=0,0,(K260-L260)/L260)</f>
        <v>-1.9110666471533477E-11</v>
      </c>
      <c r="N260" s="102"/>
      <c r="O260" s="102"/>
      <c r="P260" s="102"/>
      <c r="Q260" s="102"/>
      <c r="R260" s="102"/>
    </row>
    <row r="261" spans="1:18" ht="35.1" customHeight="1" x14ac:dyDescent="0.2">
      <c r="A261" s="99"/>
      <c r="B261" s="99"/>
      <c r="C261" s="92"/>
      <c r="D261" s="92"/>
      <c r="E261" s="96">
        <f>SUM(F261:I261)</f>
        <v>10000.000000077373</v>
      </c>
      <c r="F261" s="101">
        <f>IF(F250=0,0,(F257/F250)*F254)</f>
        <v>1782.5268665309625</v>
      </c>
      <c r="G261" s="101">
        <f>IF(G250=0,0,(G257/G250)*G254)</f>
        <v>3272.5392556195707</v>
      </c>
      <c r="H261" s="101">
        <f>IF(H250=0,0,(H257/H250)*H254)</f>
        <v>4944.9338779268401</v>
      </c>
      <c r="I261" s="101">
        <v>0</v>
      </c>
      <c r="J261" s="92"/>
      <c r="K261" s="96">
        <f>E261</f>
        <v>10000.000000077373</v>
      </c>
      <c r="L261" s="92">
        <v>10000</v>
      </c>
      <c r="M261" s="100">
        <f>IF(L261=0,0,(K261-L261)/L261)</f>
        <v>7.7372533269226544E-12</v>
      </c>
      <c r="N261" s="102"/>
      <c r="O261" s="102"/>
      <c r="P261" s="102"/>
      <c r="Q261" s="102"/>
      <c r="R261" s="102"/>
    </row>
    <row r="262" spans="1:18" ht="35.1" customHeight="1" x14ac:dyDescent="0.2">
      <c r="A262" s="99"/>
      <c r="B262" s="99"/>
      <c r="C262" s="92"/>
      <c r="D262" s="92"/>
      <c r="E262" s="92"/>
      <c r="F262" s="92"/>
      <c r="G262" s="92"/>
      <c r="H262" s="92"/>
      <c r="I262" s="92"/>
      <c r="J262" s="92"/>
      <c r="K262" s="92">
        <f>SUM(K258:K261)</f>
        <v>45000</v>
      </c>
      <c r="L262" s="92">
        <f>SUM(L258:L261)</f>
        <v>45000</v>
      </c>
      <c r="M262" s="100"/>
      <c r="N262" s="102"/>
      <c r="O262" s="102"/>
      <c r="P262" s="102"/>
      <c r="Q262" s="102"/>
      <c r="R262" s="102"/>
    </row>
    <row r="263" spans="1:18" ht="35.1" customHeight="1" x14ac:dyDescent="0.2">
      <c r="A263" s="99"/>
      <c r="B263" s="99"/>
      <c r="C263" s="92" t="s">
        <v>70</v>
      </c>
      <c r="D263" s="92"/>
      <c r="E263" s="92"/>
      <c r="F263" s="92"/>
      <c r="G263" s="92"/>
      <c r="H263" s="92"/>
      <c r="I263" s="92"/>
      <c r="J263" s="92"/>
      <c r="K263" s="92"/>
      <c r="L263" s="92"/>
      <c r="M263" s="92"/>
      <c r="N263" s="102"/>
      <c r="O263" s="102"/>
      <c r="P263" s="102"/>
      <c r="Q263" s="102"/>
      <c r="R263" s="102"/>
    </row>
    <row r="264" spans="1:18" ht="35.1" customHeight="1" x14ac:dyDescent="0.2">
      <c r="A264" s="99"/>
      <c r="B264" s="99"/>
      <c r="C264" s="92"/>
      <c r="D264" s="92"/>
      <c r="E264" s="92"/>
      <c r="F264" s="96">
        <f>SUM(F265:F268)</f>
        <v>7500.0000000125137</v>
      </c>
      <c r="G264" s="96">
        <f>SUM(G265:G268)</f>
        <v>12500.000000096466</v>
      </c>
      <c r="H264" s="96">
        <f>SUM(H265:H268)</f>
        <v>14999.999999850732</v>
      </c>
      <c r="I264" s="96">
        <f>SUM(I265:I268)</f>
        <v>10000.000000040291</v>
      </c>
      <c r="J264" s="92"/>
      <c r="K264" s="92"/>
      <c r="L264" s="92"/>
      <c r="M264" s="92" t="s">
        <v>71</v>
      </c>
      <c r="N264" s="102"/>
      <c r="O264" s="102"/>
      <c r="P264" s="102"/>
      <c r="Q264" s="102"/>
      <c r="R264" s="102"/>
    </row>
    <row r="265" spans="1:18" ht="35.1" customHeight="1" x14ac:dyDescent="0.2">
      <c r="A265" s="99"/>
      <c r="B265" s="99"/>
      <c r="C265" s="92"/>
      <c r="D265" s="92"/>
      <c r="E265" s="92">
        <v>7500</v>
      </c>
      <c r="F265" s="97">
        <v>0</v>
      </c>
      <c r="G265" s="97">
        <f>IF(E258=0,0,(E265/E258)*G258)</f>
        <v>2444.9338779706613</v>
      </c>
      <c r="H265" s="97">
        <f>IF(E258=0,0,(E265/E258)*H258)</f>
        <v>3272.5392555094022</v>
      </c>
      <c r="I265" s="97">
        <f>IF(E258=0,0,(E265/E258)*I258)</f>
        <v>1782.5268665199369</v>
      </c>
      <c r="J265" s="92"/>
      <c r="K265" s="96">
        <f>F264</f>
        <v>7500.0000000125137</v>
      </c>
      <c r="L265" s="96">
        <v>7500</v>
      </c>
      <c r="M265" s="100">
        <f>IF(L265=0,0,(K265-L265)/L265)</f>
        <v>1.668498346892496E-12</v>
      </c>
      <c r="N265" s="102"/>
      <c r="O265" s="102"/>
      <c r="P265" s="102"/>
      <c r="Q265" s="102"/>
      <c r="R265" s="102"/>
    </row>
    <row r="266" spans="1:18" ht="35.1" customHeight="1" x14ac:dyDescent="0.2">
      <c r="A266" s="99"/>
      <c r="B266" s="99"/>
      <c r="C266" s="92"/>
      <c r="D266" s="92"/>
      <c r="E266" s="92">
        <v>12500</v>
      </c>
      <c r="F266" s="97">
        <f>IF(E259=0,0,(E266/E259)*F259)</f>
        <v>2444.9338779609361</v>
      </c>
      <c r="G266" s="97">
        <v>0</v>
      </c>
      <c r="H266" s="97">
        <f>IF(E259=0,0,(E266/E259)*H259)</f>
        <v>6782.5268664527503</v>
      </c>
      <c r="I266" s="97">
        <f>IF(E259=0,0,(E266/E259)*I259)</f>
        <v>3272.5392555863127</v>
      </c>
      <c r="J266" s="92"/>
      <c r="K266" s="96">
        <f>G264</f>
        <v>12500.000000096466</v>
      </c>
      <c r="L266" s="96">
        <v>12500</v>
      </c>
      <c r="M266" s="100">
        <f>IF(L266=0,0,(K266-L266)/L266)</f>
        <v>7.7173172030597921E-12</v>
      </c>
      <c r="N266" s="102"/>
      <c r="O266" s="102"/>
      <c r="P266" s="102"/>
      <c r="Q266" s="102"/>
      <c r="R266" s="102"/>
    </row>
    <row r="267" spans="1:18" ht="35.1" customHeight="1" x14ac:dyDescent="0.2">
      <c r="A267" s="99"/>
      <c r="B267" s="99"/>
      <c r="C267" s="92"/>
      <c r="D267" s="92"/>
      <c r="E267" s="92">
        <v>15000</v>
      </c>
      <c r="F267" s="97">
        <f>IF(E260=0,0,(E267/E260)*F260)</f>
        <v>3272.5392555344069</v>
      </c>
      <c r="G267" s="97">
        <f>IF(E260=0,0,(E267/E260)*G260)</f>
        <v>6782.5268665315534</v>
      </c>
      <c r="H267" s="97">
        <v>0</v>
      </c>
      <c r="I267" s="97">
        <f>IF(E260=0,0,(E267/E260)*I260)</f>
        <v>4944.9338779340405</v>
      </c>
      <c r="J267" s="92"/>
      <c r="K267" s="96">
        <f>H264</f>
        <v>14999.999999850732</v>
      </c>
      <c r="L267" s="96">
        <v>15000</v>
      </c>
      <c r="M267" s="100">
        <f>IF(L267=0,0,(K267-L267)/L267)</f>
        <v>-9.9512059629584354E-12</v>
      </c>
      <c r="N267" s="102"/>
      <c r="O267" s="102"/>
      <c r="P267" s="102"/>
      <c r="Q267" s="102"/>
      <c r="R267" s="102"/>
    </row>
    <row r="268" spans="1:18" ht="35.1" customHeight="1" x14ac:dyDescent="0.2">
      <c r="A268" s="99"/>
      <c r="B268" s="99"/>
      <c r="C268" s="92"/>
      <c r="D268" s="92"/>
      <c r="E268" s="92">
        <v>10000</v>
      </c>
      <c r="F268" s="97">
        <f>IF(E261=0,0,(E268/E261)*F261)</f>
        <v>1782.5268665171707</v>
      </c>
      <c r="G268" s="97">
        <f>IF(E261=0,0,(E268/E261)*G261)</f>
        <v>3272.5392555942503</v>
      </c>
      <c r="H268" s="97">
        <f>IF(E261=0,0,(E268/E261)*H261)</f>
        <v>4944.9338778885794</v>
      </c>
      <c r="I268" s="97">
        <v>0</v>
      </c>
      <c r="J268" s="92"/>
      <c r="K268" s="96">
        <f>I264</f>
        <v>10000.000000040291</v>
      </c>
      <c r="L268" s="96">
        <v>10000</v>
      </c>
      <c r="M268" s="100">
        <f>IF(L268=0,0,(K268-L268)/L268)</f>
        <v>4.0290615288540718E-12</v>
      </c>
      <c r="N268" s="102"/>
      <c r="O268" s="102"/>
      <c r="P268" s="102"/>
      <c r="Q268" s="102"/>
      <c r="R268" s="102"/>
    </row>
    <row r="269" spans="1:18" ht="35.1" customHeight="1" x14ac:dyDescent="0.2">
      <c r="A269" s="99"/>
      <c r="B269" s="99"/>
      <c r="C269" s="92"/>
      <c r="D269" s="92"/>
      <c r="E269" s="92"/>
      <c r="F269" s="99"/>
      <c r="G269" s="99"/>
      <c r="H269" s="99"/>
      <c r="I269" s="99"/>
      <c r="J269" s="92"/>
      <c r="K269" s="92">
        <f>SUM(K265:K268)</f>
        <v>45000</v>
      </c>
      <c r="L269" s="92">
        <f>SUM(L265:L268)</f>
        <v>45000</v>
      </c>
      <c r="M269" s="100"/>
      <c r="N269" s="102"/>
      <c r="O269" s="102"/>
      <c r="P269" s="102"/>
      <c r="Q269" s="102"/>
      <c r="R269" s="102"/>
    </row>
    <row r="270" spans="1:18" ht="35.1" customHeight="1" x14ac:dyDescent="0.2">
      <c r="A270" s="99"/>
      <c r="B270" s="99"/>
      <c r="C270" s="92" t="s">
        <v>72</v>
      </c>
      <c r="D270" s="92"/>
      <c r="E270" s="92"/>
      <c r="F270" s="92"/>
      <c r="G270" s="92"/>
      <c r="H270" s="92"/>
      <c r="I270" s="92"/>
      <c r="J270" s="92"/>
      <c r="K270" s="92"/>
      <c r="L270" s="92"/>
      <c r="M270" s="92"/>
      <c r="N270" s="102"/>
      <c r="O270" s="102"/>
      <c r="P270" s="102"/>
      <c r="Q270" s="102"/>
      <c r="R270" s="102"/>
    </row>
    <row r="271" spans="1:18" ht="35.1" customHeight="1" x14ac:dyDescent="0.2">
      <c r="A271" s="99"/>
      <c r="B271" s="99"/>
      <c r="C271" s="92"/>
      <c r="D271" s="92"/>
      <c r="E271" s="92"/>
      <c r="F271" s="96">
        <v>7500</v>
      </c>
      <c r="G271" s="96">
        <v>12500</v>
      </c>
      <c r="H271" s="96">
        <v>15000</v>
      </c>
      <c r="I271" s="96">
        <v>10000</v>
      </c>
      <c r="J271" s="92"/>
      <c r="K271" s="92"/>
      <c r="L271" s="92"/>
      <c r="M271" s="92" t="s">
        <v>71</v>
      </c>
      <c r="N271" s="102"/>
      <c r="O271" s="102"/>
      <c r="P271" s="102"/>
      <c r="Q271" s="102"/>
      <c r="R271" s="102"/>
    </row>
    <row r="272" spans="1:18" ht="35.1" customHeight="1" x14ac:dyDescent="0.2">
      <c r="A272" s="99"/>
      <c r="B272" s="99"/>
      <c r="C272" s="92"/>
      <c r="D272" s="92"/>
      <c r="E272" s="96">
        <f>SUM(F272:I272)</f>
        <v>7500.0000000065156</v>
      </c>
      <c r="F272" s="101">
        <v>0</v>
      </c>
      <c r="G272" s="101">
        <f>IF(G264=0,0,(G271/G264)*G265)</f>
        <v>2444.933877951793</v>
      </c>
      <c r="H272" s="101">
        <f>IF(H264=0,0,(H271/H264)*H265)</f>
        <v>3272.5392555419676</v>
      </c>
      <c r="I272" s="101">
        <f>IF(I264=0,0,(I271/I264)*I265)</f>
        <v>1782.5268665127549</v>
      </c>
      <c r="J272" s="92"/>
      <c r="K272" s="96">
        <f>E272</f>
        <v>7500.0000000065156</v>
      </c>
      <c r="L272" s="92">
        <v>7500</v>
      </c>
      <c r="M272" s="100">
        <f>IF(L272=0,0,(K272-L272)/L272)</f>
        <v>8.687493391335011E-13</v>
      </c>
      <c r="N272" s="102"/>
      <c r="O272" s="102"/>
      <c r="P272" s="102"/>
      <c r="Q272" s="102"/>
      <c r="R272" s="102"/>
    </row>
    <row r="273" spans="1:18" ht="35.1" customHeight="1" x14ac:dyDescent="0.2">
      <c r="A273" s="99"/>
      <c r="B273" s="99"/>
      <c r="C273" s="92"/>
      <c r="D273" s="92"/>
      <c r="E273" s="96">
        <f>SUM(F273:I273)</f>
        <v>12500.000000050228</v>
      </c>
      <c r="F273" s="101">
        <f>IF(F264=0,0,(F271/F264)*F266)</f>
        <v>2444.933877956857</v>
      </c>
      <c r="G273" s="101">
        <v>0</v>
      </c>
      <c r="H273" s="101">
        <f>IF(H264=0,0,(H271/H264)*H266)</f>
        <v>6782.5268665202439</v>
      </c>
      <c r="I273" s="101">
        <f>IF(I264=0,0,(I271/I264)*I266)</f>
        <v>3272.5392555731273</v>
      </c>
      <c r="J273" s="92"/>
      <c r="K273" s="96">
        <f>E273</f>
        <v>12500.000000050228</v>
      </c>
      <c r="L273" s="92">
        <v>12500</v>
      </c>
      <c r="M273" s="100">
        <f>IF(L273=0,0,(K273-L273)/L273)</f>
        <v>4.0182203520089386E-12</v>
      </c>
      <c r="N273" s="102"/>
      <c r="O273" s="102"/>
      <c r="P273" s="102"/>
      <c r="Q273" s="102"/>
      <c r="R273" s="102"/>
    </row>
    <row r="274" spans="1:18" ht="35.1" customHeight="1" x14ac:dyDescent="0.2">
      <c r="A274" s="99"/>
      <c r="B274" s="99"/>
      <c r="C274" s="92"/>
      <c r="D274" s="92"/>
      <c r="E274" s="96">
        <f>SUM(F274:I274)</f>
        <v>14999.999999922275</v>
      </c>
      <c r="F274" s="101">
        <f>IF(F264=0,0,(F271/F264)*F267)</f>
        <v>3272.5392555289468</v>
      </c>
      <c r="G274" s="101">
        <f>IF(G264=0,0,(G271/G264)*G267)</f>
        <v>6782.5268664792111</v>
      </c>
      <c r="H274" s="101">
        <v>0</v>
      </c>
      <c r="I274" s="101">
        <f>IF(I264=0,0,(I271/I264)*I267)</f>
        <v>4944.9338779141171</v>
      </c>
      <c r="J274" s="92"/>
      <c r="K274" s="96">
        <f>E274</f>
        <v>14999.999999922275</v>
      </c>
      <c r="L274" s="92">
        <v>15000</v>
      </c>
      <c r="M274" s="100">
        <f>IF(L274=0,0,(K274-L274)/L274)</f>
        <v>-5.1816944809009628E-12</v>
      </c>
      <c r="N274" s="102"/>
      <c r="O274" s="102"/>
      <c r="P274" s="102"/>
      <c r="Q274" s="102"/>
      <c r="R274" s="102"/>
    </row>
    <row r="275" spans="1:18" ht="35.1" customHeight="1" x14ac:dyDescent="0.2">
      <c r="A275" s="99"/>
      <c r="B275" s="99"/>
      <c r="C275" s="92"/>
      <c r="D275" s="92"/>
      <c r="E275" s="96">
        <f>SUM(F275:I275)</f>
        <v>10000.00000002098</v>
      </c>
      <c r="F275" s="101">
        <f>IF(F264=0,0,(F271/F264)*F268)</f>
        <v>1782.5268665141966</v>
      </c>
      <c r="G275" s="101">
        <f>IF(G264=0,0,(G271/G264)*G268)</f>
        <v>3272.5392555689955</v>
      </c>
      <c r="H275" s="101">
        <f>IF(H264=0,0,(H271/H264)*H268)</f>
        <v>4944.9338779377877</v>
      </c>
      <c r="I275" s="101">
        <v>0</v>
      </c>
      <c r="J275" s="92"/>
      <c r="K275" s="96">
        <f>E275</f>
        <v>10000.00000002098</v>
      </c>
      <c r="L275" s="92">
        <v>10000</v>
      </c>
      <c r="M275" s="100">
        <f>IF(L275=0,0,(K275-L275)/L275)</f>
        <v>2.0980223780497908E-12</v>
      </c>
      <c r="N275" s="102"/>
      <c r="O275" s="102"/>
      <c r="P275" s="102"/>
      <c r="Q275" s="102"/>
      <c r="R275" s="102"/>
    </row>
    <row r="276" spans="1:18" ht="35.1" customHeight="1" x14ac:dyDescent="0.2">
      <c r="A276" s="99"/>
      <c r="B276" s="99"/>
      <c r="C276" s="92"/>
      <c r="D276" s="92"/>
      <c r="E276" s="92"/>
      <c r="F276" s="92"/>
      <c r="G276" s="92"/>
      <c r="H276" s="92"/>
      <c r="I276" s="92"/>
      <c r="J276" s="92"/>
      <c r="K276" s="92">
        <f>SUM(K272:K275)</f>
        <v>45000</v>
      </c>
      <c r="L276" s="92">
        <f>SUM(L272:L275)</f>
        <v>45000</v>
      </c>
      <c r="M276" s="100"/>
      <c r="N276" s="102"/>
      <c r="O276" s="102"/>
      <c r="P276" s="102"/>
      <c r="Q276" s="102"/>
      <c r="R276" s="102"/>
    </row>
    <row r="277" spans="1:18" ht="35.1" customHeight="1" x14ac:dyDescent="0.2">
      <c r="A277" s="99"/>
      <c r="B277" s="99"/>
      <c r="C277" s="92" t="s">
        <v>70</v>
      </c>
      <c r="D277" s="92"/>
      <c r="E277" s="92"/>
      <c r="F277" s="92"/>
      <c r="G277" s="92"/>
      <c r="H277" s="92"/>
      <c r="I277" s="92"/>
      <c r="J277" s="92"/>
      <c r="K277" s="92"/>
      <c r="L277" s="92"/>
      <c r="M277" s="92"/>
      <c r="N277" s="102"/>
      <c r="O277" s="102"/>
      <c r="P277" s="102"/>
      <c r="Q277" s="102"/>
      <c r="R277" s="102"/>
    </row>
    <row r="278" spans="1:18" ht="35.1" customHeight="1" x14ac:dyDescent="0.2">
      <c r="A278" s="99"/>
      <c r="B278" s="99"/>
      <c r="C278" s="92"/>
      <c r="D278" s="92"/>
      <c r="E278" s="92"/>
      <c r="F278" s="96">
        <f>SUM(F279:F282)</f>
        <v>7500.0000000033933</v>
      </c>
      <c r="G278" s="96">
        <f>SUM(G279:G282)</f>
        <v>12500.000000026153</v>
      </c>
      <c r="H278" s="96">
        <f>SUM(H279:H282)</f>
        <v>14999.999999959527</v>
      </c>
      <c r="I278" s="96">
        <f>SUM(I279:I282)</f>
        <v>10000.000000010925</v>
      </c>
      <c r="J278" s="92"/>
      <c r="K278" s="92"/>
      <c r="L278" s="92"/>
      <c r="M278" s="92" t="s">
        <v>71</v>
      </c>
      <c r="N278" s="102"/>
      <c r="O278" s="102"/>
      <c r="P278" s="102"/>
      <c r="Q278" s="102"/>
      <c r="R278" s="102"/>
    </row>
    <row r="279" spans="1:18" ht="35.1" customHeight="1" x14ac:dyDescent="0.2">
      <c r="A279" s="99"/>
      <c r="B279" s="99"/>
      <c r="C279" s="92"/>
      <c r="D279" s="92"/>
      <c r="E279" s="92">
        <v>7500</v>
      </c>
      <c r="F279" s="97">
        <v>0</v>
      </c>
      <c r="G279" s="97">
        <f>IF(E272=0,0,(E279/E272)*G272)</f>
        <v>2444.9338779496688</v>
      </c>
      <c r="H279" s="97">
        <f>IF(E272=0,0,(E279/E272)*H272)</f>
        <v>3272.5392555391245</v>
      </c>
      <c r="I279" s="97">
        <f>IF(E272=0,0,(E279/E272)*I272)</f>
        <v>1782.5268665112062</v>
      </c>
      <c r="J279" s="92"/>
      <c r="K279" s="96">
        <f>F278</f>
        <v>7500.0000000033933</v>
      </c>
      <c r="L279" s="96">
        <v>7500</v>
      </c>
      <c r="M279" s="100">
        <f>IF(L279=0,0,(K279-L279)/L279)</f>
        <v>4.524432976419727E-13</v>
      </c>
      <c r="N279" s="102"/>
      <c r="O279" s="102"/>
      <c r="P279" s="102"/>
      <c r="Q279" s="102"/>
      <c r="R279" s="102"/>
    </row>
    <row r="280" spans="1:18" ht="35.1" customHeight="1" x14ac:dyDescent="0.2">
      <c r="A280" s="99"/>
      <c r="B280" s="99"/>
      <c r="C280" s="92"/>
      <c r="D280" s="92"/>
      <c r="E280" s="92">
        <v>12500</v>
      </c>
      <c r="F280" s="97">
        <f>IF(E273=0,0,(E280/E273)*F273)</f>
        <v>2444.9338779470327</v>
      </c>
      <c r="G280" s="97">
        <v>0</v>
      </c>
      <c r="H280" s="97">
        <f>IF(E273=0,0,(E280/E273)*H273)</f>
        <v>6782.5268664929899</v>
      </c>
      <c r="I280" s="97">
        <f>IF(E273=0,0,(E280/E273)*I273)</f>
        <v>3272.5392555599774</v>
      </c>
      <c r="J280" s="92"/>
      <c r="K280" s="96">
        <f>G278</f>
        <v>12500.000000026153</v>
      </c>
      <c r="L280" s="96">
        <v>12500</v>
      </c>
      <c r="M280" s="100">
        <f>IF(L280=0,0,(K280-L280)/L280)</f>
        <v>2.0922743715345858E-12</v>
      </c>
      <c r="N280" s="102"/>
      <c r="O280" s="102"/>
      <c r="P280" s="102"/>
      <c r="Q280" s="102"/>
      <c r="R280" s="102"/>
    </row>
    <row r="281" spans="1:18" ht="35.1" customHeight="1" x14ac:dyDescent="0.2">
      <c r="A281" s="99"/>
      <c r="B281" s="99"/>
      <c r="C281" s="92"/>
      <c r="D281" s="92"/>
      <c r="E281" s="92">
        <v>15000</v>
      </c>
      <c r="F281" s="97">
        <f>IF(E274=0,0,(E281/E274)*F274)</f>
        <v>3272.5392555459039</v>
      </c>
      <c r="G281" s="97">
        <f>IF(E274=0,0,(E281/E274)*G274)</f>
        <v>6782.5268665143558</v>
      </c>
      <c r="H281" s="97">
        <v>0</v>
      </c>
      <c r="I281" s="97">
        <f>IF(E274=0,0,(E281/E274)*I274)</f>
        <v>4944.9338779397403</v>
      </c>
      <c r="J281" s="92"/>
      <c r="K281" s="96">
        <f>H278</f>
        <v>14999.999999959527</v>
      </c>
      <c r="L281" s="96">
        <v>15000</v>
      </c>
      <c r="M281" s="100">
        <f>IF(L281=0,0,(K281-L281)/L281)</f>
        <v>-2.6981676152596872E-12</v>
      </c>
      <c r="N281" s="102"/>
      <c r="O281" s="102"/>
      <c r="P281" s="102"/>
      <c r="Q281" s="102"/>
      <c r="R281" s="102"/>
    </row>
    <row r="282" spans="1:18" ht="35.1" customHeight="1" x14ac:dyDescent="0.2">
      <c r="A282" s="99"/>
      <c r="B282" s="99"/>
      <c r="C282" s="92"/>
      <c r="D282" s="92"/>
      <c r="E282" s="92">
        <v>10000</v>
      </c>
      <c r="F282" s="97">
        <f>IF(E275=0,0,(E282/E275)*F275)</f>
        <v>1782.526866510457</v>
      </c>
      <c r="G282" s="97">
        <f>IF(E275=0,0,(E282/E275)*G275)</f>
        <v>3272.5392555621297</v>
      </c>
      <c r="H282" s="97">
        <f>IF(E275=0,0,(E282/E275)*H275)</f>
        <v>4944.9338779274131</v>
      </c>
      <c r="I282" s="97">
        <v>0</v>
      </c>
      <c r="J282" s="92"/>
      <c r="K282" s="96">
        <f>I278</f>
        <v>10000.000000010925</v>
      </c>
      <c r="L282" s="96">
        <v>10000</v>
      </c>
      <c r="M282" s="100">
        <f>IF(L282=0,0,(K282-L282)/L282)</f>
        <v>1.0924850357696414E-12</v>
      </c>
      <c r="N282" s="102"/>
      <c r="O282" s="102"/>
      <c r="P282" s="102"/>
      <c r="Q282" s="102"/>
      <c r="R282" s="102"/>
    </row>
    <row r="283" spans="1:18" ht="35.1" customHeight="1" x14ac:dyDescent="0.2">
      <c r="A283" s="99"/>
      <c r="B283" s="99"/>
      <c r="C283" s="92"/>
      <c r="D283" s="92"/>
      <c r="E283" s="92"/>
      <c r="F283" s="99"/>
      <c r="G283" s="99"/>
      <c r="H283" s="99"/>
      <c r="I283" s="99"/>
      <c r="J283" s="92"/>
      <c r="K283" s="92">
        <f>SUM(K279:K282)</f>
        <v>45000</v>
      </c>
      <c r="L283" s="92">
        <f>SUM(L279:L282)</f>
        <v>45000</v>
      </c>
      <c r="M283" s="100"/>
      <c r="N283" s="102"/>
      <c r="O283" s="102"/>
      <c r="P283" s="102"/>
      <c r="Q283" s="102"/>
      <c r="R283" s="102"/>
    </row>
    <row r="284" spans="1:18" ht="35.1" customHeight="1" x14ac:dyDescent="0.2">
      <c r="A284" s="99"/>
      <c r="B284" s="99"/>
      <c r="C284" s="92" t="s">
        <v>72</v>
      </c>
      <c r="D284" s="92"/>
      <c r="E284" s="92"/>
      <c r="F284" s="92"/>
      <c r="G284" s="92"/>
      <c r="H284" s="92"/>
      <c r="I284" s="92"/>
      <c r="J284" s="92"/>
      <c r="K284" s="92"/>
      <c r="L284" s="92"/>
      <c r="M284" s="92"/>
      <c r="N284" s="102"/>
      <c r="O284" s="102"/>
      <c r="P284" s="102"/>
      <c r="Q284" s="102"/>
      <c r="R284" s="102"/>
    </row>
    <row r="285" spans="1:18" ht="35.1" customHeight="1" x14ac:dyDescent="0.2">
      <c r="A285" s="99"/>
      <c r="B285" s="99"/>
      <c r="C285" s="92"/>
      <c r="D285" s="92"/>
      <c r="E285" s="92"/>
      <c r="F285" s="96">
        <v>7500</v>
      </c>
      <c r="G285" s="96">
        <v>12500</v>
      </c>
      <c r="H285" s="96">
        <v>15000</v>
      </c>
      <c r="I285" s="96">
        <v>10000</v>
      </c>
      <c r="J285" s="92"/>
      <c r="K285" s="92"/>
      <c r="L285" s="92"/>
      <c r="M285" s="92" t="s">
        <v>71</v>
      </c>
      <c r="N285" s="102"/>
      <c r="O285" s="102"/>
      <c r="P285" s="102"/>
      <c r="Q285" s="102"/>
      <c r="R285" s="102"/>
    </row>
    <row r="286" spans="1:18" ht="35.1" customHeight="1" x14ac:dyDescent="0.2">
      <c r="A286" s="99"/>
      <c r="B286" s="99"/>
      <c r="C286" s="92"/>
      <c r="D286" s="92"/>
      <c r="E286" s="96">
        <f>SUM(F286:I286)</f>
        <v>7500.0000000017662</v>
      </c>
      <c r="F286" s="101">
        <v>0</v>
      </c>
      <c r="G286" s="101">
        <f>IF(G278=0,0,(G285/G278)*G279)</f>
        <v>2444.9338779445534</v>
      </c>
      <c r="H286" s="101">
        <f>IF(H278=0,0,(H285/H278)*H279)</f>
        <v>3272.5392555479539</v>
      </c>
      <c r="I286" s="101">
        <f>IF(I278=0,0,(I285/I278)*I279)</f>
        <v>1782.526866509259</v>
      </c>
      <c r="J286" s="92"/>
      <c r="K286" s="96">
        <f>E286</f>
        <v>7500.0000000017662</v>
      </c>
      <c r="L286" s="92">
        <v>7500</v>
      </c>
      <c r="M286" s="100">
        <f>IF(L286=0,0,(K286-L286)/L286)</f>
        <v>2.3549849477907023E-13</v>
      </c>
      <c r="N286" s="102"/>
      <c r="O286" s="102"/>
      <c r="P286" s="102"/>
      <c r="Q286" s="102"/>
      <c r="R286" s="102"/>
    </row>
    <row r="287" spans="1:18" ht="35.1" customHeight="1" x14ac:dyDescent="0.2">
      <c r="A287" s="99"/>
      <c r="B287" s="99"/>
      <c r="C287" s="92"/>
      <c r="D287" s="92"/>
      <c r="E287" s="96">
        <f>SUM(F287:I287)</f>
        <v>12500.000000013621</v>
      </c>
      <c r="F287" s="101">
        <f>IF(F278=0,0,(F285/F278)*F280)</f>
        <v>2444.9338779459267</v>
      </c>
      <c r="G287" s="101">
        <v>0</v>
      </c>
      <c r="H287" s="101">
        <f>IF(H278=0,0,(H285/H278)*H280)</f>
        <v>6782.5268665112899</v>
      </c>
      <c r="I287" s="101">
        <f>IF(I278=0,0,(I285/I278)*I280)</f>
        <v>3272.5392555564022</v>
      </c>
      <c r="J287" s="92"/>
      <c r="K287" s="96">
        <f>E287</f>
        <v>12500.000000013621</v>
      </c>
      <c r="L287" s="92">
        <v>12500</v>
      </c>
      <c r="M287" s="100">
        <f>IF(L287=0,0,(K287-L287)/L287)</f>
        <v>1.0896474123001099E-12</v>
      </c>
      <c r="N287" s="102"/>
      <c r="O287" s="102"/>
      <c r="P287" s="102"/>
      <c r="Q287" s="102"/>
      <c r="R287" s="102"/>
    </row>
    <row r="288" spans="1:18" ht="35.1" customHeight="1" x14ac:dyDescent="0.2">
      <c r="A288" s="99"/>
      <c r="B288" s="99"/>
      <c r="C288" s="92"/>
      <c r="D288" s="92"/>
      <c r="E288" s="96">
        <f>SUM(F288:I288)</f>
        <v>14999.999999978925</v>
      </c>
      <c r="F288" s="101">
        <f>IF(F278=0,0,(F285/F278)*F281)</f>
        <v>3272.5392555444232</v>
      </c>
      <c r="G288" s="101">
        <f>IF(G278=0,0,(G285/G278)*G281)</f>
        <v>6782.5268665001649</v>
      </c>
      <c r="H288" s="101">
        <v>0</v>
      </c>
      <c r="I288" s="101">
        <f>IF(I278=0,0,(I285/I278)*I281)</f>
        <v>4944.9338779343379</v>
      </c>
      <c r="J288" s="92"/>
      <c r="K288" s="96">
        <f>E288</f>
        <v>14999.999999978925</v>
      </c>
      <c r="L288" s="92">
        <v>15000</v>
      </c>
      <c r="M288" s="100">
        <f>IF(L288=0,0,(K288-L288)/L288)</f>
        <v>-1.4049874152988195E-12</v>
      </c>
      <c r="N288" s="102"/>
      <c r="O288" s="102"/>
      <c r="P288" s="102"/>
      <c r="Q288" s="102"/>
      <c r="R288" s="102"/>
    </row>
    <row r="289" spans="1:18" ht="35.1" customHeight="1" x14ac:dyDescent="0.2">
      <c r="A289" s="99"/>
      <c r="B289" s="99"/>
      <c r="C289" s="92"/>
      <c r="D289" s="92"/>
      <c r="E289" s="96">
        <f>SUM(F289:I289)</f>
        <v>10000.000000005686</v>
      </c>
      <c r="F289" s="101">
        <f>IF(F278=0,0,(F285/F278)*F282)</f>
        <v>1782.5268665096505</v>
      </c>
      <c r="G289" s="101">
        <f>IF(G278=0,0,(G285/G278)*G282)</f>
        <v>3272.5392555552826</v>
      </c>
      <c r="H289" s="101">
        <f>IF(H278=0,0,(H285/H278)*H282)</f>
        <v>4944.9338779407544</v>
      </c>
      <c r="I289" s="101">
        <v>0</v>
      </c>
      <c r="J289" s="92"/>
      <c r="K289" s="96">
        <f>E289</f>
        <v>10000.000000005686</v>
      </c>
      <c r="L289" s="92">
        <v>10000</v>
      </c>
      <c r="M289" s="100">
        <f>IF(L289=0,0,(K289-L289)/L289)</f>
        <v>5.6861608754843471E-13</v>
      </c>
      <c r="N289" s="102"/>
      <c r="O289" s="102"/>
      <c r="P289" s="102"/>
      <c r="Q289" s="102"/>
      <c r="R289" s="102"/>
    </row>
    <row r="290" spans="1:18" ht="35.1" customHeight="1" x14ac:dyDescent="0.2">
      <c r="A290" s="99"/>
      <c r="B290" s="99"/>
      <c r="C290" s="92"/>
      <c r="D290" s="92"/>
      <c r="E290" s="92"/>
      <c r="F290" s="92"/>
      <c r="G290" s="92"/>
      <c r="H290" s="92"/>
      <c r="I290" s="92"/>
      <c r="J290" s="92"/>
      <c r="K290" s="92">
        <f>SUM(K286:K289)</f>
        <v>45000</v>
      </c>
      <c r="L290" s="92">
        <f>SUM(L286:L289)</f>
        <v>45000</v>
      </c>
      <c r="M290" s="100"/>
      <c r="N290" s="102"/>
      <c r="O290" s="102"/>
      <c r="P290" s="102"/>
      <c r="Q290" s="102"/>
      <c r="R290" s="102"/>
    </row>
    <row r="291" spans="1:18" ht="35.1" customHeight="1" x14ac:dyDescent="0.2">
      <c r="A291" s="99"/>
      <c r="B291" s="99"/>
      <c r="C291" s="92" t="s">
        <v>70</v>
      </c>
      <c r="D291" s="92"/>
      <c r="E291" s="92"/>
      <c r="F291" s="92"/>
      <c r="G291" s="92"/>
      <c r="H291" s="92"/>
      <c r="I291" s="92"/>
      <c r="J291" s="92"/>
      <c r="K291" s="92"/>
      <c r="L291" s="92"/>
      <c r="M291" s="92"/>
      <c r="N291" s="102"/>
      <c r="O291" s="102"/>
      <c r="P291" s="102"/>
      <c r="Q291" s="102"/>
      <c r="R291" s="102"/>
    </row>
    <row r="292" spans="1:18" ht="35.1" customHeight="1" x14ac:dyDescent="0.2">
      <c r="A292" s="99"/>
      <c r="B292" s="99"/>
      <c r="C292" s="92"/>
      <c r="D292" s="92"/>
      <c r="E292" s="92"/>
      <c r="F292" s="96">
        <f>SUM(F293:F296)</f>
        <v>7500.0000000009204</v>
      </c>
      <c r="G292" s="96">
        <f>SUM(G293:G296)</f>
        <v>12500.000000007094</v>
      </c>
      <c r="H292" s="96">
        <f>SUM(H293:H296)</f>
        <v>14999.999999989024</v>
      </c>
      <c r="I292" s="96">
        <f>SUM(I293:I296)</f>
        <v>10000.000000002961</v>
      </c>
      <c r="J292" s="92"/>
      <c r="K292" s="92"/>
      <c r="L292" s="92"/>
      <c r="M292" s="92" t="s">
        <v>71</v>
      </c>
      <c r="N292" s="102"/>
      <c r="O292" s="102"/>
      <c r="P292" s="102"/>
      <c r="Q292" s="102"/>
      <c r="R292" s="102"/>
    </row>
    <row r="293" spans="1:18" ht="35.1" customHeight="1" x14ac:dyDescent="0.2">
      <c r="A293" s="99"/>
      <c r="B293" s="99"/>
      <c r="C293" s="92"/>
      <c r="D293" s="92"/>
      <c r="E293" s="92">
        <v>7500</v>
      </c>
      <c r="F293" s="97">
        <v>0</v>
      </c>
      <c r="G293" s="97">
        <f>IF(E286=0,0,(E293/E286)*G286)</f>
        <v>2444.9338779439777</v>
      </c>
      <c r="H293" s="97">
        <f>IF(E286=0,0,(E293/E286)*H286)</f>
        <v>3272.5392555471831</v>
      </c>
      <c r="I293" s="97">
        <f>IF(E286=0,0,(E293/E286)*I286)</f>
        <v>1782.5268665088392</v>
      </c>
      <c r="J293" s="92"/>
      <c r="K293" s="96">
        <f>F292</f>
        <v>7500.0000000009204</v>
      </c>
      <c r="L293" s="96">
        <v>7500</v>
      </c>
      <c r="M293" s="100">
        <f>IF(L293=0,0,(K293-L293)/L293)</f>
        <v>1.2272115175922711E-13</v>
      </c>
      <c r="N293" s="102"/>
      <c r="O293" s="102"/>
      <c r="P293" s="102"/>
      <c r="Q293" s="102"/>
      <c r="R293" s="102"/>
    </row>
    <row r="294" spans="1:18" ht="35.1" customHeight="1" x14ac:dyDescent="0.2">
      <c r="A294" s="99"/>
      <c r="B294" s="99"/>
      <c r="C294" s="92"/>
      <c r="D294" s="92"/>
      <c r="E294" s="92">
        <v>12500</v>
      </c>
      <c r="F294" s="97">
        <f>IF(E287=0,0,(E294/E287)*F287)</f>
        <v>2444.9338779432624</v>
      </c>
      <c r="G294" s="97">
        <v>0</v>
      </c>
      <c r="H294" s="97">
        <f>IF(E287=0,0,(E294/E287)*H287)</f>
        <v>6782.5268665038993</v>
      </c>
      <c r="I294" s="97">
        <f>IF(E287=0,0,(E294/E287)*I287)</f>
        <v>3272.539255552836</v>
      </c>
      <c r="J294" s="92"/>
      <c r="K294" s="96">
        <f>G292</f>
        <v>12500.000000007094</v>
      </c>
      <c r="L294" s="96">
        <v>12500</v>
      </c>
      <c r="M294" s="100">
        <f>IF(L294=0,0,(K294-L294)/L294)</f>
        <v>5.6752469390630722E-13</v>
      </c>
      <c r="N294" s="102"/>
      <c r="O294" s="102"/>
      <c r="P294" s="102"/>
      <c r="Q294" s="102"/>
      <c r="R294" s="102"/>
    </row>
    <row r="295" spans="1:18" ht="35.1" customHeight="1" x14ac:dyDescent="0.2">
      <c r="A295" s="99"/>
      <c r="B295" s="99"/>
      <c r="C295" s="92"/>
      <c r="D295" s="92"/>
      <c r="E295" s="92">
        <v>15000</v>
      </c>
      <c r="F295" s="97">
        <f>IF(E288=0,0,(E295/E288)*F288)</f>
        <v>3272.5392555490216</v>
      </c>
      <c r="G295" s="97">
        <f>IF(E288=0,0,(E295/E288)*G288)</f>
        <v>6782.5268665096946</v>
      </c>
      <c r="H295" s="97">
        <v>0</v>
      </c>
      <c r="I295" s="97">
        <f>IF(E288=0,0,(E295/E288)*I288)</f>
        <v>4944.9338779412865</v>
      </c>
      <c r="J295" s="92"/>
      <c r="K295" s="96">
        <f>H292</f>
        <v>14999.999999989024</v>
      </c>
      <c r="L295" s="96">
        <v>15000</v>
      </c>
      <c r="M295" s="100">
        <f>IF(L295=0,0,(K295-L295)/L295)</f>
        <v>-7.3171880406637986E-13</v>
      </c>
      <c r="N295" s="102"/>
      <c r="O295" s="102"/>
      <c r="P295" s="102"/>
      <c r="Q295" s="102"/>
      <c r="R295" s="102"/>
    </row>
    <row r="296" spans="1:18" ht="35.1" customHeight="1" x14ac:dyDescent="0.2">
      <c r="A296" s="99"/>
      <c r="B296" s="99"/>
      <c r="C296" s="92"/>
      <c r="D296" s="92"/>
      <c r="E296" s="92">
        <v>10000</v>
      </c>
      <c r="F296" s="97">
        <f>IF(E289=0,0,(E296/E289)*F289)</f>
        <v>1782.5268665086369</v>
      </c>
      <c r="G296" s="97">
        <f>IF(E289=0,0,(E296/E289)*G289)</f>
        <v>3272.5392555534218</v>
      </c>
      <c r="H296" s="97">
        <f>IF(E289=0,0,(E296/E289)*H289)</f>
        <v>4944.9338779379423</v>
      </c>
      <c r="I296" s="97">
        <v>0</v>
      </c>
      <c r="J296" s="92"/>
      <c r="K296" s="96">
        <f>I292</f>
        <v>10000.000000002961</v>
      </c>
      <c r="L296" s="96">
        <v>10000</v>
      </c>
      <c r="M296" s="100">
        <f>IF(L296=0,0,(K296-L296)/L296)</f>
        <v>2.9613147489726543E-13</v>
      </c>
      <c r="N296" s="102"/>
      <c r="O296" s="102"/>
      <c r="P296" s="102"/>
      <c r="Q296" s="102"/>
      <c r="R296" s="102"/>
    </row>
    <row r="297" spans="1:18" ht="35.1" customHeight="1" x14ac:dyDescent="0.2">
      <c r="A297" s="99"/>
      <c r="B297" s="99"/>
      <c r="C297" s="92"/>
      <c r="D297" s="92"/>
      <c r="E297" s="92"/>
      <c r="F297" s="99"/>
      <c r="G297" s="99"/>
      <c r="H297" s="99"/>
      <c r="I297" s="99"/>
      <c r="J297" s="92"/>
      <c r="K297" s="92">
        <f>SUM(K293:K296)</f>
        <v>45000</v>
      </c>
      <c r="L297" s="92">
        <f>SUM(L293:L296)</f>
        <v>45000</v>
      </c>
      <c r="M297" s="100"/>
      <c r="N297" s="102"/>
      <c r="O297" s="102"/>
      <c r="P297" s="102"/>
      <c r="Q297" s="102"/>
      <c r="R297" s="102"/>
    </row>
    <row r="298" spans="1:18" ht="35.1" customHeight="1" x14ac:dyDescent="0.2">
      <c r="A298" s="99"/>
      <c r="B298" s="99"/>
      <c r="C298" s="92" t="s">
        <v>72</v>
      </c>
      <c r="D298" s="92"/>
      <c r="E298" s="92"/>
      <c r="F298" s="92"/>
      <c r="G298" s="92"/>
      <c r="H298" s="92"/>
      <c r="I298" s="92"/>
      <c r="J298" s="92"/>
      <c r="K298" s="92"/>
      <c r="L298" s="92"/>
      <c r="M298" s="92"/>
      <c r="N298" s="102"/>
      <c r="O298" s="102"/>
      <c r="P298" s="102"/>
      <c r="Q298" s="102"/>
      <c r="R298" s="102"/>
    </row>
    <row r="299" spans="1:18" ht="35.1" customHeight="1" x14ac:dyDescent="0.2">
      <c r="A299" s="99"/>
      <c r="B299" s="99"/>
      <c r="C299" s="92"/>
      <c r="D299" s="92"/>
      <c r="E299" s="92"/>
      <c r="F299" s="96">
        <v>7500</v>
      </c>
      <c r="G299" s="96">
        <v>12500</v>
      </c>
      <c r="H299" s="96">
        <v>15000</v>
      </c>
      <c r="I299" s="96">
        <v>10000</v>
      </c>
      <c r="J299" s="92"/>
      <c r="K299" s="92"/>
      <c r="L299" s="92"/>
      <c r="M299" s="92" t="s">
        <v>71</v>
      </c>
      <c r="N299" s="102"/>
      <c r="O299" s="102"/>
      <c r="P299" s="102"/>
      <c r="Q299" s="102"/>
      <c r="R299" s="102"/>
    </row>
    <row r="300" spans="1:18" ht="35.1" customHeight="1" x14ac:dyDescent="0.2">
      <c r="A300" s="99"/>
      <c r="B300" s="99"/>
      <c r="C300" s="92"/>
      <c r="D300" s="92"/>
      <c r="E300" s="96">
        <f>SUM(F300:I300)</f>
        <v>7500.0000000004784</v>
      </c>
      <c r="F300" s="101">
        <v>0</v>
      </c>
      <c r="G300" s="101">
        <f>IF(G292=0,0,(G299/G292)*G293)</f>
        <v>2444.9338779425902</v>
      </c>
      <c r="H300" s="101">
        <f>IF(H292=0,0,(H299/H292)*H293)</f>
        <v>3272.5392555495773</v>
      </c>
      <c r="I300" s="101">
        <f>IF(I292=0,0,(I299/I292)*I293)</f>
        <v>1782.5268665083115</v>
      </c>
      <c r="J300" s="92"/>
      <c r="K300" s="96">
        <f>E300</f>
        <v>7500.0000000004784</v>
      </c>
      <c r="L300" s="92">
        <v>7500</v>
      </c>
      <c r="M300" s="100">
        <f>IF(L300=0,0,(K300-L300)/L300)</f>
        <v>6.3785895084341372E-14</v>
      </c>
      <c r="N300" s="102"/>
      <c r="O300" s="102"/>
      <c r="P300" s="102"/>
      <c r="Q300" s="102"/>
      <c r="R300" s="102"/>
    </row>
    <row r="301" spans="1:18" ht="35.1" customHeight="1" x14ac:dyDescent="0.2">
      <c r="A301" s="99"/>
      <c r="B301" s="99"/>
      <c r="C301" s="92"/>
      <c r="D301" s="92"/>
      <c r="E301" s="96">
        <f>SUM(F301:I301)</f>
        <v>12500.000000003691</v>
      </c>
      <c r="F301" s="101">
        <f>IF(F292=0,0,(F299/F292)*F294)</f>
        <v>2444.9338779429622</v>
      </c>
      <c r="G301" s="101">
        <v>0</v>
      </c>
      <c r="H301" s="101">
        <f>IF(H292=0,0,(H299/H292)*H294)</f>
        <v>6782.5268665088615</v>
      </c>
      <c r="I301" s="101">
        <f>IF(I292=0,0,(I299/I292)*I294)</f>
        <v>3272.539255551867</v>
      </c>
      <c r="J301" s="92"/>
      <c r="K301" s="96">
        <f>E301</f>
        <v>12500.000000003691</v>
      </c>
      <c r="L301" s="92">
        <v>12500</v>
      </c>
      <c r="M301" s="100">
        <f>IF(L301=0,0,(K301-L301)/L301)</f>
        <v>2.9525835998356341E-13</v>
      </c>
      <c r="N301" s="102"/>
      <c r="O301" s="102"/>
      <c r="P301" s="102"/>
      <c r="Q301" s="102"/>
      <c r="R301" s="102"/>
    </row>
    <row r="302" spans="1:18" ht="35.1" customHeight="1" x14ac:dyDescent="0.2">
      <c r="A302" s="99"/>
      <c r="B302" s="99"/>
      <c r="C302" s="92"/>
      <c r="D302" s="92"/>
      <c r="E302" s="96">
        <f>SUM(F302:I302)</f>
        <v>14999.999999994288</v>
      </c>
      <c r="F302" s="101">
        <f>IF(F292=0,0,(F299/F292)*F295)</f>
        <v>3272.5392555486201</v>
      </c>
      <c r="G302" s="101">
        <f>IF(G292=0,0,(G299/G292)*G295)</f>
        <v>6782.5268665058456</v>
      </c>
      <c r="H302" s="101">
        <v>0</v>
      </c>
      <c r="I302" s="101">
        <f>IF(I292=0,0,(I299/I292)*I295)</f>
        <v>4944.9338779398222</v>
      </c>
      <c r="J302" s="92"/>
      <c r="K302" s="96">
        <f>E302</f>
        <v>14999.999999994288</v>
      </c>
      <c r="L302" s="92">
        <v>15000</v>
      </c>
      <c r="M302" s="100">
        <f>IF(L302=0,0,(K302-L302)/L302)</f>
        <v>-3.8077511514226597E-13</v>
      </c>
      <c r="N302" s="102"/>
      <c r="O302" s="102"/>
      <c r="P302" s="102"/>
      <c r="Q302" s="102"/>
      <c r="R302" s="102"/>
    </row>
    <row r="303" spans="1:18" ht="35.1" customHeight="1" x14ac:dyDescent="0.2">
      <c r="A303" s="99"/>
      <c r="B303" s="99"/>
      <c r="C303" s="92"/>
      <c r="D303" s="92"/>
      <c r="E303" s="96">
        <f>SUM(F303:I303)</f>
        <v>10000.000000001543</v>
      </c>
      <c r="F303" s="101">
        <f>IF(F292=0,0,(F299/F292)*F296)</f>
        <v>1782.5268665084182</v>
      </c>
      <c r="G303" s="101">
        <f>IF(G292=0,0,(G299/G292)*G296)</f>
        <v>3272.5392555515646</v>
      </c>
      <c r="H303" s="101">
        <f>IF(H292=0,0,(H299/H292)*H296)</f>
        <v>4944.9338779415602</v>
      </c>
      <c r="I303" s="101">
        <v>0</v>
      </c>
      <c r="J303" s="92"/>
      <c r="K303" s="96">
        <f>E303</f>
        <v>10000.000000001543</v>
      </c>
      <c r="L303" s="92">
        <v>10000</v>
      </c>
      <c r="M303" s="100">
        <f>IF(L303=0,0,(K303-L303)/L303)</f>
        <v>1.5425030142068863E-13</v>
      </c>
      <c r="N303" s="102"/>
      <c r="O303" s="102"/>
      <c r="P303" s="102"/>
      <c r="Q303" s="102"/>
      <c r="R303" s="102"/>
    </row>
    <row r="304" spans="1:18" ht="35.1" customHeight="1" x14ac:dyDescent="0.2">
      <c r="A304" s="99"/>
      <c r="B304" s="99"/>
      <c r="C304" s="92"/>
      <c r="D304" s="92"/>
      <c r="E304" s="92"/>
      <c r="F304" s="92"/>
      <c r="G304" s="92"/>
      <c r="H304" s="92"/>
      <c r="I304" s="92"/>
      <c r="J304" s="92"/>
      <c r="K304" s="92">
        <f>SUM(K300:K303)</f>
        <v>45000</v>
      </c>
      <c r="L304" s="92">
        <f>SUM(L300:L303)</f>
        <v>45000</v>
      </c>
      <c r="M304" s="100"/>
      <c r="N304" s="102"/>
      <c r="O304" s="102"/>
      <c r="P304" s="102"/>
      <c r="Q304" s="102"/>
      <c r="R304" s="102"/>
    </row>
    <row r="305" spans="1:18" ht="35.1" customHeight="1" x14ac:dyDescent="0.2">
      <c r="A305" s="99"/>
      <c r="B305" s="99"/>
      <c r="C305" s="92" t="s">
        <v>70</v>
      </c>
      <c r="D305" s="92"/>
      <c r="E305" s="92"/>
      <c r="F305" s="92"/>
      <c r="G305" s="92"/>
      <c r="H305" s="92"/>
      <c r="I305" s="92"/>
      <c r="J305" s="92"/>
      <c r="K305" s="92"/>
      <c r="L305" s="92"/>
      <c r="M305" s="92"/>
      <c r="N305" s="102"/>
      <c r="O305" s="102"/>
      <c r="P305" s="102"/>
      <c r="Q305" s="102"/>
      <c r="R305" s="102"/>
    </row>
    <row r="306" spans="1:18" ht="35.1" customHeight="1" x14ac:dyDescent="0.2">
      <c r="A306" s="99"/>
      <c r="B306" s="99"/>
      <c r="C306" s="92"/>
      <c r="D306" s="92"/>
      <c r="E306" s="92"/>
      <c r="F306" s="96">
        <f>SUM(F307:F310)</f>
        <v>7500.0000000002501</v>
      </c>
      <c r="G306" s="96">
        <f>SUM(G307:G310)</f>
        <v>12500.000000001921</v>
      </c>
      <c r="H306" s="96">
        <f>SUM(H307:H310)</f>
        <v>14999.999999997024</v>
      </c>
      <c r="I306" s="96">
        <f>SUM(I307:I310)</f>
        <v>10000.000000000804</v>
      </c>
      <c r="J306" s="92"/>
      <c r="K306" s="92"/>
      <c r="L306" s="92"/>
      <c r="M306" s="92" t="s">
        <v>71</v>
      </c>
      <c r="N306" s="102"/>
      <c r="O306" s="102"/>
      <c r="P306" s="102"/>
      <c r="Q306" s="102"/>
      <c r="R306" s="102"/>
    </row>
    <row r="307" spans="1:18" ht="35.1" customHeight="1" x14ac:dyDescent="0.2">
      <c r="A307" s="99"/>
      <c r="B307" s="99"/>
      <c r="C307" s="92"/>
      <c r="D307" s="92"/>
      <c r="E307" s="92">
        <v>7500</v>
      </c>
      <c r="F307" s="97">
        <v>0</v>
      </c>
      <c r="G307" s="97">
        <f>IF(E300=0,0,(E307/E300)*G300)</f>
        <v>2444.9338779424343</v>
      </c>
      <c r="H307" s="97">
        <f>IF(E300=0,0,(E307/E300)*H300)</f>
        <v>3272.5392555493686</v>
      </c>
      <c r="I307" s="97">
        <f>IF(E300=0,0,(E307/E300)*I300)</f>
        <v>1782.5268665081978</v>
      </c>
      <c r="J307" s="92"/>
      <c r="K307" s="96">
        <f>F306</f>
        <v>7500.0000000002501</v>
      </c>
      <c r="L307" s="96">
        <v>7500</v>
      </c>
      <c r="M307" s="100">
        <f>IF(L307=0,0,(K307-L307)/L307)</f>
        <v>3.3348139065007369E-14</v>
      </c>
      <c r="N307" s="102"/>
      <c r="O307" s="102"/>
      <c r="P307" s="102"/>
      <c r="Q307" s="102"/>
      <c r="R307" s="102"/>
    </row>
    <row r="308" spans="1:18" ht="35.1" customHeight="1" x14ac:dyDescent="0.2">
      <c r="A308" s="99"/>
      <c r="B308" s="99"/>
      <c r="C308" s="92"/>
      <c r="D308" s="92"/>
      <c r="E308" s="92">
        <v>12500</v>
      </c>
      <c r="F308" s="97">
        <f>IF(E301=0,0,(E308/E301)*F301)</f>
        <v>2444.9338779422405</v>
      </c>
      <c r="G308" s="97">
        <v>0</v>
      </c>
      <c r="H308" s="97">
        <f>IF(E301=0,0,(E308/E301)*H301)</f>
        <v>6782.5268665068588</v>
      </c>
      <c r="I308" s="97">
        <f>IF(E301=0,0,(E308/E301)*I301)</f>
        <v>3272.5392555509011</v>
      </c>
      <c r="J308" s="92"/>
      <c r="K308" s="96">
        <f>G306</f>
        <v>12500.000000001921</v>
      </c>
      <c r="L308" s="96">
        <v>12500</v>
      </c>
      <c r="M308" s="100">
        <f>IF(L308=0,0,(K308-L308)/L308)</f>
        <v>1.5366822481155395E-13</v>
      </c>
      <c r="N308" s="102"/>
      <c r="O308" s="102"/>
      <c r="P308" s="102"/>
      <c r="Q308" s="102"/>
      <c r="R308" s="102"/>
    </row>
    <row r="309" spans="1:18" ht="35.1" customHeight="1" x14ac:dyDescent="0.2">
      <c r="A309" s="99"/>
      <c r="B309" s="99"/>
      <c r="C309" s="92"/>
      <c r="D309" s="92"/>
      <c r="E309" s="92">
        <v>15000</v>
      </c>
      <c r="F309" s="97">
        <f>IF(E302=0,0,(E309/E302)*F302)</f>
        <v>3272.5392555498661</v>
      </c>
      <c r="G309" s="97">
        <f>IF(E302=0,0,(E309/E302)*G302)</f>
        <v>6782.5268665084286</v>
      </c>
      <c r="H309" s="97">
        <v>0</v>
      </c>
      <c r="I309" s="97">
        <f>IF(E302=0,0,(E309/E302)*I302)</f>
        <v>4944.9338779417048</v>
      </c>
      <c r="J309" s="92"/>
      <c r="K309" s="96">
        <f>H306</f>
        <v>14999.999999997024</v>
      </c>
      <c r="L309" s="96">
        <v>15000</v>
      </c>
      <c r="M309" s="100">
        <f>IF(L309=0,0,(K309-L309)/L309)</f>
        <v>-1.9839111094673476E-13</v>
      </c>
      <c r="N309" s="102"/>
      <c r="O309" s="102"/>
      <c r="P309" s="102"/>
      <c r="Q309" s="102"/>
      <c r="R309" s="102"/>
    </row>
    <row r="310" spans="1:18" ht="35.1" customHeight="1" x14ac:dyDescent="0.2">
      <c r="A310" s="99"/>
      <c r="B310" s="99"/>
      <c r="C310" s="92"/>
      <c r="D310" s="92"/>
      <c r="E310" s="92">
        <v>10000</v>
      </c>
      <c r="F310" s="97">
        <f>IF(E303=0,0,(E310/E303)*F303)</f>
        <v>1782.5268665081433</v>
      </c>
      <c r="G310" s="97">
        <f>IF(E303=0,0,(E310/E303)*G303)</f>
        <v>3272.5392555510598</v>
      </c>
      <c r="H310" s="97">
        <f>IF(E303=0,0,(E310/E303)*H303)</f>
        <v>4944.9338779407981</v>
      </c>
      <c r="I310" s="97">
        <v>0</v>
      </c>
      <c r="J310" s="92"/>
      <c r="K310" s="96">
        <f>I306</f>
        <v>10000.000000000804</v>
      </c>
      <c r="L310" s="96">
        <v>10000</v>
      </c>
      <c r="M310" s="100">
        <f>IF(L310=0,0,(K310-L310)/L310)</f>
        <v>8.0399331636726862E-14</v>
      </c>
      <c r="N310" s="102"/>
      <c r="O310" s="102"/>
      <c r="P310" s="102"/>
      <c r="Q310" s="102"/>
      <c r="R310" s="102"/>
    </row>
    <row r="311" spans="1:18" ht="35.1" customHeight="1" x14ac:dyDescent="0.2">
      <c r="A311" s="99"/>
      <c r="B311" s="99"/>
      <c r="C311" s="92"/>
      <c r="D311" s="92"/>
      <c r="E311" s="92"/>
      <c r="F311" s="99"/>
      <c r="G311" s="99"/>
      <c r="H311" s="99"/>
      <c r="I311" s="99"/>
      <c r="J311" s="92"/>
      <c r="K311" s="92">
        <f>SUM(K307:K310)</f>
        <v>45000</v>
      </c>
      <c r="L311" s="92">
        <f>SUM(L307:L310)</f>
        <v>45000</v>
      </c>
      <c r="M311" s="100"/>
      <c r="N311" s="102"/>
      <c r="O311" s="102"/>
      <c r="P311" s="102"/>
      <c r="Q311" s="102"/>
      <c r="R311" s="102"/>
    </row>
    <row r="312" spans="1:18" ht="35.1" customHeight="1" x14ac:dyDescent="0.2">
      <c r="A312" s="99"/>
      <c r="B312" s="99"/>
      <c r="C312" s="92" t="s">
        <v>72</v>
      </c>
      <c r="D312" s="92"/>
      <c r="E312" s="92"/>
      <c r="F312" s="92"/>
      <c r="G312" s="92"/>
      <c r="H312" s="92"/>
      <c r="I312" s="92"/>
      <c r="J312" s="92"/>
      <c r="K312" s="92"/>
      <c r="L312" s="92"/>
      <c r="M312" s="92"/>
      <c r="N312" s="102"/>
      <c r="O312" s="102"/>
      <c r="P312" s="102"/>
      <c r="Q312" s="102"/>
      <c r="R312" s="102"/>
    </row>
    <row r="313" spans="1:18" ht="35.1" customHeight="1" x14ac:dyDescent="0.2">
      <c r="A313" s="99"/>
      <c r="B313" s="99"/>
      <c r="C313" s="92"/>
      <c r="D313" s="92"/>
      <c r="E313" s="92"/>
      <c r="F313" s="96">
        <v>7500</v>
      </c>
      <c r="G313" s="96">
        <v>12500</v>
      </c>
      <c r="H313" s="96">
        <v>15000</v>
      </c>
      <c r="I313" s="96">
        <v>10000</v>
      </c>
      <c r="J313" s="92"/>
      <c r="K313" s="92"/>
      <c r="L313" s="92"/>
      <c r="M313" s="92" t="s">
        <v>71</v>
      </c>
      <c r="N313" s="102"/>
      <c r="O313" s="102"/>
      <c r="P313" s="102"/>
      <c r="Q313" s="102"/>
      <c r="R313" s="102"/>
    </row>
    <row r="314" spans="1:18" ht="35.1" customHeight="1" x14ac:dyDescent="0.2">
      <c r="A314" s="99"/>
      <c r="B314" s="99"/>
      <c r="C314" s="92"/>
      <c r="D314" s="92"/>
      <c r="E314" s="96">
        <f>SUM(F314:I314)</f>
        <v>7500.000000000131</v>
      </c>
      <c r="F314" s="101">
        <v>0</v>
      </c>
      <c r="G314" s="101">
        <f>IF(G306=0,0,(G313/G306)*G307)</f>
        <v>2444.9338779420586</v>
      </c>
      <c r="H314" s="101">
        <f>IF(H306=0,0,(H313/H306)*H307)</f>
        <v>3272.5392555500175</v>
      </c>
      <c r="I314" s="101">
        <f>IF(I306=0,0,(I313/I306)*I307)</f>
        <v>1782.5268665080546</v>
      </c>
      <c r="J314" s="92"/>
      <c r="K314" s="96">
        <f>E314</f>
        <v>7500.000000000131</v>
      </c>
      <c r="L314" s="92">
        <v>7500</v>
      </c>
      <c r="M314" s="100">
        <f>IF(L314=0,0,(K314-L314)/L314)</f>
        <v>1.7462298274040221E-14</v>
      </c>
      <c r="N314" s="102"/>
      <c r="O314" s="102"/>
      <c r="P314" s="102"/>
      <c r="Q314" s="102"/>
      <c r="R314" s="102"/>
    </row>
    <row r="315" spans="1:18" ht="35.1" customHeight="1" x14ac:dyDescent="0.2">
      <c r="A315" s="99"/>
      <c r="B315" s="99"/>
      <c r="C315" s="92"/>
      <c r="D315" s="92"/>
      <c r="E315" s="96">
        <f>SUM(F315:I315)</f>
        <v>12500.000000001002</v>
      </c>
      <c r="F315" s="101">
        <f>IF(F306=0,0,(F313/F306)*F308)</f>
        <v>2444.9338779421591</v>
      </c>
      <c r="G315" s="101">
        <v>0</v>
      </c>
      <c r="H315" s="101">
        <f>IF(H306=0,0,(H313/H306)*H308)</f>
        <v>6782.526866508204</v>
      </c>
      <c r="I315" s="101">
        <f>IF(I306=0,0,(I313/I306)*I308)</f>
        <v>3272.5392555506382</v>
      </c>
      <c r="J315" s="92"/>
      <c r="K315" s="96">
        <f>E315</f>
        <v>12500.000000001002</v>
      </c>
      <c r="L315" s="92">
        <v>12500</v>
      </c>
      <c r="M315" s="100">
        <f>IF(L315=0,0,(K315-L315)/L315)</f>
        <v>8.0181052908301356E-14</v>
      </c>
      <c r="N315" s="102"/>
      <c r="O315" s="102"/>
      <c r="P315" s="102"/>
      <c r="Q315" s="102"/>
      <c r="R315" s="102"/>
    </row>
    <row r="316" spans="1:18" ht="35.1" customHeight="1" x14ac:dyDescent="0.2">
      <c r="A316" s="99"/>
      <c r="B316" s="99"/>
      <c r="C316" s="92"/>
      <c r="D316" s="92"/>
      <c r="E316" s="96">
        <f>SUM(F316:I316)</f>
        <v>14999.99999999845</v>
      </c>
      <c r="F316" s="101">
        <f>IF(F306=0,0,(F313/F306)*F309)</f>
        <v>3272.5392555497569</v>
      </c>
      <c r="G316" s="101">
        <f>IF(G306=0,0,(G313/G306)*G309)</f>
        <v>6782.5268665073863</v>
      </c>
      <c r="H316" s="101">
        <v>0</v>
      </c>
      <c r="I316" s="101">
        <f>IF(I306=0,0,(I313/I306)*I309)</f>
        <v>4944.9338779413074</v>
      </c>
      <c r="J316" s="92"/>
      <c r="K316" s="96">
        <f>E316</f>
        <v>14999.99999999845</v>
      </c>
      <c r="L316" s="92">
        <v>15000</v>
      </c>
      <c r="M316" s="100">
        <f>IF(L316=0,0,(K316-L316)/L316)</f>
        <v>-1.0331859812140465E-13</v>
      </c>
      <c r="N316" s="102"/>
      <c r="O316" s="102"/>
      <c r="P316" s="102"/>
      <c r="Q316" s="102"/>
      <c r="R316" s="102"/>
    </row>
    <row r="317" spans="1:18" ht="35.1" customHeight="1" x14ac:dyDescent="0.2">
      <c r="A317" s="99"/>
      <c r="B317" s="99"/>
      <c r="C317" s="92"/>
      <c r="D317" s="92"/>
      <c r="E317" s="96">
        <f>SUM(F317:I317)</f>
        <v>10000.000000000418</v>
      </c>
      <c r="F317" s="101">
        <f>IF(F306=0,0,(F313/F306)*F310)</f>
        <v>1782.5268665080839</v>
      </c>
      <c r="G317" s="101">
        <f>IF(G306=0,0,(G313/G306)*G310)</f>
        <v>3272.5392555505568</v>
      </c>
      <c r="H317" s="101">
        <f>IF(H306=0,0,(H313/H306)*H310)</f>
        <v>4944.9338779417785</v>
      </c>
      <c r="I317" s="101">
        <v>0</v>
      </c>
      <c r="J317" s="92"/>
      <c r="K317" s="96">
        <f>E317</f>
        <v>10000.000000000418</v>
      </c>
      <c r="L317" s="92">
        <v>10000</v>
      </c>
      <c r="M317" s="100">
        <f>IF(L317=0,0,(K317-L317)/L317)</f>
        <v>4.1836756281554698E-14</v>
      </c>
      <c r="N317" s="102"/>
      <c r="O317" s="102"/>
      <c r="P317" s="102"/>
      <c r="Q317" s="102"/>
      <c r="R317" s="102"/>
    </row>
    <row r="318" spans="1:18" ht="35.1" customHeight="1" x14ac:dyDescent="0.2">
      <c r="A318" s="99"/>
      <c r="B318" s="99"/>
      <c r="C318" s="92"/>
      <c r="D318" s="92"/>
      <c r="E318" s="92"/>
      <c r="F318" s="92"/>
      <c r="G318" s="92"/>
      <c r="H318" s="92"/>
      <c r="I318" s="92"/>
      <c r="J318" s="92"/>
      <c r="K318" s="92">
        <f>SUM(K314:K317)</f>
        <v>45000</v>
      </c>
      <c r="L318" s="92">
        <f>SUM(L314:L317)</f>
        <v>45000</v>
      </c>
      <c r="M318" s="100"/>
      <c r="N318" s="102"/>
      <c r="O318" s="102"/>
      <c r="P318" s="102"/>
      <c r="Q318" s="102"/>
      <c r="R318" s="102"/>
    </row>
    <row r="319" spans="1:18" ht="35.1" customHeight="1" x14ac:dyDescent="0.2">
      <c r="A319" s="99"/>
      <c r="B319" s="99"/>
      <c r="C319" s="92" t="s">
        <v>70</v>
      </c>
      <c r="D319" s="92"/>
      <c r="E319" s="92"/>
      <c r="F319" s="92"/>
      <c r="G319" s="92"/>
      <c r="H319" s="92"/>
      <c r="I319" s="92"/>
      <c r="J319" s="92"/>
      <c r="K319" s="92"/>
      <c r="L319" s="92"/>
      <c r="M319" s="92"/>
      <c r="N319" s="102"/>
      <c r="O319" s="102"/>
      <c r="P319" s="102"/>
      <c r="Q319" s="102"/>
      <c r="R319" s="102"/>
    </row>
    <row r="320" spans="1:18" ht="35.1" customHeight="1" x14ac:dyDescent="0.2">
      <c r="A320" s="99"/>
      <c r="B320" s="99"/>
      <c r="C320" s="92"/>
      <c r="D320" s="92"/>
      <c r="E320" s="92"/>
      <c r="F320" s="96">
        <f>SUM(F321:F324)</f>
        <v>7500.0000000000673</v>
      </c>
      <c r="G320" s="96">
        <f>SUM(G321:G324)</f>
        <v>12500.000000000522</v>
      </c>
      <c r="H320" s="96">
        <f>SUM(H321:H324)</f>
        <v>14999.999999999192</v>
      </c>
      <c r="I320" s="96">
        <f>SUM(I321:I324)</f>
        <v>10000.000000000216</v>
      </c>
      <c r="J320" s="92"/>
      <c r="K320" s="92"/>
      <c r="L320" s="92"/>
      <c r="M320" s="92" t="s">
        <v>71</v>
      </c>
      <c r="N320" s="102"/>
      <c r="O320" s="102"/>
      <c r="P320" s="102"/>
      <c r="Q320" s="102"/>
      <c r="R320" s="102"/>
    </row>
    <row r="321" spans="1:18" ht="35.1" customHeight="1" x14ac:dyDescent="0.2">
      <c r="A321" s="99"/>
      <c r="B321" s="99"/>
      <c r="C321" s="92"/>
      <c r="D321" s="92"/>
      <c r="E321" s="92">
        <v>7500</v>
      </c>
      <c r="F321" s="97">
        <v>0</v>
      </c>
      <c r="G321" s="97">
        <f>IF(E314=0,0,(E321/E314)*G314)</f>
        <v>2444.9338779420159</v>
      </c>
      <c r="H321" s="97">
        <f>IF(E314=0,0,(E321/E314)*H314)</f>
        <v>3272.5392555499607</v>
      </c>
      <c r="I321" s="97">
        <f>IF(E314=0,0,(E321/E314)*I314)</f>
        <v>1782.5268665080234</v>
      </c>
      <c r="J321" s="92"/>
      <c r="K321" s="96">
        <f>F320</f>
        <v>7500.0000000000673</v>
      </c>
      <c r="L321" s="96">
        <v>7500</v>
      </c>
      <c r="M321" s="100">
        <f>IF(L321=0,0,(K321-L321)/L321)</f>
        <v>8.9736810574928913E-15</v>
      </c>
      <c r="N321" s="102"/>
      <c r="O321" s="102"/>
      <c r="P321" s="102"/>
      <c r="Q321" s="102"/>
      <c r="R321" s="102"/>
    </row>
    <row r="322" spans="1:18" ht="35.1" customHeight="1" x14ac:dyDescent="0.2">
      <c r="A322" s="99"/>
      <c r="B322" s="99"/>
      <c r="C322" s="92"/>
      <c r="D322" s="92"/>
      <c r="E322" s="92">
        <v>12500</v>
      </c>
      <c r="F322" s="97">
        <f>IF(E315=0,0,(E322/E315)*F315)</f>
        <v>2444.9338779419631</v>
      </c>
      <c r="G322" s="97">
        <v>0</v>
      </c>
      <c r="H322" s="97">
        <f>IF(E315=0,0,(E322/E315)*H315)</f>
        <v>6782.5268665076601</v>
      </c>
      <c r="I322" s="97">
        <f>IF(E315=0,0,(E322/E315)*I315)</f>
        <v>3272.5392555503759</v>
      </c>
      <c r="J322" s="92"/>
      <c r="K322" s="96">
        <f>G320</f>
        <v>12500.000000000522</v>
      </c>
      <c r="L322" s="96">
        <v>12500</v>
      </c>
      <c r="M322" s="100">
        <f>IF(L322=0,0,(K322-L322)/L322)</f>
        <v>4.1763996705412867E-14</v>
      </c>
      <c r="N322" s="102"/>
      <c r="O322" s="102"/>
      <c r="P322" s="102"/>
      <c r="Q322" s="102"/>
      <c r="R322" s="102"/>
    </row>
    <row r="323" spans="1:18" ht="35.1" customHeight="1" x14ac:dyDescent="0.2">
      <c r="A323" s="99"/>
      <c r="B323" s="99"/>
      <c r="C323" s="92"/>
      <c r="D323" s="92"/>
      <c r="E323" s="92">
        <v>15000</v>
      </c>
      <c r="F323" s="97">
        <f>IF(E316=0,0,(E323/E316)*F316)</f>
        <v>3272.5392555500948</v>
      </c>
      <c r="G323" s="97">
        <f>IF(E316=0,0,(E323/E316)*G316)</f>
        <v>6782.5268665080866</v>
      </c>
      <c r="H323" s="97">
        <v>0</v>
      </c>
      <c r="I323" s="97">
        <f>IF(E316=0,0,(E323/E316)*I316)</f>
        <v>4944.9338779418176</v>
      </c>
      <c r="J323" s="92"/>
      <c r="K323" s="96">
        <f>H320</f>
        <v>14999.999999999192</v>
      </c>
      <c r="L323" s="96">
        <v>15000</v>
      </c>
      <c r="M323" s="100">
        <f>IF(L323=0,0,(K323-L323)/L323)</f>
        <v>-5.3842086344957354E-14</v>
      </c>
      <c r="N323" s="102"/>
      <c r="O323" s="102"/>
      <c r="P323" s="102"/>
      <c r="Q323" s="102"/>
      <c r="R323" s="102"/>
    </row>
    <row r="324" spans="1:18" ht="35.1" customHeight="1" x14ac:dyDescent="0.2">
      <c r="A324" s="99"/>
      <c r="B324" s="99"/>
      <c r="C324" s="92"/>
      <c r="D324" s="92"/>
      <c r="E324" s="92">
        <v>10000</v>
      </c>
      <c r="F324" s="97">
        <f>IF(E317=0,0,(E324/E317)*F317)</f>
        <v>1782.5268665080093</v>
      </c>
      <c r="G324" s="97">
        <f>IF(E317=0,0,(E324/E317)*G317)</f>
        <v>3272.53925555042</v>
      </c>
      <c r="H324" s="97">
        <f>IF(E317=0,0,(E324/E317)*H317)</f>
        <v>4944.9338779415712</v>
      </c>
      <c r="I324" s="97">
        <v>0</v>
      </c>
      <c r="J324" s="92"/>
      <c r="K324" s="96">
        <f>I320</f>
        <v>10000.000000000216</v>
      </c>
      <c r="L324" s="96">
        <v>10000</v>
      </c>
      <c r="M324" s="100">
        <f>IF(L324=0,0,(K324-L324)/L324)</f>
        <v>2.1645973902195694E-14</v>
      </c>
      <c r="N324" s="102"/>
      <c r="O324" s="102"/>
      <c r="P324" s="102"/>
      <c r="Q324" s="102"/>
      <c r="R324" s="102"/>
    </row>
    <row r="325" spans="1:18" ht="35.1" customHeight="1" x14ac:dyDescent="0.2">
      <c r="A325" s="99"/>
      <c r="B325" s="99"/>
      <c r="C325" s="92"/>
      <c r="D325" s="92"/>
      <c r="E325" s="92"/>
      <c r="F325" s="99"/>
      <c r="G325" s="99"/>
      <c r="H325" s="99"/>
      <c r="I325" s="99"/>
      <c r="J325" s="92"/>
      <c r="K325" s="92">
        <f>SUM(K321:K324)</f>
        <v>45000</v>
      </c>
      <c r="L325" s="92">
        <f>SUM(L321:L324)</f>
        <v>45000</v>
      </c>
      <c r="M325" s="100"/>
      <c r="N325" s="102"/>
      <c r="O325" s="102"/>
      <c r="P325" s="102"/>
      <c r="Q325" s="102"/>
      <c r="R325" s="102"/>
    </row>
    <row r="326" spans="1:18" ht="35.1" customHeight="1" x14ac:dyDescent="0.2">
      <c r="A326" s="99"/>
      <c r="B326" s="99"/>
      <c r="C326" s="92" t="s">
        <v>72</v>
      </c>
      <c r="D326" s="92"/>
      <c r="E326" s="92"/>
      <c r="F326" s="92"/>
      <c r="G326" s="92"/>
      <c r="H326" s="92"/>
      <c r="I326" s="92"/>
      <c r="J326" s="92"/>
      <c r="K326" s="92"/>
      <c r="L326" s="92"/>
      <c r="M326" s="92"/>
      <c r="N326" s="102"/>
      <c r="O326" s="102"/>
      <c r="P326" s="102"/>
      <c r="Q326" s="102"/>
      <c r="R326" s="102"/>
    </row>
    <row r="327" spans="1:18" ht="35.1" customHeight="1" x14ac:dyDescent="0.2">
      <c r="A327" s="99"/>
      <c r="B327" s="99"/>
      <c r="C327" s="92"/>
      <c r="D327" s="92"/>
      <c r="E327" s="92"/>
      <c r="F327" s="96">
        <v>7500</v>
      </c>
      <c r="G327" s="96">
        <v>12500</v>
      </c>
      <c r="H327" s="96">
        <v>15000</v>
      </c>
      <c r="I327" s="96">
        <v>10000</v>
      </c>
      <c r="J327" s="92"/>
      <c r="K327" s="92"/>
      <c r="L327" s="92"/>
      <c r="M327" s="92" t="s">
        <v>71</v>
      </c>
      <c r="N327" s="102"/>
      <c r="O327" s="102"/>
      <c r="P327" s="102"/>
      <c r="Q327" s="102"/>
      <c r="R327" s="102"/>
    </row>
    <row r="328" spans="1:18" ht="35.1" customHeight="1" x14ac:dyDescent="0.2">
      <c r="A328" s="99"/>
      <c r="B328" s="99"/>
      <c r="C328" s="92"/>
      <c r="D328" s="92"/>
      <c r="E328" s="96">
        <f>SUM(F328:I328)</f>
        <v>7500.0000000000355</v>
      </c>
      <c r="F328" s="101">
        <v>0</v>
      </c>
      <c r="G328" s="101">
        <f>IF(G320=0,0,(G327/G320)*G321)</f>
        <v>2444.933877941914</v>
      </c>
      <c r="H328" s="101">
        <f>IF(H320=0,0,(H327/H320)*H321)</f>
        <v>3272.5392555501367</v>
      </c>
      <c r="I328" s="101">
        <f>IF(I320=0,0,(I327/I320)*I321)</f>
        <v>1782.5268665079848</v>
      </c>
      <c r="J328" s="92"/>
      <c r="K328" s="96">
        <f>E328</f>
        <v>7500.0000000000355</v>
      </c>
      <c r="L328" s="92">
        <v>7500</v>
      </c>
      <c r="M328" s="100">
        <f>IF(L328=0,0,(K328-L328)/L328)</f>
        <v>4.7293724492192266E-15</v>
      </c>
      <c r="N328" s="102"/>
      <c r="O328" s="102"/>
      <c r="P328" s="102"/>
      <c r="Q328" s="102"/>
      <c r="R328" s="102"/>
    </row>
    <row r="329" spans="1:18" ht="35.1" customHeight="1" x14ac:dyDescent="0.2">
      <c r="A329" s="99"/>
      <c r="B329" s="99"/>
      <c r="C329" s="92"/>
      <c r="D329" s="92"/>
      <c r="E329" s="96">
        <f>SUM(F329:I329)</f>
        <v>12500.000000000273</v>
      </c>
      <c r="F329" s="101">
        <f>IF(F320=0,0,(F327/F320)*F322)</f>
        <v>2444.9338779419413</v>
      </c>
      <c r="G329" s="101">
        <v>0</v>
      </c>
      <c r="H329" s="101">
        <f>IF(H320=0,0,(H327/H320)*H322)</f>
        <v>6782.5268665080248</v>
      </c>
      <c r="I329" s="101">
        <f>IF(I320=0,0,(I327/I320)*I322)</f>
        <v>3272.5392555503049</v>
      </c>
      <c r="J329" s="92"/>
      <c r="K329" s="96">
        <f>E329</f>
        <v>12500.000000000273</v>
      </c>
      <c r="L329" s="92">
        <v>12500</v>
      </c>
      <c r="M329" s="100">
        <f>IF(L329=0,0,(K329-L329)/L329)</f>
        <v>2.1827872842550278E-14</v>
      </c>
      <c r="N329" s="102"/>
      <c r="O329" s="102"/>
      <c r="P329" s="102"/>
      <c r="Q329" s="102"/>
      <c r="R329" s="102"/>
    </row>
    <row r="330" spans="1:18" ht="35.1" customHeight="1" x14ac:dyDescent="0.2">
      <c r="A330" s="99"/>
      <c r="B330" s="99"/>
      <c r="C330" s="92"/>
      <c r="D330" s="92"/>
      <c r="E330" s="96">
        <f>SUM(F330:I330)</f>
        <v>14999.99999999958</v>
      </c>
      <c r="F330" s="101">
        <f>IF(F320=0,0,(F327/F320)*F323)</f>
        <v>3272.5392555500653</v>
      </c>
      <c r="G330" s="101">
        <f>IF(G320=0,0,(G327/G320)*G323)</f>
        <v>6782.5268665078038</v>
      </c>
      <c r="H330" s="101">
        <v>0</v>
      </c>
      <c r="I330" s="101">
        <f>IF(I320=0,0,(I327/I320)*I323)</f>
        <v>4944.9338779417103</v>
      </c>
      <c r="J330" s="92"/>
      <c r="K330" s="96">
        <f>E330</f>
        <v>14999.99999999958</v>
      </c>
      <c r="L330" s="92">
        <v>15000</v>
      </c>
      <c r="M330" s="100">
        <f>IF(L330=0,0,(K330-L330)/L330)</f>
        <v>-2.8012436814606191E-14</v>
      </c>
      <c r="N330" s="102"/>
      <c r="O330" s="102"/>
      <c r="P330" s="102"/>
      <c r="Q330" s="102"/>
      <c r="R330" s="102"/>
    </row>
    <row r="331" spans="1:18" ht="35.1" customHeight="1" x14ac:dyDescent="0.2">
      <c r="A331" s="99"/>
      <c r="B331" s="99"/>
      <c r="C331" s="92"/>
      <c r="D331" s="92"/>
      <c r="E331" s="96">
        <f>SUM(F331:I331)</f>
        <v>10000.000000000113</v>
      </c>
      <c r="F331" s="101">
        <f>IF(F320=0,0,(F327/F320)*F324)</f>
        <v>1782.5268665079932</v>
      </c>
      <c r="G331" s="101">
        <f>IF(G320=0,0,(G327/G320)*G324)</f>
        <v>3272.5392555502835</v>
      </c>
      <c r="H331" s="101">
        <f>IF(H320=0,0,(H327/H320)*H324)</f>
        <v>4944.9338779418367</v>
      </c>
      <c r="I331" s="101">
        <v>0</v>
      </c>
      <c r="J331" s="92"/>
      <c r="K331" s="96">
        <f>E331</f>
        <v>10000.000000000113</v>
      </c>
      <c r="L331" s="92">
        <v>10000</v>
      </c>
      <c r="M331" s="100">
        <f>IF(L331=0,0,(K331-L331)/L331)</f>
        <v>1.127773430198431E-14</v>
      </c>
      <c r="N331" s="102"/>
      <c r="O331" s="102"/>
      <c r="P331" s="102"/>
      <c r="Q331" s="102"/>
      <c r="R331" s="102"/>
    </row>
    <row r="332" spans="1:18" ht="35.1" customHeight="1" x14ac:dyDescent="0.2">
      <c r="A332" s="99"/>
      <c r="B332" s="99"/>
      <c r="C332" s="92"/>
      <c r="D332" s="92"/>
      <c r="E332" s="92"/>
      <c r="F332" s="92"/>
      <c r="G332" s="92"/>
      <c r="H332" s="92"/>
      <c r="I332" s="92"/>
      <c r="J332" s="92"/>
      <c r="K332" s="92">
        <f>SUM(K328:K331)</f>
        <v>45000</v>
      </c>
      <c r="L332" s="92">
        <f>SUM(L328:L331)</f>
        <v>45000</v>
      </c>
      <c r="M332" s="100"/>
      <c r="N332" s="102"/>
      <c r="O332" s="102"/>
      <c r="P332" s="102"/>
      <c r="Q332" s="102"/>
      <c r="R332" s="102"/>
    </row>
    <row r="333" spans="1:18" ht="35.1" customHeight="1" x14ac:dyDescent="0.2">
      <c r="A333" s="99"/>
      <c r="B333" s="99"/>
      <c r="C333" s="92" t="s">
        <v>70</v>
      </c>
      <c r="D333" s="92"/>
      <c r="E333" s="92"/>
      <c r="F333" s="92"/>
      <c r="G333" s="92"/>
      <c r="H333" s="92"/>
      <c r="I333" s="92"/>
      <c r="J333" s="92"/>
      <c r="K333" s="92"/>
      <c r="L333" s="92"/>
      <c r="M333" s="92"/>
      <c r="N333" s="102"/>
      <c r="O333" s="102"/>
      <c r="P333" s="102"/>
      <c r="Q333" s="102"/>
      <c r="R333" s="102"/>
    </row>
    <row r="334" spans="1:18" ht="35.1" customHeight="1" x14ac:dyDescent="0.2">
      <c r="A334" s="99"/>
      <c r="B334" s="99"/>
      <c r="C334" s="92"/>
      <c r="D334" s="92"/>
      <c r="E334" s="92"/>
      <c r="F334" s="96">
        <f>SUM(F335:F338)</f>
        <v>7500.0000000000173</v>
      </c>
      <c r="G334" s="96">
        <f>SUM(G335:G338)</f>
        <v>12500.000000000142</v>
      </c>
      <c r="H334" s="96">
        <f>SUM(H335:H338)</f>
        <v>14999.999999999778</v>
      </c>
      <c r="I334" s="96">
        <f>SUM(I335:I338)</f>
        <v>10000.000000000058</v>
      </c>
      <c r="J334" s="92"/>
      <c r="K334" s="92"/>
      <c r="L334" s="92"/>
      <c r="M334" s="92" t="s">
        <v>71</v>
      </c>
      <c r="N334" s="102"/>
      <c r="O334" s="102"/>
      <c r="P334" s="102"/>
      <c r="Q334" s="102"/>
      <c r="R334" s="102"/>
    </row>
    <row r="335" spans="1:18" ht="35.1" customHeight="1" x14ac:dyDescent="0.2">
      <c r="A335" s="99"/>
      <c r="B335" s="99"/>
      <c r="C335" s="92"/>
      <c r="D335" s="92"/>
      <c r="E335" s="92">
        <v>7500</v>
      </c>
      <c r="F335" s="97">
        <v>0</v>
      </c>
      <c r="G335" s="97">
        <f>IF(E328=0,0,(E335/E328)*G328)</f>
        <v>2444.9338779419022</v>
      </c>
      <c r="H335" s="97">
        <f>IF(E328=0,0,(E335/E328)*H328)</f>
        <v>3272.5392555501212</v>
      </c>
      <c r="I335" s="97">
        <f>IF(E328=0,0,(E335/E328)*I328)</f>
        <v>1782.5268665079764</v>
      </c>
      <c r="J335" s="92"/>
      <c r="K335" s="96">
        <f>F334</f>
        <v>7500.0000000000173</v>
      </c>
      <c r="L335" s="96">
        <v>7500</v>
      </c>
      <c r="M335" s="100">
        <f>IF(L335=0,0,(K335-L335)/L335)</f>
        <v>2.3040532444914181E-15</v>
      </c>
      <c r="N335" s="102"/>
      <c r="O335" s="102"/>
      <c r="P335" s="102"/>
      <c r="Q335" s="102"/>
      <c r="R335" s="102"/>
    </row>
    <row r="336" spans="1:18" ht="35.1" customHeight="1" x14ac:dyDescent="0.2">
      <c r="A336" s="99"/>
      <c r="B336" s="99"/>
      <c r="C336" s="92"/>
      <c r="D336" s="92"/>
      <c r="E336" s="92">
        <v>12500</v>
      </c>
      <c r="F336" s="97">
        <f>IF(E329=0,0,(E336/E329)*F329)</f>
        <v>2444.9338779418877</v>
      </c>
      <c r="G336" s="97">
        <v>0</v>
      </c>
      <c r="H336" s="97">
        <f>IF(E329=0,0,(E336/E329)*H329)</f>
        <v>6782.5268665078765</v>
      </c>
      <c r="I336" s="97">
        <f>IF(E329=0,0,(E336/E329)*I329)</f>
        <v>3272.5392555502335</v>
      </c>
      <c r="J336" s="92"/>
      <c r="K336" s="96">
        <f>G334</f>
        <v>12500.000000000142</v>
      </c>
      <c r="L336" s="96">
        <v>12500</v>
      </c>
      <c r="M336" s="100">
        <f>IF(L336=0,0,(K336-L336)/L336)</f>
        <v>1.1350493878126144E-14</v>
      </c>
      <c r="N336" s="102"/>
      <c r="O336" s="102"/>
      <c r="P336" s="102"/>
      <c r="Q336" s="102"/>
      <c r="R336" s="102"/>
    </row>
    <row r="337" spans="1:18" ht="35.1" customHeight="1" x14ac:dyDescent="0.2">
      <c r="A337" s="99"/>
      <c r="B337" s="99"/>
      <c r="C337" s="92"/>
      <c r="D337" s="92"/>
      <c r="E337" s="92">
        <v>15000</v>
      </c>
      <c r="F337" s="97">
        <f>IF(E330=0,0,(E337/E330)*F330)</f>
        <v>3272.5392555501567</v>
      </c>
      <c r="G337" s="97">
        <f>IF(E330=0,0,(E337/E330)*G330)</f>
        <v>6782.5268665079939</v>
      </c>
      <c r="H337" s="97">
        <v>0</v>
      </c>
      <c r="I337" s="97">
        <f>IF(E330=0,0,(E337/E330)*I330)</f>
        <v>4944.9338779418486</v>
      </c>
      <c r="J337" s="92"/>
      <c r="K337" s="96">
        <f>H334</f>
        <v>14999.999999999778</v>
      </c>
      <c r="L337" s="96">
        <v>15000</v>
      </c>
      <c r="M337" s="100">
        <f>IF(L337=0,0,(K337-L337)/L337)</f>
        <v>-1.4794447148839632E-14</v>
      </c>
      <c r="N337" s="102"/>
      <c r="O337" s="102"/>
      <c r="P337" s="102"/>
      <c r="Q337" s="102"/>
      <c r="R337" s="102"/>
    </row>
    <row r="338" spans="1:18" ht="35.1" customHeight="1" x14ac:dyDescent="0.2">
      <c r="A338" s="99"/>
      <c r="B338" s="99"/>
      <c r="C338" s="92"/>
      <c r="D338" s="92"/>
      <c r="E338" s="92">
        <v>10000</v>
      </c>
      <c r="F338" s="97">
        <f>IF(E331=0,0,(E338/E331)*F331)</f>
        <v>1782.526866507973</v>
      </c>
      <c r="G338" s="97">
        <f>IF(E331=0,0,(E338/E331)*G331)</f>
        <v>3272.5392555502467</v>
      </c>
      <c r="H338" s="97">
        <f>IF(E331=0,0,(E338/E331)*H331)</f>
        <v>4944.9338779417803</v>
      </c>
      <c r="I338" s="97">
        <v>0</v>
      </c>
      <c r="J338" s="92"/>
      <c r="K338" s="96">
        <f>I334</f>
        <v>10000.000000000058</v>
      </c>
      <c r="L338" s="96">
        <v>10000</v>
      </c>
      <c r="M338" s="100">
        <f>IF(L338=0,0,(K338-L338)/L338)</f>
        <v>5.820766091346741E-15</v>
      </c>
      <c r="N338" s="102"/>
      <c r="O338" s="102"/>
      <c r="P338" s="102"/>
      <c r="Q338" s="102"/>
      <c r="R338" s="102"/>
    </row>
    <row r="339" spans="1:18" ht="35.1" customHeight="1" x14ac:dyDescent="0.2">
      <c r="A339" s="99"/>
      <c r="B339" s="99"/>
      <c r="C339" s="92"/>
      <c r="D339" s="92"/>
      <c r="E339" s="92"/>
      <c r="F339" s="99"/>
      <c r="G339" s="99"/>
      <c r="H339" s="99"/>
      <c r="I339" s="99"/>
      <c r="J339" s="92"/>
      <c r="K339" s="92">
        <f>SUM(K335:K338)</f>
        <v>45000</v>
      </c>
      <c r="L339" s="92">
        <f>SUM(L335:L338)</f>
        <v>45000</v>
      </c>
      <c r="M339" s="100"/>
      <c r="N339" s="102"/>
      <c r="O339" s="102"/>
      <c r="P339" s="102"/>
      <c r="Q339" s="102"/>
      <c r="R339" s="102"/>
    </row>
    <row r="340" spans="1:18" ht="35.1" customHeight="1" x14ac:dyDescent="0.2">
      <c r="A340" s="99"/>
      <c r="B340" s="99"/>
      <c r="C340" s="92" t="s">
        <v>72</v>
      </c>
      <c r="D340" s="92"/>
      <c r="E340" s="92"/>
      <c r="F340" s="92"/>
      <c r="G340" s="92"/>
      <c r="H340" s="92"/>
      <c r="I340" s="92"/>
      <c r="J340" s="92"/>
      <c r="K340" s="92"/>
      <c r="L340" s="92"/>
      <c r="M340" s="92"/>
      <c r="N340" s="102"/>
      <c r="O340" s="102"/>
      <c r="P340" s="102"/>
      <c r="Q340" s="102"/>
      <c r="R340" s="102"/>
    </row>
    <row r="341" spans="1:18" ht="35.1" customHeight="1" x14ac:dyDescent="0.2">
      <c r="A341" s="99"/>
      <c r="B341" s="99"/>
      <c r="C341" s="92"/>
      <c r="D341" s="92"/>
      <c r="E341" s="92"/>
      <c r="F341" s="96">
        <v>7500</v>
      </c>
      <c r="G341" s="96">
        <v>12500</v>
      </c>
      <c r="H341" s="96">
        <v>15000</v>
      </c>
      <c r="I341" s="96">
        <v>10000</v>
      </c>
      <c r="J341" s="92"/>
      <c r="K341" s="92"/>
      <c r="L341" s="92"/>
      <c r="M341" s="92" t="s">
        <v>71</v>
      </c>
      <c r="N341" s="102"/>
      <c r="O341" s="102"/>
      <c r="P341" s="102"/>
      <c r="Q341" s="102"/>
      <c r="R341" s="102"/>
    </row>
    <row r="342" spans="1:18" ht="35.1" customHeight="1" x14ac:dyDescent="0.2">
      <c r="A342" s="99"/>
      <c r="B342" s="99"/>
      <c r="C342" s="92"/>
      <c r="D342" s="92"/>
      <c r="E342" s="96">
        <f>SUM(F342:I342)</f>
        <v>7500.0000000000109</v>
      </c>
      <c r="F342" s="101">
        <v>0</v>
      </c>
      <c r="G342" s="101">
        <f>IF(G334=0,0,(G341/G334)*G335)</f>
        <v>2444.9338779418745</v>
      </c>
      <c r="H342" s="101">
        <f>IF(H334=0,0,(H341/H334)*H335)</f>
        <v>3272.5392555501699</v>
      </c>
      <c r="I342" s="101">
        <f>IF(I334=0,0,(I341/I334)*I335)</f>
        <v>1782.5268665079661</v>
      </c>
      <c r="J342" s="92"/>
      <c r="K342" s="96">
        <f>E342</f>
        <v>7500.0000000000109</v>
      </c>
      <c r="L342" s="92">
        <v>7500</v>
      </c>
      <c r="M342" s="100">
        <f>IF(L342=0,0,(K342-L342)/L342)</f>
        <v>1.4551915228366853E-15</v>
      </c>
      <c r="N342" s="102"/>
      <c r="O342" s="102"/>
      <c r="P342" s="102"/>
      <c r="Q342" s="102"/>
      <c r="R342" s="102"/>
    </row>
    <row r="343" spans="1:18" ht="35.1" customHeight="1" x14ac:dyDescent="0.2">
      <c r="A343" s="99"/>
      <c r="B343" s="99"/>
      <c r="C343" s="92"/>
      <c r="D343" s="92"/>
      <c r="E343" s="96">
        <f>SUM(F343:I343)</f>
        <v>12500.000000000075</v>
      </c>
      <c r="F343" s="101">
        <f>IF(F334=0,0,(F341/F334)*F336)</f>
        <v>2444.9338779418817</v>
      </c>
      <c r="G343" s="101">
        <v>0</v>
      </c>
      <c r="H343" s="101">
        <f>IF(H334=0,0,(H341/H334)*H336)</f>
        <v>6782.5268665079775</v>
      </c>
      <c r="I343" s="101">
        <f>IF(I334=0,0,(I341/I334)*I336)</f>
        <v>3272.5392555502144</v>
      </c>
      <c r="J343" s="92"/>
      <c r="K343" s="96">
        <f>E343</f>
        <v>12500.000000000075</v>
      </c>
      <c r="L343" s="92">
        <v>12500</v>
      </c>
      <c r="M343" s="100">
        <f>IF(L343=0,0,(K343-L343)/L343)</f>
        <v>5.9662852436304091E-15</v>
      </c>
      <c r="N343" s="102"/>
      <c r="O343" s="102"/>
      <c r="P343" s="102"/>
      <c r="Q343" s="102"/>
      <c r="R343" s="102"/>
    </row>
    <row r="344" spans="1:18" ht="35.1" customHeight="1" x14ac:dyDescent="0.2">
      <c r="A344" s="99"/>
      <c r="B344" s="99"/>
      <c r="C344" s="92"/>
      <c r="D344" s="92"/>
      <c r="E344" s="96">
        <f>SUM(F344:I344)</f>
        <v>14999.999999999887</v>
      </c>
      <c r="F344" s="101">
        <f>IF(F334=0,0,(F341/F334)*F337)</f>
        <v>3272.5392555501489</v>
      </c>
      <c r="G344" s="101">
        <f>IF(G334=0,0,(G341/G334)*G337)</f>
        <v>6782.5268665079175</v>
      </c>
      <c r="H344" s="101">
        <v>0</v>
      </c>
      <c r="I344" s="101">
        <f>IF(I334=0,0,(I341/I334)*I337)</f>
        <v>4944.9338779418204</v>
      </c>
      <c r="J344" s="92"/>
      <c r="K344" s="96">
        <f>E344</f>
        <v>14999.999999999887</v>
      </c>
      <c r="L344" s="92">
        <v>15000</v>
      </c>
      <c r="M344" s="100">
        <f>IF(L344=0,0,(K344-L344)/L344)</f>
        <v>-7.518489534656207E-15</v>
      </c>
      <c r="N344" s="102"/>
      <c r="O344" s="102"/>
      <c r="P344" s="102"/>
      <c r="Q344" s="102"/>
      <c r="R344" s="102"/>
    </row>
    <row r="345" spans="1:18" ht="35.1" customHeight="1" x14ac:dyDescent="0.2">
      <c r="A345" s="99"/>
      <c r="B345" s="99"/>
      <c r="C345" s="92"/>
      <c r="D345" s="92"/>
      <c r="E345" s="96">
        <f>SUM(F345:I345)</f>
        <v>10000.000000000033</v>
      </c>
      <c r="F345" s="101">
        <f>IF(F334=0,0,(F341/F334)*F338)</f>
        <v>1782.5268665079689</v>
      </c>
      <c r="G345" s="101">
        <f>IF(G334=0,0,(G341/G334)*G338)</f>
        <v>3272.5392555502099</v>
      </c>
      <c r="H345" s="101">
        <f>IF(H334=0,0,(H341/H334)*H338)</f>
        <v>4944.933877941854</v>
      </c>
      <c r="I345" s="101">
        <v>0</v>
      </c>
      <c r="J345" s="92"/>
      <c r="K345" s="96">
        <f>E345</f>
        <v>10000.000000000033</v>
      </c>
      <c r="L345" s="92">
        <v>10000</v>
      </c>
      <c r="M345" s="100">
        <f>IF(L345=0,0,(K345-L345)/L345)</f>
        <v>3.2741809263825416E-15</v>
      </c>
      <c r="N345" s="102"/>
      <c r="O345" s="102"/>
      <c r="P345" s="102"/>
      <c r="Q345" s="102"/>
      <c r="R345" s="102"/>
    </row>
    <row r="346" spans="1:18" ht="35.1" customHeight="1" x14ac:dyDescent="0.2">
      <c r="A346" s="99"/>
      <c r="B346" s="99"/>
      <c r="C346" s="92"/>
      <c r="D346" s="92"/>
      <c r="E346" s="92"/>
      <c r="F346" s="92"/>
      <c r="G346" s="92"/>
      <c r="H346" s="92"/>
      <c r="I346" s="92"/>
      <c r="J346" s="92"/>
      <c r="K346" s="92">
        <f>SUM(K342:K345)</f>
        <v>45000</v>
      </c>
      <c r="L346" s="92">
        <f>SUM(L342:L345)</f>
        <v>45000</v>
      </c>
      <c r="M346" s="100"/>
      <c r="N346" s="102"/>
      <c r="O346" s="102"/>
      <c r="P346" s="102"/>
      <c r="Q346" s="102"/>
      <c r="R346" s="102"/>
    </row>
    <row r="347" spans="1:18" ht="35.1" customHeight="1" x14ac:dyDescent="0.2">
      <c r="A347" s="99"/>
      <c r="B347" s="99"/>
      <c r="C347" s="92" t="s">
        <v>70</v>
      </c>
      <c r="D347" s="92"/>
      <c r="E347" s="92"/>
      <c r="F347" s="92"/>
      <c r="G347" s="92"/>
      <c r="H347" s="92"/>
      <c r="I347" s="92"/>
      <c r="J347" s="92"/>
      <c r="K347" s="92"/>
      <c r="L347" s="92"/>
      <c r="M347" s="92"/>
      <c r="N347" s="102"/>
      <c r="O347" s="102"/>
      <c r="P347" s="102"/>
      <c r="Q347" s="102"/>
      <c r="R347" s="102"/>
    </row>
    <row r="348" spans="1:18" ht="35.1" customHeight="1" x14ac:dyDescent="0.2">
      <c r="A348" s="99"/>
      <c r="B348" s="99"/>
      <c r="C348" s="92"/>
      <c r="D348" s="92"/>
      <c r="E348" s="92"/>
      <c r="F348" s="96">
        <f>SUM(F349:F352)</f>
        <v>7500.0000000000036</v>
      </c>
      <c r="G348" s="96">
        <f>SUM(G349:G352)</f>
        <v>12500.00000000004</v>
      </c>
      <c r="H348" s="96">
        <f>SUM(H349:H352)</f>
        <v>14999.99999999994</v>
      </c>
      <c r="I348" s="96">
        <f>SUM(I349:I352)</f>
        <v>10000.000000000016</v>
      </c>
      <c r="J348" s="92"/>
      <c r="K348" s="92"/>
      <c r="L348" s="92"/>
      <c r="M348" s="92" t="s">
        <v>71</v>
      </c>
      <c r="N348" s="102"/>
      <c r="O348" s="102"/>
      <c r="P348" s="102"/>
      <c r="Q348" s="102"/>
      <c r="R348" s="102"/>
    </row>
    <row r="349" spans="1:18" ht="35.1" customHeight="1" x14ac:dyDescent="0.2">
      <c r="A349" s="99"/>
      <c r="B349" s="99"/>
      <c r="C349" s="92"/>
      <c r="D349" s="92"/>
      <c r="E349" s="92">
        <v>7500</v>
      </c>
      <c r="F349" s="97">
        <v>0</v>
      </c>
      <c r="G349" s="97">
        <f>IF(E342=0,0,(E349/E342)*G342)</f>
        <v>2444.9338779418708</v>
      </c>
      <c r="H349" s="97">
        <f>IF(E342=0,0,(E349/E342)*H342)</f>
        <v>3272.5392555501653</v>
      </c>
      <c r="I349" s="97">
        <f>IF(E342=0,0,(E349/E342)*I342)</f>
        <v>1782.5268665079636</v>
      </c>
      <c r="J349" s="92"/>
      <c r="K349" s="96">
        <f>F348</f>
        <v>7500.0000000000036</v>
      </c>
      <c r="L349" s="96">
        <v>7500</v>
      </c>
      <c r="M349" s="100">
        <f>IF(L349=0,0,(K349-L349)/L349)</f>
        <v>4.8506384094556175E-16</v>
      </c>
      <c r="N349" s="102"/>
      <c r="O349" s="102"/>
      <c r="P349" s="102"/>
      <c r="Q349" s="102"/>
      <c r="R349" s="102"/>
    </row>
    <row r="350" spans="1:18" ht="35.1" customHeight="1" x14ac:dyDescent="0.2">
      <c r="A350" s="99"/>
      <c r="B350" s="99"/>
      <c r="C350" s="92"/>
      <c r="D350" s="92"/>
      <c r="E350" s="92">
        <v>12500</v>
      </c>
      <c r="F350" s="97">
        <f>IF(E343=0,0,(E350/E343)*F343)</f>
        <v>2444.9338779418672</v>
      </c>
      <c r="G350" s="97">
        <v>0</v>
      </c>
      <c r="H350" s="97">
        <f>IF(E343=0,0,(E350/E343)*H343)</f>
        <v>6782.5268665079366</v>
      </c>
      <c r="I350" s="97">
        <f>IF(E343=0,0,(E350/E343)*I343)</f>
        <v>3272.5392555501949</v>
      </c>
      <c r="J350" s="92"/>
      <c r="K350" s="96">
        <f>G348</f>
        <v>12500.00000000004</v>
      </c>
      <c r="L350" s="96">
        <v>12500</v>
      </c>
      <c r="M350" s="100">
        <f>IF(L350=0,0,(K350-L350)/L350)</f>
        <v>3.2014213502407075E-15</v>
      </c>
      <c r="N350" s="102"/>
      <c r="O350" s="102"/>
      <c r="P350" s="102"/>
      <c r="Q350" s="102"/>
      <c r="R350" s="102"/>
    </row>
    <row r="351" spans="1:18" ht="35.1" customHeight="1" x14ac:dyDescent="0.2">
      <c r="A351" s="99"/>
      <c r="B351" s="99"/>
      <c r="C351" s="92"/>
      <c r="D351" s="92"/>
      <c r="E351" s="92">
        <v>15000</v>
      </c>
      <c r="F351" s="97">
        <f>IF(E344=0,0,(E351/E344)*F344)</f>
        <v>3272.5392555501735</v>
      </c>
      <c r="G351" s="97">
        <f>IF(E344=0,0,(E351/E344)*G344)</f>
        <v>6782.5268665079684</v>
      </c>
      <c r="H351" s="97">
        <v>0</v>
      </c>
      <c r="I351" s="97">
        <f>IF(E344=0,0,(E351/E344)*I344)</f>
        <v>4944.9338779418576</v>
      </c>
      <c r="J351" s="92"/>
      <c r="K351" s="96">
        <f>H348</f>
        <v>14999.99999999994</v>
      </c>
      <c r="L351" s="96">
        <v>15000</v>
      </c>
      <c r="M351" s="100">
        <f>IF(L351=0,0,(K351-L351)/L351)</f>
        <v>-4.0017766878008845E-15</v>
      </c>
      <c r="N351" s="102"/>
      <c r="O351" s="102"/>
      <c r="P351" s="102"/>
      <c r="Q351" s="102"/>
      <c r="R351" s="102"/>
    </row>
    <row r="352" spans="1:18" ht="35.1" customHeight="1" x14ac:dyDescent="0.2">
      <c r="A352" s="99"/>
      <c r="B352" s="99"/>
      <c r="C352" s="92"/>
      <c r="D352" s="92"/>
      <c r="E352" s="92">
        <v>10000</v>
      </c>
      <c r="F352" s="97">
        <f>IF(E345=0,0,(E352/E345)*F345)</f>
        <v>1782.5268665079632</v>
      </c>
      <c r="G352" s="97">
        <f>IF(E345=0,0,(E352/E345)*G345)</f>
        <v>3272.5392555501994</v>
      </c>
      <c r="H352" s="97">
        <f>IF(E345=0,0,(E352/E345)*H345)</f>
        <v>4944.9338779418376</v>
      </c>
      <c r="I352" s="97">
        <v>0</v>
      </c>
      <c r="J352" s="92"/>
      <c r="K352" s="96">
        <f>I348</f>
        <v>10000.000000000016</v>
      </c>
      <c r="L352" s="96">
        <v>10000</v>
      </c>
      <c r="M352" s="100">
        <f>IF(L352=0,0,(K352-L352)/L352)</f>
        <v>1.6370904631912708E-15</v>
      </c>
      <c r="N352" s="102"/>
      <c r="O352" s="102"/>
      <c r="P352" s="102"/>
      <c r="Q352" s="102"/>
      <c r="R352" s="102"/>
    </row>
    <row r="353" spans="1:18" ht="35.1" customHeight="1" x14ac:dyDescent="0.2">
      <c r="A353" s="99"/>
      <c r="B353" s="99"/>
      <c r="C353" s="92"/>
      <c r="D353" s="92"/>
      <c r="E353" s="92"/>
      <c r="F353" s="99"/>
      <c r="G353" s="99"/>
      <c r="H353" s="99"/>
      <c r="I353" s="99"/>
      <c r="J353" s="92"/>
      <c r="K353" s="92">
        <f>SUM(K349:K352)</f>
        <v>45000</v>
      </c>
      <c r="L353" s="92">
        <f>SUM(L349:L352)</f>
        <v>45000</v>
      </c>
      <c r="M353" s="100"/>
      <c r="N353" s="102"/>
      <c r="O353" s="102"/>
      <c r="P353" s="102"/>
      <c r="Q353" s="102"/>
      <c r="R353" s="102"/>
    </row>
    <row r="354" spans="1:18" ht="35.1" customHeight="1" x14ac:dyDescent="0.2">
      <c r="A354" s="99"/>
      <c r="B354" s="99"/>
      <c r="C354" s="92" t="s">
        <v>72</v>
      </c>
      <c r="D354" s="92"/>
      <c r="E354" s="92"/>
      <c r="F354" s="92"/>
      <c r="G354" s="92"/>
      <c r="H354" s="92"/>
      <c r="I354" s="92"/>
      <c r="J354" s="92"/>
      <c r="K354" s="92"/>
      <c r="L354" s="92"/>
      <c r="M354" s="92"/>
      <c r="N354" s="102"/>
      <c r="O354" s="102"/>
      <c r="P354" s="102"/>
      <c r="Q354" s="102"/>
      <c r="R354" s="102"/>
    </row>
    <row r="355" spans="1:18" ht="35.1" customHeight="1" x14ac:dyDescent="0.2">
      <c r="A355" s="99"/>
      <c r="B355" s="99"/>
      <c r="C355" s="92"/>
      <c r="D355" s="92"/>
      <c r="E355" s="92"/>
      <c r="F355" s="96">
        <v>7500</v>
      </c>
      <c r="G355" s="96">
        <v>12500</v>
      </c>
      <c r="H355" s="96">
        <v>15000</v>
      </c>
      <c r="I355" s="96">
        <v>10000</v>
      </c>
      <c r="J355" s="92"/>
      <c r="K355" s="92"/>
      <c r="L355" s="92"/>
      <c r="M355" s="92" t="s">
        <v>71</v>
      </c>
      <c r="N355" s="102"/>
      <c r="O355" s="102"/>
      <c r="P355" s="102"/>
      <c r="Q355" s="102"/>
      <c r="R355" s="102"/>
    </row>
    <row r="356" spans="1:18" ht="35.1" customHeight="1" x14ac:dyDescent="0.2">
      <c r="A356" s="99"/>
      <c r="B356" s="99"/>
      <c r="C356" s="92"/>
      <c r="D356" s="92"/>
      <c r="E356" s="96">
        <f>SUM(F356:I356)</f>
        <v>7500.0000000000018</v>
      </c>
      <c r="F356" s="101">
        <v>0</v>
      </c>
      <c r="G356" s="101">
        <f>IF(G348=0,0,(G355/G348)*G349)</f>
        <v>2444.9338779418631</v>
      </c>
      <c r="H356" s="101">
        <f>IF(H348=0,0,(H355/H348)*H349)</f>
        <v>3272.5392555501785</v>
      </c>
      <c r="I356" s="101">
        <f>IF(I348=0,0,(I355/I348)*I349)</f>
        <v>1782.5268665079607</v>
      </c>
      <c r="J356" s="92"/>
      <c r="K356" s="96">
        <f>E356</f>
        <v>7500.0000000000018</v>
      </c>
      <c r="L356" s="92">
        <v>7500</v>
      </c>
      <c r="M356" s="100">
        <f>IF(L356=0,0,(K356-L356)/L356)</f>
        <v>2.4253192047278088E-16</v>
      </c>
      <c r="N356" s="102"/>
      <c r="O356" s="102"/>
      <c r="P356" s="102"/>
      <c r="Q356" s="102"/>
      <c r="R356" s="102"/>
    </row>
    <row r="357" spans="1:18" ht="35.1" customHeight="1" x14ac:dyDescent="0.2">
      <c r="A357" s="99"/>
      <c r="B357" s="99"/>
      <c r="C357" s="92"/>
      <c r="D357" s="92"/>
      <c r="E357" s="96">
        <f>SUM(F357:I357)</f>
        <v>12500.00000000002</v>
      </c>
      <c r="F357" s="101">
        <f>IF(F348=0,0,(F355/F348)*F350)</f>
        <v>2444.9338779418663</v>
      </c>
      <c r="G357" s="101">
        <v>0</v>
      </c>
      <c r="H357" s="101">
        <f>IF(H348=0,0,(H355/H348)*H350)</f>
        <v>6782.5268665079639</v>
      </c>
      <c r="I357" s="101">
        <f>IF(I348=0,0,(I355/I348)*I350)</f>
        <v>3272.5392555501894</v>
      </c>
      <c r="J357" s="92"/>
      <c r="K357" s="96">
        <f>E357</f>
        <v>12500.00000000002</v>
      </c>
      <c r="L357" s="92">
        <v>12500</v>
      </c>
      <c r="M357" s="100">
        <f>IF(L357=0,0,(K357-L357)/L357)</f>
        <v>1.6007106751203538E-15</v>
      </c>
      <c r="N357" s="102"/>
      <c r="O357" s="102"/>
      <c r="P357" s="102"/>
      <c r="Q357" s="102"/>
      <c r="R357" s="102"/>
    </row>
    <row r="358" spans="1:18" ht="35.1" customHeight="1" x14ac:dyDescent="0.2">
      <c r="A358" s="99"/>
      <c r="B358" s="99"/>
      <c r="C358" s="92"/>
      <c r="D358" s="92"/>
      <c r="E358" s="96">
        <f>SUM(F358:I358)</f>
        <v>14999.999999999967</v>
      </c>
      <c r="F358" s="101">
        <f>IF(F348=0,0,(F355/F348)*F351)</f>
        <v>3272.5392555501721</v>
      </c>
      <c r="G358" s="101">
        <f>IF(G348=0,0,(G355/G348)*G351)</f>
        <v>6782.5268665079466</v>
      </c>
      <c r="H358" s="101">
        <v>0</v>
      </c>
      <c r="I358" s="101">
        <f>IF(I348=0,0,(I355/I348)*I351)</f>
        <v>4944.9338779418495</v>
      </c>
      <c r="J358" s="92"/>
      <c r="K358" s="96">
        <f>E358</f>
        <v>14999.999999999967</v>
      </c>
      <c r="L358" s="92">
        <v>15000</v>
      </c>
      <c r="M358" s="100">
        <f>IF(L358=0,0,(K358-L358)/L358)</f>
        <v>-2.1827872842550276E-15</v>
      </c>
      <c r="N358" s="102"/>
      <c r="O358" s="102"/>
      <c r="P358" s="102"/>
      <c r="Q358" s="102"/>
      <c r="R358" s="102"/>
    </row>
    <row r="359" spans="1:18" ht="35.1" customHeight="1" x14ac:dyDescent="0.2">
      <c r="A359" s="99"/>
      <c r="B359" s="99"/>
      <c r="C359" s="92"/>
      <c r="D359" s="92"/>
      <c r="E359" s="96">
        <f>SUM(F359:I359)</f>
        <v>10000.000000000009</v>
      </c>
      <c r="F359" s="101">
        <f>IF(F348=0,0,(F355/F348)*F352)</f>
        <v>1782.5268665079625</v>
      </c>
      <c r="G359" s="101">
        <f>IF(G348=0,0,(G355/G348)*G352)</f>
        <v>3272.539255550189</v>
      </c>
      <c r="H359" s="101">
        <f>IF(H348=0,0,(H355/H348)*H352)</f>
        <v>4944.9338779418576</v>
      </c>
      <c r="I359" s="101">
        <v>0</v>
      </c>
      <c r="J359" s="92"/>
      <c r="K359" s="96">
        <f>E359</f>
        <v>10000.000000000009</v>
      </c>
      <c r="L359" s="92">
        <v>10000</v>
      </c>
      <c r="M359" s="100">
        <f>IF(L359=0,0,(K359-L359)/L359)</f>
        <v>9.0949470177292826E-16</v>
      </c>
      <c r="N359" s="102"/>
      <c r="O359" s="102"/>
      <c r="P359" s="102"/>
      <c r="Q359" s="102"/>
      <c r="R359" s="102"/>
    </row>
    <row r="360" spans="1:18" ht="35.1" customHeight="1" x14ac:dyDescent="0.2">
      <c r="A360" s="99"/>
      <c r="B360" s="99"/>
      <c r="C360" s="92"/>
      <c r="D360" s="92"/>
      <c r="E360" s="92"/>
      <c r="F360" s="92"/>
      <c r="G360" s="92"/>
      <c r="H360" s="92"/>
      <c r="I360" s="92"/>
      <c r="J360" s="92"/>
      <c r="K360" s="92">
        <f>SUM(K356:K359)</f>
        <v>44999.999999999993</v>
      </c>
      <c r="L360" s="92">
        <f>SUM(L356:L359)</f>
        <v>45000</v>
      </c>
      <c r="M360" s="100"/>
      <c r="N360" s="102"/>
      <c r="O360" s="102"/>
      <c r="P360" s="102"/>
      <c r="Q360" s="102"/>
      <c r="R360" s="102"/>
    </row>
    <row r="361" spans="1:18" ht="35.1" customHeight="1" x14ac:dyDescent="0.2">
      <c r="A361" s="99"/>
      <c r="B361" s="99"/>
      <c r="C361" s="92" t="s">
        <v>70</v>
      </c>
      <c r="D361" s="92"/>
      <c r="E361" s="92"/>
      <c r="F361" s="92"/>
      <c r="G361" s="92"/>
      <c r="H361" s="92"/>
      <c r="I361" s="92"/>
      <c r="J361" s="92"/>
      <c r="K361" s="92"/>
      <c r="L361" s="92"/>
      <c r="M361" s="92"/>
      <c r="N361" s="102"/>
      <c r="O361" s="102"/>
      <c r="P361" s="102"/>
      <c r="Q361" s="102"/>
      <c r="R361" s="102"/>
    </row>
    <row r="362" spans="1:18" ht="35.1" customHeight="1" x14ac:dyDescent="0.2">
      <c r="A362" s="99"/>
      <c r="B362" s="99"/>
      <c r="C362" s="92"/>
      <c r="D362" s="92"/>
      <c r="E362" s="92"/>
      <c r="F362" s="96">
        <f>SUM(F363:F366)</f>
        <v>7500.0000000000027</v>
      </c>
      <c r="G362" s="96">
        <f>SUM(G363:G366)</f>
        <v>12500.000000000011</v>
      </c>
      <c r="H362" s="96">
        <f>SUM(H363:H366)</f>
        <v>14999.999999999985</v>
      </c>
      <c r="I362" s="96">
        <f>SUM(I363:I366)</f>
        <v>10000.000000000004</v>
      </c>
      <c r="J362" s="92"/>
      <c r="K362" s="92"/>
      <c r="L362" s="92"/>
      <c r="M362" s="92" t="s">
        <v>71</v>
      </c>
      <c r="N362" s="102"/>
      <c r="O362" s="102"/>
      <c r="P362" s="102"/>
      <c r="Q362" s="102"/>
      <c r="R362" s="102"/>
    </row>
    <row r="363" spans="1:18" ht="35.1" customHeight="1" x14ac:dyDescent="0.2">
      <c r="A363" s="99"/>
      <c r="B363" s="99"/>
      <c r="C363" s="92"/>
      <c r="D363" s="92"/>
      <c r="E363" s="92">
        <v>7500</v>
      </c>
      <c r="F363" s="97">
        <v>0</v>
      </c>
      <c r="G363" s="97">
        <f>IF(E356=0,0,(E363/E356)*G356)</f>
        <v>2444.9338779418626</v>
      </c>
      <c r="H363" s="97">
        <f>IF(E356=0,0,(E363/E356)*H356)</f>
        <v>3272.5392555501776</v>
      </c>
      <c r="I363" s="97">
        <f>IF(E356=0,0,(E363/E356)*I356)</f>
        <v>1782.5268665079602</v>
      </c>
      <c r="J363" s="92"/>
      <c r="K363" s="96">
        <f>F362</f>
        <v>7500.0000000000027</v>
      </c>
      <c r="L363" s="96">
        <v>7500</v>
      </c>
      <c r="M363" s="100">
        <f>IF(L363=0,0,(K363-L363)/L363)</f>
        <v>3.6379788070917131E-16</v>
      </c>
      <c r="N363" s="102"/>
      <c r="O363" s="102"/>
      <c r="P363" s="102"/>
      <c r="Q363" s="102"/>
      <c r="R363" s="102"/>
    </row>
    <row r="364" spans="1:18" ht="35.1" customHeight="1" x14ac:dyDescent="0.2">
      <c r="A364" s="99"/>
      <c r="B364" s="99"/>
      <c r="C364" s="92"/>
      <c r="D364" s="92"/>
      <c r="E364" s="92">
        <v>12500</v>
      </c>
      <c r="F364" s="97">
        <f>IF(E357=0,0,(E364/E357)*F357)</f>
        <v>2444.9338779418626</v>
      </c>
      <c r="G364" s="97">
        <v>0</v>
      </c>
      <c r="H364" s="97">
        <f>IF(E357=0,0,(E364/E357)*H357)</f>
        <v>6782.5268665079529</v>
      </c>
      <c r="I364" s="97">
        <f>IF(E357=0,0,(E364/E357)*I357)</f>
        <v>3272.5392555501844</v>
      </c>
      <c r="J364" s="92"/>
      <c r="K364" s="96">
        <f>G362</f>
        <v>12500.000000000011</v>
      </c>
      <c r="L364" s="96">
        <v>12500</v>
      </c>
      <c r="M364" s="100">
        <f>IF(L364=0,0,(K364-L364)/L364)</f>
        <v>8.7311491370201113E-16</v>
      </c>
      <c r="N364" s="102"/>
      <c r="O364" s="102"/>
      <c r="P364" s="102"/>
      <c r="Q364" s="102"/>
      <c r="R364" s="102"/>
    </row>
    <row r="365" spans="1:18" ht="35.1" customHeight="1" x14ac:dyDescent="0.2">
      <c r="A365" s="99"/>
      <c r="B365" s="99"/>
      <c r="C365" s="92"/>
      <c r="D365" s="92"/>
      <c r="E365" s="92">
        <v>15000</v>
      </c>
      <c r="F365" s="97">
        <f>IF(E358=0,0,(E365/E358)*F358)</f>
        <v>3272.5392555501794</v>
      </c>
      <c r="G365" s="97">
        <f>IF(E358=0,0,(E365/E358)*G358)</f>
        <v>6782.526866507962</v>
      </c>
      <c r="H365" s="97">
        <v>0</v>
      </c>
      <c r="I365" s="97">
        <f>IF(E358=0,0,(E365/E358)*I358)</f>
        <v>4944.9338779418604</v>
      </c>
      <c r="J365" s="92"/>
      <c r="K365" s="96">
        <f>H362</f>
        <v>14999.999999999985</v>
      </c>
      <c r="L365" s="96">
        <v>15000</v>
      </c>
      <c r="M365" s="100">
        <f>IF(L365=0,0,(K365-L365)/L365)</f>
        <v>-9.701276818911235E-16</v>
      </c>
      <c r="N365" s="102"/>
      <c r="O365" s="102"/>
      <c r="P365" s="102"/>
      <c r="Q365" s="102"/>
      <c r="R365" s="102"/>
    </row>
    <row r="366" spans="1:18" ht="35.1" customHeight="1" x14ac:dyDescent="0.2">
      <c r="A366" s="99"/>
      <c r="B366" s="99"/>
      <c r="C366" s="92"/>
      <c r="D366" s="92"/>
      <c r="E366" s="92">
        <v>10000</v>
      </c>
      <c r="F366" s="97">
        <f>IF(E359=0,0,(E366/E359)*F359)</f>
        <v>1782.5268665079609</v>
      </c>
      <c r="G366" s="97">
        <f>IF(E359=0,0,(E366/E359)*G359)</f>
        <v>3272.5392555501862</v>
      </c>
      <c r="H366" s="97">
        <f>IF(E359=0,0,(E366/E359)*H359)</f>
        <v>4944.9338779418531</v>
      </c>
      <c r="I366" s="97">
        <v>0</v>
      </c>
      <c r="J366" s="92"/>
      <c r="K366" s="96">
        <f>I362</f>
        <v>10000.000000000004</v>
      </c>
      <c r="L366" s="96">
        <v>10000</v>
      </c>
      <c r="M366" s="100">
        <f>IF(L366=0,0,(K366-L366)/L366)</f>
        <v>3.6379788070917131E-16</v>
      </c>
      <c r="N366" s="102"/>
      <c r="O366" s="102"/>
      <c r="P366" s="102"/>
      <c r="Q366" s="102"/>
      <c r="R366" s="102"/>
    </row>
    <row r="367" spans="1:18" ht="35.1" customHeight="1" x14ac:dyDescent="0.2">
      <c r="A367" s="99"/>
      <c r="B367" s="99"/>
      <c r="C367" s="92"/>
      <c r="D367" s="92"/>
      <c r="E367" s="92"/>
      <c r="F367" s="99"/>
      <c r="G367" s="99"/>
      <c r="H367" s="99"/>
      <c r="I367" s="99"/>
      <c r="J367" s="92"/>
      <c r="K367" s="92">
        <f>SUM(K363:K366)</f>
        <v>45000</v>
      </c>
      <c r="L367" s="92">
        <f>SUM(L363:L366)</f>
        <v>45000</v>
      </c>
      <c r="M367" s="100"/>
      <c r="N367" s="102"/>
      <c r="O367" s="102"/>
      <c r="P367" s="102"/>
      <c r="Q367" s="102"/>
      <c r="R367" s="102"/>
    </row>
    <row r="368" spans="1:18" ht="35.1" customHeight="1" x14ac:dyDescent="0.2">
      <c r="A368" s="99"/>
      <c r="B368" s="99"/>
      <c r="C368" s="92" t="s">
        <v>72</v>
      </c>
      <c r="D368" s="92"/>
      <c r="E368" s="92"/>
      <c r="F368" s="92"/>
      <c r="G368" s="92"/>
      <c r="H368" s="92"/>
      <c r="I368" s="92"/>
      <c r="J368" s="92"/>
      <c r="K368" s="92"/>
      <c r="L368" s="92"/>
      <c r="M368" s="92"/>
      <c r="N368" s="102"/>
      <c r="O368" s="102"/>
      <c r="P368" s="102"/>
      <c r="Q368" s="102"/>
      <c r="R368" s="102"/>
    </row>
    <row r="369" spans="1:18" ht="35.1" customHeight="1" x14ac:dyDescent="0.2">
      <c r="A369" s="99"/>
      <c r="B369" s="99"/>
      <c r="C369" s="92"/>
      <c r="D369" s="92"/>
      <c r="E369" s="92"/>
      <c r="F369" s="96">
        <v>7500</v>
      </c>
      <c r="G369" s="96">
        <v>12500</v>
      </c>
      <c r="H369" s="96">
        <v>15000</v>
      </c>
      <c r="I369" s="96">
        <v>10000</v>
      </c>
      <c r="J369" s="92"/>
      <c r="K369" s="92"/>
      <c r="L369" s="92"/>
      <c r="M369" s="92" t="s">
        <v>71</v>
      </c>
      <c r="N369" s="102"/>
      <c r="O369" s="102"/>
      <c r="P369" s="102"/>
      <c r="Q369" s="102"/>
      <c r="R369" s="102"/>
    </row>
    <row r="370" spans="1:18" ht="35.1" customHeight="1" x14ac:dyDescent="0.2">
      <c r="A370" s="99"/>
      <c r="B370" s="99"/>
      <c r="C370" s="92"/>
      <c r="D370" s="92"/>
      <c r="E370" s="96">
        <f>SUM(F370:I370)</f>
        <v>7500</v>
      </c>
      <c r="F370" s="101">
        <v>0</v>
      </c>
      <c r="G370" s="101">
        <f>IF(G362=0,0,(G369/G362)*G363)</f>
        <v>2444.9338779418604</v>
      </c>
      <c r="H370" s="101">
        <f>IF(H362=0,0,(H369/H362)*H363)</f>
        <v>3272.5392555501803</v>
      </c>
      <c r="I370" s="101">
        <f>IF(I362=0,0,(I369/I362)*I363)</f>
        <v>1782.5268665079595</v>
      </c>
      <c r="J370" s="92"/>
      <c r="K370" s="96">
        <f>E370</f>
        <v>7500</v>
      </c>
      <c r="L370" s="92">
        <v>7500</v>
      </c>
      <c r="M370" s="100">
        <f>IF(L370=0,0,(K370-L370)/L370)</f>
        <v>0</v>
      </c>
      <c r="N370" s="102"/>
      <c r="O370" s="102"/>
      <c r="P370" s="102"/>
      <c r="Q370" s="102"/>
      <c r="R370" s="102"/>
    </row>
    <row r="371" spans="1:18" ht="35.1" customHeight="1" x14ac:dyDescent="0.2">
      <c r="A371" s="99"/>
      <c r="B371" s="99"/>
      <c r="C371" s="92"/>
      <c r="D371" s="92"/>
      <c r="E371" s="96">
        <f>SUM(F371:I371)</f>
        <v>12500.000000000005</v>
      </c>
      <c r="F371" s="101">
        <f>IF(F362=0,0,(F369/F362)*F364)</f>
        <v>2444.9338779418617</v>
      </c>
      <c r="G371" s="101">
        <v>0</v>
      </c>
      <c r="H371" s="101">
        <f>IF(H362=0,0,(H369/H362)*H364)</f>
        <v>6782.5268665079593</v>
      </c>
      <c r="I371" s="101">
        <f>IF(I362=0,0,(I369/I362)*I364)</f>
        <v>3272.5392555501835</v>
      </c>
      <c r="J371" s="92"/>
      <c r="K371" s="96">
        <f>E371</f>
        <v>12500.000000000005</v>
      </c>
      <c r="L371" s="92">
        <v>12500</v>
      </c>
      <c r="M371" s="100">
        <f>IF(L371=0,0,(K371-L371)/L371)</f>
        <v>4.3655745685100557E-16</v>
      </c>
      <c r="N371" s="102"/>
      <c r="O371" s="102"/>
      <c r="P371" s="102"/>
      <c r="Q371" s="102"/>
      <c r="R371" s="102"/>
    </row>
    <row r="372" spans="1:18" ht="35.1" customHeight="1" x14ac:dyDescent="0.2">
      <c r="A372" s="99"/>
      <c r="B372" s="99"/>
      <c r="C372" s="92"/>
      <c r="D372" s="92"/>
      <c r="E372" s="96">
        <f>SUM(F372:I372)</f>
        <v>14999.999999999993</v>
      </c>
      <c r="F372" s="101">
        <f>IF(F362=0,0,(F369/F362)*F365)</f>
        <v>3272.5392555501785</v>
      </c>
      <c r="G372" s="101">
        <f>IF(G362=0,0,(G369/G362)*G365)</f>
        <v>6782.5268665079557</v>
      </c>
      <c r="H372" s="101">
        <v>0</v>
      </c>
      <c r="I372" s="101">
        <f>IF(I362=0,0,(I369/I362)*I365)</f>
        <v>4944.9338779418586</v>
      </c>
      <c r="J372" s="92"/>
      <c r="K372" s="96">
        <f>E372</f>
        <v>14999.999999999993</v>
      </c>
      <c r="L372" s="92">
        <v>15000</v>
      </c>
      <c r="M372" s="100">
        <f>IF(L372=0,0,(K372-L372)/L372)</f>
        <v>-4.8506384094556175E-16</v>
      </c>
      <c r="N372" s="102"/>
      <c r="O372" s="102"/>
      <c r="P372" s="102"/>
      <c r="Q372" s="102"/>
      <c r="R372" s="102"/>
    </row>
    <row r="373" spans="1:18" ht="35.1" customHeight="1" x14ac:dyDescent="0.2">
      <c r="A373" s="99"/>
      <c r="B373" s="99"/>
      <c r="C373" s="92"/>
      <c r="D373" s="92"/>
      <c r="E373" s="96">
        <f>SUM(F373:I373)</f>
        <v>10000.000000000002</v>
      </c>
      <c r="F373" s="101">
        <f>IF(F362=0,0,(F369/F362)*F366)</f>
        <v>1782.5268665079602</v>
      </c>
      <c r="G373" s="101">
        <f>IF(G362=0,0,(G369/G362)*G366)</f>
        <v>3272.5392555501835</v>
      </c>
      <c r="H373" s="101">
        <f>IF(H362=0,0,(H369/H362)*H366)</f>
        <v>4944.9338779418576</v>
      </c>
      <c r="I373" s="101">
        <v>0</v>
      </c>
      <c r="J373" s="92"/>
      <c r="K373" s="96">
        <f>E373</f>
        <v>10000.000000000002</v>
      </c>
      <c r="L373" s="92">
        <v>10000</v>
      </c>
      <c r="M373" s="100">
        <f>IF(L373=0,0,(K373-L373)/L373)</f>
        <v>1.8189894035458566E-16</v>
      </c>
      <c r="N373" s="102"/>
      <c r="O373" s="102"/>
      <c r="P373" s="102"/>
      <c r="Q373" s="102"/>
      <c r="R373" s="102"/>
    </row>
    <row r="374" spans="1:18" ht="35.1" customHeight="1" x14ac:dyDescent="0.2">
      <c r="A374" s="99"/>
      <c r="B374" s="99"/>
      <c r="C374" s="92"/>
      <c r="D374" s="92"/>
      <c r="E374" s="92"/>
      <c r="F374" s="92"/>
      <c r="G374" s="92"/>
      <c r="H374" s="92"/>
      <c r="I374" s="92"/>
      <c r="J374" s="92"/>
      <c r="K374" s="92">
        <f>SUM(K370:K373)</f>
        <v>45000</v>
      </c>
      <c r="L374" s="92">
        <f>SUM(L370:L373)</f>
        <v>45000</v>
      </c>
      <c r="M374" s="100"/>
      <c r="N374" s="102"/>
      <c r="O374" s="102"/>
      <c r="P374" s="102"/>
      <c r="Q374" s="102"/>
      <c r="R374" s="102"/>
    </row>
    <row r="375" spans="1:18" ht="35.1" customHeight="1" x14ac:dyDescent="0.2">
      <c r="A375" s="99"/>
      <c r="B375" s="99"/>
      <c r="C375" s="92" t="s">
        <v>70</v>
      </c>
      <c r="D375" s="92"/>
      <c r="E375" s="92"/>
      <c r="F375" s="92"/>
      <c r="G375" s="92"/>
      <c r="H375" s="92"/>
      <c r="I375" s="92"/>
      <c r="J375" s="92"/>
      <c r="K375" s="92"/>
      <c r="L375" s="92"/>
      <c r="M375" s="92"/>
      <c r="N375" s="102"/>
      <c r="O375" s="102"/>
      <c r="P375" s="102"/>
      <c r="Q375" s="102"/>
      <c r="R375" s="102"/>
    </row>
    <row r="376" spans="1:18" ht="35.1" customHeight="1" x14ac:dyDescent="0.2">
      <c r="A376" s="99"/>
      <c r="B376" s="99"/>
      <c r="C376" s="92"/>
      <c r="D376" s="92"/>
      <c r="E376" s="92"/>
      <c r="F376" s="96">
        <f>SUM(F377:F380)</f>
        <v>7500</v>
      </c>
      <c r="G376" s="96">
        <f>SUM(G377:G380)</f>
        <v>12500</v>
      </c>
      <c r="H376" s="96">
        <f>SUM(H377:H380)</f>
        <v>14999.999999999993</v>
      </c>
      <c r="I376" s="96">
        <f>SUM(I377:I380)</f>
        <v>10000.000000000002</v>
      </c>
      <c r="J376" s="92"/>
      <c r="K376" s="92"/>
      <c r="L376" s="92"/>
      <c r="M376" s="92" t="s">
        <v>71</v>
      </c>
      <c r="N376" s="102"/>
      <c r="O376" s="102"/>
      <c r="P376" s="102"/>
      <c r="Q376" s="102"/>
      <c r="R376" s="102"/>
    </row>
    <row r="377" spans="1:18" ht="35.1" customHeight="1" x14ac:dyDescent="0.2">
      <c r="A377" s="99"/>
      <c r="B377" s="99"/>
      <c r="C377" s="92"/>
      <c r="D377" s="92"/>
      <c r="E377" s="92">
        <v>7500</v>
      </c>
      <c r="F377" s="97">
        <v>0</v>
      </c>
      <c r="G377" s="97">
        <f>IF(E370=0,0,(E377/E370)*G370)</f>
        <v>2444.9338779418604</v>
      </c>
      <c r="H377" s="97">
        <f>IF(E370=0,0,(E377/E370)*H370)</f>
        <v>3272.5392555501803</v>
      </c>
      <c r="I377" s="97">
        <f>IF(E370=0,0,(E377/E370)*I370)</f>
        <v>1782.5268665079595</v>
      </c>
      <c r="J377" s="92"/>
      <c r="K377" s="96">
        <f>F376</f>
        <v>7500</v>
      </c>
      <c r="L377" s="96">
        <v>7500</v>
      </c>
      <c r="M377" s="100">
        <f>IF(L377=0,0,(K377-L377)/L377)</f>
        <v>0</v>
      </c>
      <c r="N377" s="102"/>
      <c r="O377" s="102"/>
      <c r="P377" s="102"/>
      <c r="Q377" s="102"/>
      <c r="R377" s="102"/>
    </row>
    <row r="378" spans="1:18" ht="35.1" customHeight="1" x14ac:dyDescent="0.2">
      <c r="A378" s="99"/>
      <c r="B378" s="99"/>
      <c r="C378" s="92"/>
      <c r="D378" s="92"/>
      <c r="E378" s="92">
        <v>12500</v>
      </c>
      <c r="F378" s="97">
        <f>IF(E371=0,0,(E378/E371)*F371)</f>
        <v>2444.9338779418608</v>
      </c>
      <c r="G378" s="97">
        <v>0</v>
      </c>
      <c r="H378" s="97">
        <f>IF(E371=0,0,(E378/E371)*H371)</f>
        <v>6782.5268665079566</v>
      </c>
      <c r="I378" s="97">
        <f>IF(E371=0,0,(E378/E371)*I371)</f>
        <v>3272.5392555501821</v>
      </c>
      <c r="J378" s="92"/>
      <c r="K378" s="96">
        <f>G376</f>
        <v>12500</v>
      </c>
      <c r="L378" s="96">
        <v>12500</v>
      </c>
      <c r="M378" s="100">
        <f>IF(L378=0,0,(K378-L378)/L378)</f>
        <v>0</v>
      </c>
      <c r="N378" s="102"/>
      <c r="O378" s="102"/>
      <c r="P378" s="102"/>
      <c r="Q378" s="102"/>
      <c r="R378" s="102"/>
    </row>
    <row r="379" spans="1:18" ht="35.1" customHeight="1" x14ac:dyDescent="0.2">
      <c r="A379" s="99"/>
      <c r="B379" s="99"/>
      <c r="C379" s="92"/>
      <c r="D379" s="92"/>
      <c r="E379" s="92">
        <v>15000</v>
      </c>
      <c r="F379" s="97">
        <f>IF(E372=0,0,(E379/E372)*F372)</f>
        <v>3272.5392555501799</v>
      </c>
      <c r="G379" s="97">
        <f>IF(E372=0,0,(E379/E372)*G372)</f>
        <v>6782.5268665079584</v>
      </c>
      <c r="H379" s="97">
        <v>0</v>
      </c>
      <c r="I379" s="97">
        <f>IF(E372=0,0,(E379/E372)*I372)</f>
        <v>4944.9338779418604</v>
      </c>
      <c r="J379" s="92"/>
      <c r="K379" s="96">
        <f>H376</f>
        <v>14999.999999999993</v>
      </c>
      <c r="L379" s="96">
        <v>15000</v>
      </c>
      <c r="M379" s="100">
        <f>IF(L379=0,0,(K379-L379)/L379)</f>
        <v>-4.8506384094556175E-16</v>
      </c>
      <c r="N379" s="102"/>
      <c r="O379" s="102"/>
      <c r="P379" s="102"/>
      <c r="Q379" s="102"/>
      <c r="R379" s="102"/>
    </row>
    <row r="380" spans="1:18" ht="35.1" customHeight="1" x14ac:dyDescent="0.2">
      <c r="A380" s="99"/>
      <c r="B380" s="99"/>
      <c r="C380" s="92"/>
      <c r="D380" s="92"/>
      <c r="E380" s="92">
        <v>10000</v>
      </c>
      <c r="F380" s="97">
        <f>IF(E373=0,0,(E380/E373)*F373)</f>
        <v>1782.5268665079598</v>
      </c>
      <c r="G380" s="97">
        <f>IF(E373=0,0,(E380/E373)*G373)</f>
        <v>3272.5392555501826</v>
      </c>
      <c r="H380" s="97">
        <f>IF(E373=0,0,(E380/E373)*H373)</f>
        <v>4944.9338779418567</v>
      </c>
      <c r="I380" s="97">
        <v>0</v>
      </c>
      <c r="J380" s="92"/>
      <c r="K380" s="96">
        <f>I376</f>
        <v>10000.000000000002</v>
      </c>
      <c r="L380" s="96">
        <v>10000</v>
      </c>
      <c r="M380" s="100">
        <f>IF(L380=0,0,(K380-L380)/L380)</f>
        <v>1.8189894035458566E-16</v>
      </c>
      <c r="N380" s="102"/>
      <c r="O380" s="102"/>
      <c r="P380" s="102"/>
      <c r="Q380" s="102"/>
      <c r="R380" s="102"/>
    </row>
    <row r="381" spans="1:18" ht="35.1" customHeight="1" x14ac:dyDescent="0.2">
      <c r="A381" s="99"/>
      <c r="B381" s="99"/>
      <c r="C381" s="92"/>
      <c r="D381" s="92"/>
      <c r="E381" s="92"/>
      <c r="F381" s="99"/>
      <c r="G381" s="99"/>
      <c r="H381" s="99"/>
      <c r="I381" s="99"/>
      <c r="J381" s="92"/>
      <c r="K381" s="92">
        <f>SUM(K377:K380)</f>
        <v>44999.999999999993</v>
      </c>
      <c r="L381" s="92">
        <f>SUM(L377:L380)</f>
        <v>45000</v>
      </c>
      <c r="M381" s="100"/>
      <c r="N381" s="102"/>
      <c r="O381" s="102"/>
      <c r="P381" s="102"/>
      <c r="Q381" s="102"/>
      <c r="R381" s="102"/>
    </row>
    <row r="382" spans="1:18" ht="35.1" customHeight="1" x14ac:dyDescent="0.2">
      <c r="A382" s="99"/>
      <c r="B382" s="99"/>
      <c r="C382" s="92" t="s">
        <v>72</v>
      </c>
      <c r="D382" s="92"/>
      <c r="E382" s="92"/>
      <c r="F382" s="92"/>
      <c r="G382" s="92"/>
      <c r="H382" s="92"/>
      <c r="I382" s="92"/>
      <c r="J382" s="92"/>
      <c r="K382" s="92"/>
      <c r="L382" s="92"/>
      <c r="M382" s="92"/>
      <c r="N382" s="102"/>
      <c r="O382" s="102"/>
      <c r="P382" s="102"/>
      <c r="Q382" s="102"/>
      <c r="R382" s="102"/>
    </row>
    <row r="383" spans="1:18" ht="35.1" customHeight="1" x14ac:dyDescent="0.2">
      <c r="A383" s="99"/>
      <c r="B383" s="99"/>
      <c r="C383" s="92"/>
      <c r="D383" s="92"/>
      <c r="E383" s="92"/>
      <c r="F383" s="96">
        <v>7500</v>
      </c>
      <c r="G383" s="96">
        <v>12500</v>
      </c>
      <c r="H383" s="96">
        <v>15000</v>
      </c>
      <c r="I383" s="96">
        <v>10000</v>
      </c>
      <c r="J383" s="92"/>
      <c r="K383" s="92"/>
      <c r="L383" s="92"/>
      <c r="M383" s="92" t="s">
        <v>71</v>
      </c>
      <c r="N383" s="102"/>
      <c r="O383" s="102"/>
      <c r="P383" s="102"/>
      <c r="Q383" s="102"/>
      <c r="R383" s="102"/>
    </row>
    <row r="384" spans="1:18" ht="35.1" customHeight="1" x14ac:dyDescent="0.2">
      <c r="A384" s="99"/>
      <c r="B384" s="99"/>
      <c r="C384" s="92"/>
      <c r="D384" s="92"/>
      <c r="E384" s="96">
        <f>SUM(F384:I384)</f>
        <v>7500.0000000000009</v>
      </c>
      <c r="F384" s="101">
        <v>0</v>
      </c>
      <c r="G384" s="101">
        <f>IF(G376=0,0,(G383/G376)*G377)</f>
        <v>2444.9338779418604</v>
      </c>
      <c r="H384" s="101">
        <f>IF(H376=0,0,(H383/H376)*H377)</f>
        <v>3272.5392555501817</v>
      </c>
      <c r="I384" s="101">
        <f>IF(I376=0,0,(I383/I376)*I377)</f>
        <v>1782.5268665079591</v>
      </c>
      <c r="J384" s="92"/>
      <c r="K384" s="96">
        <f>E384</f>
        <v>7500.0000000000009</v>
      </c>
      <c r="L384" s="92">
        <v>7500</v>
      </c>
      <c r="M384" s="100">
        <f>IF(L384=0,0,(K384-L384)/L384)</f>
        <v>1.2126596023639044E-16</v>
      </c>
      <c r="N384" s="102"/>
      <c r="O384" s="102"/>
      <c r="P384" s="102"/>
      <c r="Q384" s="102"/>
      <c r="R384" s="102"/>
    </row>
    <row r="385" spans="1:18" ht="35.1" customHeight="1" x14ac:dyDescent="0.2">
      <c r="A385" s="99"/>
      <c r="B385" s="99"/>
      <c r="C385" s="92"/>
      <c r="D385" s="92"/>
      <c r="E385" s="96">
        <f>SUM(F385:I385)</f>
        <v>12500</v>
      </c>
      <c r="F385" s="101">
        <f>IF(F376=0,0,(F383/F376)*F378)</f>
        <v>2444.9338779418608</v>
      </c>
      <c r="G385" s="101">
        <v>0</v>
      </c>
      <c r="H385" s="101">
        <f>IF(H376=0,0,(H383/H376)*H378)</f>
        <v>6782.5268665079593</v>
      </c>
      <c r="I385" s="101">
        <f>IF(I376=0,0,(I383/I376)*I378)</f>
        <v>3272.5392555501812</v>
      </c>
      <c r="J385" s="92"/>
      <c r="K385" s="96">
        <f>E385</f>
        <v>12500</v>
      </c>
      <c r="L385" s="92">
        <v>12500</v>
      </c>
      <c r="M385" s="100">
        <f>IF(L385=0,0,(K385-L385)/L385)</f>
        <v>0</v>
      </c>
      <c r="N385" s="102"/>
      <c r="O385" s="102"/>
      <c r="P385" s="102"/>
      <c r="Q385" s="102"/>
      <c r="R385" s="102"/>
    </row>
    <row r="386" spans="1:18" ht="35.1" customHeight="1" x14ac:dyDescent="0.2">
      <c r="A386" s="99"/>
      <c r="B386" s="99"/>
      <c r="C386" s="92"/>
      <c r="D386" s="92"/>
      <c r="E386" s="96">
        <f>SUM(F386:I386)</f>
        <v>14999.999999999998</v>
      </c>
      <c r="F386" s="101">
        <f>IF(F376=0,0,(F383/F376)*F379)</f>
        <v>3272.5392555501799</v>
      </c>
      <c r="G386" s="101">
        <f>IF(G376=0,0,(G383/G376)*G379)</f>
        <v>6782.5268665079584</v>
      </c>
      <c r="H386" s="101">
        <v>0</v>
      </c>
      <c r="I386" s="101">
        <f>IF(I376=0,0,(I383/I376)*I379)</f>
        <v>4944.9338779418595</v>
      </c>
      <c r="J386" s="92"/>
      <c r="K386" s="96">
        <f>E386</f>
        <v>14999.999999999998</v>
      </c>
      <c r="L386" s="92">
        <v>15000</v>
      </c>
      <c r="M386" s="100">
        <f>IF(L386=0,0,(K386-L386)/L386)</f>
        <v>-1.2126596023639044E-16</v>
      </c>
      <c r="N386" s="102"/>
      <c r="O386" s="102"/>
      <c r="P386" s="102"/>
      <c r="Q386" s="102"/>
      <c r="R386" s="102"/>
    </row>
    <row r="387" spans="1:18" ht="35.1" customHeight="1" x14ac:dyDescent="0.2">
      <c r="A387" s="99"/>
      <c r="B387" s="99"/>
      <c r="C387" s="92"/>
      <c r="D387" s="92"/>
      <c r="E387" s="96">
        <f>SUM(F387:I387)</f>
        <v>10000</v>
      </c>
      <c r="F387" s="101">
        <f>IF(F376=0,0,(F383/F376)*F380)</f>
        <v>1782.5268665079598</v>
      </c>
      <c r="G387" s="101">
        <f>IF(G376=0,0,(G383/G376)*G380)</f>
        <v>3272.5392555501826</v>
      </c>
      <c r="H387" s="101">
        <f>IF(H376=0,0,(H383/H376)*H380)</f>
        <v>4944.9338779418586</v>
      </c>
      <c r="I387" s="101">
        <v>0</v>
      </c>
      <c r="J387" s="92"/>
      <c r="K387" s="96">
        <f>E387</f>
        <v>10000</v>
      </c>
      <c r="L387" s="92">
        <v>10000</v>
      </c>
      <c r="M387" s="100">
        <f>IF(L387=0,0,(K387-L387)/L387)</f>
        <v>0</v>
      </c>
      <c r="N387" s="102"/>
      <c r="O387" s="102"/>
      <c r="P387" s="102"/>
      <c r="Q387" s="102"/>
      <c r="R387" s="102"/>
    </row>
    <row r="388" spans="1:18" ht="35.1" customHeight="1" x14ac:dyDescent="0.2">
      <c r="A388" s="99"/>
      <c r="B388" s="99"/>
      <c r="C388" s="92"/>
      <c r="D388" s="92"/>
      <c r="E388" s="92"/>
      <c r="F388" s="92"/>
      <c r="G388" s="92"/>
      <c r="H388" s="92"/>
      <c r="I388" s="92"/>
      <c r="J388" s="92"/>
      <c r="K388" s="92">
        <f>SUM(K384:K387)</f>
        <v>45000</v>
      </c>
      <c r="L388" s="92">
        <f>SUM(L384:L387)</f>
        <v>45000</v>
      </c>
      <c r="M388" s="100"/>
      <c r="N388" s="102"/>
      <c r="O388" s="102"/>
      <c r="P388" s="102"/>
      <c r="Q388" s="102"/>
      <c r="R388" s="102"/>
    </row>
    <row r="389" spans="1:18" ht="35.1" customHeight="1" x14ac:dyDescent="0.2">
      <c r="A389" s="99"/>
      <c r="B389" s="99"/>
      <c r="C389" s="92" t="s">
        <v>70</v>
      </c>
      <c r="D389" s="92"/>
      <c r="E389" s="92"/>
      <c r="F389" s="92"/>
      <c r="G389" s="92"/>
      <c r="H389" s="92"/>
      <c r="I389" s="92"/>
      <c r="J389" s="92"/>
      <c r="K389" s="92"/>
      <c r="L389" s="92"/>
      <c r="M389" s="92"/>
      <c r="N389" s="102"/>
      <c r="O389" s="102"/>
      <c r="P389" s="102"/>
      <c r="Q389" s="102"/>
      <c r="R389" s="102"/>
    </row>
    <row r="390" spans="1:18" ht="35.1" customHeight="1" x14ac:dyDescent="0.2">
      <c r="A390" s="99"/>
      <c r="B390" s="99"/>
      <c r="C390" s="92"/>
      <c r="D390" s="92"/>
      <c r="E390" s="92"/>
      <c r="F390" s="96">
        <f>SUM(F391:F394)</f>
        <v>7500.0000000000018</v>
      </c>
      <c r="G390" s="96">
        <f>SUM(G391:G394)</f>
        <v>12500.000000000002</v>
      </c>
      <c r="H390" s="96">
        <f>SUM(H391:H394)</f>
        <v>15000</v>
      </c>
      <c r="I390" s="96">
        <f>SUM(I391:I394)</f>
        <v>10000</v>
      </c>
      <c r="J390" s="92"/>
      <c r="K390" s="92"/>
      <c r="L390" s="92"/>
      <c r="M390" s="92" t="s">
        <v>71</v>
      </c>
      <c r="N390" s="102"/>
      <c r="O390" s="102"/>
      <c r="P390" s="102"/>
      <c r="Q390" s="102"/>
      <c r="R390" s="102"/>
    </row>
    <row r="391" spans="1:18" ht="35.1" customHeight="1" x14ac:dyDescent="0.2">
      <c r="A391" s="99"/>
      <c r="B391" s="99"/>
      <c r="C391" s="92"/>
      <c r="D391" s="92"/>
      <c r="E391" s="92">
        <v>7500</v>
      </c>
      <c r="F391" s="97">
        <v>0</v>
      </c>
      <c r="G391" s="97">
        <f>IF(E384=0,0,(E391/E384)*G384)</f>
        <v>2444.9338779418599</v>
      </c>
      <c r="H391" s="97">
        <f>IF(E384=0,0,(E391/E384)*H384)</f>
        <v>3272.5392555501812</v>
      </c>
      <c r="I391" s="97">
        <f>IF(E384=0,0,(E391/E384)*I384)</f>
        <v>1782.5268665079589</v>
      </c>
      <c r="J391" s="92"/>
      <c r="K391" s="96">
        <f>F390</f>
        <v>7500.0000000000018</v>
      </c>
      <c r="L391" s="96">
        <v>7500</v>
      </c>
      <c r="M391" s="100">
        <f>IF(L391=0,0,(K391-L391)/L391)</f>
        <v>2.4253192047278088E-16</v>
      </c>
      <c r="N391" s="102"/>
      <c r="O391" s="102"/>
      <c r="P391" s="102"/>
      <c r="Q391" s="102"/>
      <c r="R391" s="102"/>
    </row>
    <row r="392" spans="1:18" ht="35.1" customHeight="1" x14ac:dyDescent="0.2">
      <c r="A392" s="99"/>
      <c r="B392" s="99"/>
      <c r="C392" s="92"/>
      <c r="D392" s="92"/>
      <c r="E392" s="92">
        <v>12500</v>
      </c>
      <c r="F392" s="97">
        <f>IF(E385=0,0,(E392/E385)*F385)</f>
        <v>2444.9338779418608</v>
      </c>
      <c r="G392" s="97">
        <v>0</v>
      </c>
      <c r="H392" s="97">
        <f>IF(E385=0,0,(E392/E385)*H385)</f>
        <v>6782.5268665079593</v>
      </c>
      <c r="I392" s="97">
        <f>IF(E385=0,0,(E392/E385)*I385)</f>
        <v>3272.5392555501812</v>
      </c>
      <c r="J392" s="92"/>
      <c r="K392" s="96">
        <f>G390</f>
        <v>12500.000000000002</v>
      </c>
      <c r="L392" s="96">
        <v>12500</v>
      </c>
      <c r="M392" s="100">
        <f>IF(L392=0,0,(K392-L392)/L392)</f>
        <v>1.4551915228366853E-16</v>
      </c>
      <c r="N392" s="102"/>
      <c r="O392" s="102"/>
      <c r="P392" s="102"/>
      <c r="Q392" s="102"/>
      <c r="R392" s="102"/>
    </row>
    <row r="393" spans="1:18" ht="35.1" customHeight="1" x14ac:dyDescent="0.2">
      <c r="A393" s="99"/>
      <c r="B393" s="99"/>
      <c r="C393" s="92"/>
      <c r="D393" s="92"/>
      <c r="E393" s="92">
        <v>15000</v>
      </c>
      <c r="F393" s="97">
        <f>IF(E386=0,0,(E393/E386)*F386)</f>
        <v>3272.5392555501808</v>
      </c>
      <c r="G393" s="97">
        <f>IF(E386=0,0,(E393/E386)*G386)</f>
        <v>6782.5268665079602</v>
      </c>
      <c r="H393" s="97">
        <v>0</v>
      </c>
      <c r="I393" s="97">
        <f>IF(E386=0,0,(E393/E386)*I386)</f>
        <v>4944.9338779418604</v>
      </c>
      <c r="J393" s="92"/>
      <c r="K393" s="96">
        <f>H390</f>
        <v>15000</v>
      </c>
      <c r="L393" s="96">
        <v>15000</v>
      </c>
      <c r="M393" s="100">
        <f>IF(L393=0,0,(K393-L393)/L393)</f>
        <v>0</v>
      </c>
      <c r="N393" s="102"/>
      <c r="O393" s="102"/>
      <c r="P393" s="102"/>
      <c r="Q393" s="102"/>
      <c r="R393" s="102"/>
    </row>
    <row r="394" spans="1:18" ht="35.1" customHeight="1" x14ac:dyDescent="0.2">
      <c r="A394" s="99"/>
      <c r="B394" s="99"/>
      <c r="C394" s="92"/>
      <c r="D394" s="92"/>
      <c r="E394" s="92">
        <v>10000</v>
      </c>
      <c r="F394" s="97">
        <f>IF(E387=0,0,(E394/E387)*F387)</f>
        <v>1782.5268665079598</v>
      </c>
      <c r="G394" s="97">
        <f>IF(E387=0,0,(E394/E387)*G387)</f>
        <v>3272.5392555501826</v>
      </c>
      <c r="H394" s="97">
        <f>IF(E387=0,0,(E394/E387)*H387)</f>
        <v>4944.9338779418586</v>
      </c>
      <c r="I394" s="97">
        <v>0</v>
      </c>
      <c r="J394" s="92"/>
      <c r="K394" s="96">
        <f>I390</f>
        <v>10000</v>
      </c>
      <c r="L394" s="96">
        <v>10000</v>
      </c>
      <c r="M394" s="100">
        <f>IF(L394=0,0,(K394-L394)/L394)</f>
        <v>0</v>
      </c>
      <c r="N394" s="102"/>
      <c r="O394" s="102"/>
      <c r="P394" s="102"/>
      <c r="Q394" s="102"/>
      <c r="R394" s="102"/>
    </row>
    <row r="395" spans="1:18" ht="35.1" customHeight="1" x14ac:dyDescent="0.2">
      <c r="A395" s="99"/>
      <c r="B395" s="99"/>
      <c r="C395" s="92"/>
      <c r="D395" s="92"/>
      <c r="E395" s="92"/>
      <c r="F395" s="99"/>
      <c r="G395" s="99"/>
      <c r="H395" s="99"/>
      <c r="I395" s="99"/>
      <c r="J395" s="92"/>
      <c r="K395" s="92">
        <f>SUM(K391:K394)</f>
        <v>45000</v>
      </c>
      <c r="L395" s="92">
        <f>SUM(L391:L394)</f>
        <v>45000</v>
      </c>
      <c r="M395" s="100"/>
      <c r="N395" s="102"/>
      <c r="O395" s="102"/>
      <c r="P395" s="102"/>
      <c r="Q395" s="102"/>
      <c r="R395" s="102"/>
    </row>
    <row r="396" spans="1:18" ht="35.1" customHeight="1" x14ac:dyDescent="0.2">
      <c r="A396" s="99"/>
      <c r="B396" s="99"/>
      <c r="C396" s="92" t="s">
        <v>72</v>
      </c>
      <c r="D396" s="92"/>
      <c r="E396" s="92"/>
      <c r="F396" s="92"/>
      <c r="G396" s="92"/>
      <c r="H396" s="92"/>
      <c r="I396" s="92"/>
      <c r="J396" s="92"/>
      <c r="K396" s="92"/>
      <c r="L396" s="92"/>
      <c r="M396" s="92"/>
      <c r="N396" s="102"/>
      <c r="O396" s="102"/>
      <c r="P396" s="102"/>
      <c r="Q396" s="102"/>
      <c r="R396" s="102"/>
    </row>
    <row r="397" spans="1:18" ht="35.1" customHeight="1" x14ac:dyDescent="0.2">
      <c r="A397" s="99"/>
      <c r="B397" s="99"/>
      <c r="C397" s="92"/>
      <c r="D397" s="92"/>
      <c r="E397" s="92"/>
      <c r="F397" s="96">
        <v>7500</v>
      </c>
      <c r="G397" s="96">
        <v>12500</v>
      </c>
      <c r="H397" s="96">
        <v>15000</v>
      </c>
      <c r="I397" s="96">
        <v>10000</v>
      </c>
      <c r="J397" s="92"/>
      <c r="K397" s="92"/>
      <c r="L397" s="92"/>
      <c r="M397" s="92" t="s">
        <v>71</v>
      </c>
      <c r="N397" s="102"/>
      <c r="O397" s="102"/>
      <c r="P397" s="102"/>
      <c r="Q397" s="102"/>
      <c r="R397" s="102"/>
    </row>
    <row r="398" spans="1:18" ht="35.1" customHeight="1" x14ac:dyDescent="0.2">
      <c r="A398" s="99"/>
      <c r="B398" s="99"/>
      <c r="C398" s="92"/>
      <c r="D398" s="92"/>
      <c r="E398" s="96">
        <f>SUM(F398:I398)</f>
        <v>7500</v>
      </c>
      <c r="F398" s="101">
        <v>0</v>
      </c>
      <c r="G398" s="101">
        <f>IF(G390=0,0,(G397/G390)*G391)</f>
        <v>2444.9338779418595</v>
      </c>
      <c r="H398" s="101">
        <f>IF(H390=0,0,(H397/H390)*H391)</f>
        <v>3272.5392555501812</v>
      </c>
      <c r="I398" s="101">
        <f>IF(I390=0,0,(I397/I390)*I391)</f>
        <v>1782.5268665079589</v>
      </c>
      <c r="J398" s="92"/>
      <c r="K398" s="96">
        <f>E398</f>
        <v>7500</v>
      </c>
      <c r="L398" s="92">
        <v>7500</v>
      </c>
      <c r="M398" s="100">
        <f>IF(L398=0,0,(K398-L398)/L398)</f>
        <v>0</v>
      </c>
      <c r="N398" s="102"/>
      <c r="O398" s="102"/>
      <c r="P398" s="102"/>
      <c r="Q398" s="102"/>
      <c r="R398" s="102"/>
    </row>
    <row r="399" spans="1:18" ht="35.1" customHeight="1" x14ac:dyDescent="0.2">
      <c r="A399" s="99"/>
      <c r="B399" s="99"/>
      <c r="C399" s="92"/>
      <c r="D399" s="92"/>
      <c r="E399" s="96">
        <f>SUM(F399:I399)</f>
        <v>12500</v>
      </c>
      <c r="F399" s="101">
        <f>IF(F390=0,0,(F397/F390)*F392)</f>
        <v>2444.9338779418604</v>
      </c>
      <c r="G399" s="101">
        <v>0</v>
      </c>
      <c r="H399" s="101">
        <f>IF(H390=0,0,(H397/H390)*H392)</f>
        <v>6782.5268665079593</v>
      </c>
      <c r="I399" s="101">
        <f>IF(I390=0,0,(I397/I390)*I392)</f>
        <v>3272.5392555501812</v>
      </c>
      <c r="J399" s="92"/>
      <c r="K399" s="96">
        <f>E399</f>
        <v>12500</v>
      </c>
      <c r="L399" s="92">
        <v>12500</v>
      </c>
      <c r="M399" s="100">
        <f>IF(L399=0,0,(K399-L399)/L399)</f>
        <v>0</v>
      </c>
      <c r="N399" s="102"/>
      <c r="O399" s="102"/>
      <c r="P399" s="102"/>
      <c r="Q399" s="102"/>
      <c r="R399" s="102"/>
    </row>
    <row r="400" spans="1:18" ht="35.1" customHeight="1" x14ac:dyDescent="0.2">
      <c r="A400" s="99"/>
      <c r="B400" s="99"/>
      <c r="C400" s="92"/>
      <c r="D400" s="92"/>
      <c r="E400" s="96">
        <f>SUM(F400:I400)</f>
        <v>15000</v>
      </c>
      <c r="F400" s="101">
        <f>IF(F390=0,0,(F397/F390)*F393)</f>
        <v>3272.5392555501799</v>
      </c>
      <c r="G400" s="101">
        <f>IF(G390=0,0,(G397/G390)*G393)</f>
        <v>6782.5268665079593</v>
      </c>
      <c r="H400" s="101">
        <v>0</v>
      </c>
      <c r="I400" s="101">
        <f>IF(I390=0,0,(I397/I390)*I393)</f>
        <v>4944.9338779418604</v>
      </c>
      <c r="J400" s="92"/>
      <c r="K400" s="96">
        <f>E400</f>
        <v>15000</v>
      </c>
      <c r="L400" s="92">
        <v>15000</v>
      </c>
      <c r="M400" s="100">
        <f>IF(L400=0,0,(K400-L400)/L400)</f>
        <v>0</v>
      </c>
      <c r="N400" s="102"/>
      <c r="O400" s="102"/>
      <c r="P400" s="102"/>
      <c r="Q400" s="102"/>
      <c r="R400" s="102"/>
    </row>
    <row r="401" spans="1:18" ht="35.1" customHeight="1" x14ac:dyDescent="0.2">
      <c r="A401" s="99"/>
      <c r="B401" s="99"/>
      <c r="C401" s="92"/>
      <c r="D401" s="92"/>
      <c r="E401" s="96">
        <f>SUM(F401:I401)</f>
        <v>10000</v>
      </c>
      <c r="F401" s="101">
        <f>IF(F390=0,0,(F397/F390)*F394)</f>
        <v>1782.5268665079593</v>
      </c>
      <c r="G401" s="101">
        <f>IF(G390=0,0,(G397/G390)*G394)</f>
        <v>3272.5392555501821</v>
      </c>
      <c r="H401" s="101">
        <f>IF(H390=0,0,(H397/H390)*H394)</f>
        <v>4944.9338779418586</v>
      </c>
      <c r="I401" s="101">
        <v>0</v>
      </c>
      <c r="J401" s="92"/>
      <c r="K401" s="96">
        <f>E401</f>
        <v>10000</v>
      </c>
      <c r="L401" s="92">
        <v>10000</v>
      </c>
      <c r="M401" s="100">
        <f>IF(L401=0,0,(K401-L401)/L401)</f>
        <v>0</v>
      </c>
      <c r="N401" s="102"/>
      <c r="O401" s="102"/>
      <c r="P401" s="102"/>
      <c r="Q401" s="102"/>
      <c r="R401" s="102"/>
    </row>
    <row r="402" spans="1:18" ht="35.1" customHeight="1" x14ac:dyDescent="0.2">
      <c r="A402" s="99"/>
      <c r="B402" s="99"/>
      <c r="C402" s="92"/>
      <c r="D402" s="92"/>
      <c r="E402" s="92"/>
      <c r="F402" s="92"/>
      <c r="G402" s="92"/>
      <c r="H402" s="92"/>
      <c r="I402" s="92"/>
      <c r="J402" s="92"/>
      <c r="K402" s="92">
        <f>SUM(K398:K401)</f>
        <v>45000</v>
      </c>
      <c r="L402" s="92">
        <f>SUM(L398:L401)</f>
        <v>45000</v>
      </c>
      <c r="M402" s="100"/>
      <c r="N402" s="102"/>
      <c r="O402" s="102"/>
      <c r="P402" s="102"/>
      <c r="Q402" s="102"/>
      <c r="R402" s="102"/>
    </row>
    <row r="403" spans="1:18" ht="35.1" customHeight="1" x14ac:dyDescent="0.2">
      <c r="A403" s="99"/>
      <c r="B403" s="99"/>
      <c r="C403" s="92" t="s">
        <v>70</v>
      </c>
      <c r="D403" s="92"/>
      <c r="E403" s="92"/>
      <c r="F403" s="92"/>
      <c r="G403" s="92"/>
      <c r="H403" s="92"/>
      <c r="I403" s="92"/>
      <c r="J403" s="92"/>
      <c r="K403" s="92"/>
      <c r="L403" s="92"/>
      <c r="M403" s="92"/>
      <c r="N403" s="102"/>
      <c r="O403" s="102"/>
      <c r="P403" s="102"/>
      <c r="Q403" s="102"/>
      <c r="R403" s="102"/>
    </row>
    <row r="404" spans="1:18" ht="35.1" customHeight="1" x14ac:dyDescent="0.2">
      <c r="A404" s="99"/>
      <c r="B404" s="99"/>
      <c r="C404" s="92"/>
      <c r="D404" s="92"/>
      <c r="E404" s="92"/>
      <c r="F404" s="96">
        <f>SUM(F405:F408)</f>
        <v>7499.9999999999991</v>
      </c>
      <c r="G404" s="96">
        <f>SUM(G405:G408)</f>
        <v>12500</v>
      </c>
      <c r="H404" s="96">
        <f>SUM(H405:H408)</f>
        <v>15000</v>
      </c>
      <c r="I404" s="96">
        <f>SUM(I405:I408)</f>
        <v>10000</v>
      </c>
      <c r="J404" s="92"/>
      <c r="K404" s="92"/>
      <c r="L404" s="92"/>
      <c r="M404" s="92" t="s">
        <v>71</v>
      </c>
      <c r="N404" s="102"/>
      <c r="O404" s="102"/>
      <c r="P404" s="102"/>
      <c r="Q404" s="102"/>
      <c r="R404" s="102"/>
    </row>
    <row r="405" spans="1:18" ht="35.1" customHeight="1" x14ac:dyDescent="0.2">
      <c r="A405" s="99"/>
      <c r="B405" s="99"/>
      <c r="C405" s="92"/>
      <c r="D405" s="92"/>
      <c r="E405" s="92">
        <v>7500</v>
      </c>
      <c r="F405" s="97">
        <v>0</v>
      </c>
      <c r="G405" s="97">
        <f>IF(E398=0,0,(E405/E398)*G398)</f>
        <v>2444.9338779418595</v>
      </c>
      <c r="H405" s="97">
        <f>IF(E398=0,0,(E405/E398)*H398)</f>
        <v>3272.5392555501812</v>
      </c>
      <c r="I405" s="97">
        <f>IF(E398=0,0,(E405/E398)*I398)</f>
        <v>1782.5268665079589</v>
      </c>
      <c r="J405" s="92"/>
      <c r="K405" s="96">
        <f>F404</f>
        <v>7499.9999999999991</v>
      </c>
      <c r="L405" s="96">
        <v>7500</v>
      </c>
      <c r="M405" s="100">
        <f>IF(L405=0,0,(K405-L405)/L405)</f>
        <v>-1.2126596023639044E-16</v>
      </c>
      <c r="N405" s="102"/>
      <c r="O405" s="102"/>
      <c r="P405" s="102"/>
      <c r="Q405" s="102"/>
      <c r="R405" s="102"/>
    </row>
    <row r="406" spans="1:18" ht="35.1" customHeight="1" x14ac:dyDescent="0.2">
      <c r="A406" s="99"/>
      <c r="B406" s="99"/>
      <c r="C406" s="92"/>
      <c r="D406" s="92"/>
      <c r="E406" s="92">
        <v>12500</v>
      </c>
      <c r="F406" s="97">
        <f>IF(E399=0,0,(E406/E399)*F399)</f>
        <v>2444.9338779418604</v>
      </c>
      <c r="G406" s="97">
        <v>0</v>
      </c>
      <c r="H406" s="97">
        <f>IF(E399=0,0,(E406/E399)*H399)</f>
        <v>6782.5268665079593</v>
      </c>
      <c r="I406" s="97">
        <f>IF(E399=0,0,(E406/E399)*I399)</f>
        <v>3272.5392555501812</v>
      </c>
      <c r="J406" s="92"/>
      <c r="K406" s="96">
        <f>G404</f>
        <v>12500</v>
      </c>
      <c r="L406" s="96">
        <v>12500</v>
      </c>
      <c r="M406" s="100">
        <f>IF(L406=0,0,(K406-L406)/L406)</f>
        <v>0</v>
      </c>
      <c r="N406" s="102"/>
      <c r="O406" s="102"/>
      <c r="P406" s="102"/>
      <c r="Q406" s="102"/>
      <c r="R406" s="102"/>
    </row>
    <row r="407" spans="1:18" ht="35.1" customHeight="1" x14ac:dyDescent="0.2">
      <c r="A407" s="99"/>
      <c r="B407" s="99"/>
      <c r="C407" s="92"/>
      <c r="D407" s="92"/>
      <c r="E407" s="92">
        <v>15000</v>
      </c>
      <c r="F407" s="97">
        <f>IF(E400=0,0,(E407/E400)*F400)</f>
        <v>3272.5392555501799</v>
      </c>
      <c r="G407" s="97">
        <f>IF(E400=0,0,(E407/E400)*G400)</f>
        <v>6782.5268665079593</v>
      </c>
      <c r="H407" s="97">
        <v>0</v>
      </c>
      <c r="I407" s="97">
        <f>IF(E400=0,0,(E407/E400)*I400)</f>
        <v>4944.9338779418604</v>
      </c>
      <c r="J407" s="92"/>
      <c r="K407" s="96">
        <f>H404</f>
        <v>15000</v>
      </c>
      <c r="L407" s="96">
        <v>15000</v>
      </c>
      <c r="M407" s="100">
        <f>IF(L407=0,0,(K407-L407)/L407)</f>
        <v>0</v>
      </c>
      <c r="N407" s="102"/>
      <c r="O407" s="102"/>
      <c r="P407" s="102"/>
      <c r="Q407" s="102"/>
      <c r="R407" s="102"/>
    </row>
    <row r="408" spans="1:18" ht="35.1" customHeight="1" x14ac:dyDescent="0.2">
      <c r="A408" s="99"/>
      <c r="B408" s="99"/>
      <c r="C408" s="92"/>
      <c r="D408" s="92"/>
      <c r="E408" s="92">
        <v>10000</v>
      </c>
      <c r="F408" s="97">
        <f>IF(E401=0,0,(E408/E401)*F401)</f>
        <v>1782.5268665079593</v>
      </c>
      <c r="G408" s="97">
        <f>IF(E401=0,0,(E408/E401)*G401)</f>
        <v>3272.5392555501821</v>
      </c>
      <c r="H408" s="97">
        <f>IF(E401=0,0,(E408/E401)*H401)</f>
        <v>4944.9338779418586</v>
      </c>
      <c r="I408" s="97">
        <v>0</v>
      </c>
      <c r="J408" s="92"/>
      <c r="K408" s="96">
        <f>I404</f>
        <v>10000</v>
      </c>
      <c r="L408" s="96">
        <v>10000</v>
      </c>
      <c r="M408" s="100">
        <f>IF(L408=0,0,(K408-L408)/L408)</f>
        <v>0</v>
      </c>
      <c r="N408" s="102"/>
      <c r="O408" s="102"/>
      <c r="P408" s="102"/>
      <c r="Q408" s="102"/>
      <c r="R408" s="102"/>
    </row>
    <row r="409" spans="1:18" ht="35.1" customHeight="1" x14ac:dyDescent="0.2">
      <c r="A409" s="99"/>
      <c r="B409" s="99"/>
      <c r="C409" s="92"/>
      <c r="D409" s="92"/>
      <c r="E409" s="92"/>
      <c r="F409" s="99"/>
      <c r="G409" s="99"/>
      <c r="H409" s="99"/>
      <c r="I409" s="99"/>
      <c r="J409" s="92"/>
      <c r="K409" s="92">
        <f>SUM(K405:K408)</f>
        <v>45000</v>
      </c>
      <c r="L409" s="92">
        <f>SUM(L405:L408)</f>
        <v>45000</v>
      </c>
      <c r="M409" s="100"/>
      <c r="N409" s="102"/>
      <c r="O409" s="102"/>
      <c r="P409" s="102"/>
      <c r="Q409" s="102"/>
      <c r="R409" s="102"/>
    </row>
    <row r="410" spans="1:18" ht="35.1" customHeight="1" x14ac:dyDescent="0.2">
      <c r="A410" s="99"/>
      <c r="B410" s="99"/>
      <c r="C410" s="92" t="s">
        <v>72</v>
      </c>
      <c r="D410" s="92"/>
      <c r="E410" s="92"/>
      <c r="F410" s="92"/>
      <c r="G410" s="92"/>
      <c r="H410" s="92"/>
      <c r="I410" s="92"/>
      <c r="J410" s="92"/>
      <c r="K410" s="92"/>
      <c r="L410" s="92"/>
      <c r="M410" s="92"/>
      <c r="N410" s="102"/>
      <c r="O410" s="102"/>
      <c r="P410" s="102"/>
      <c r="Q410" s="102"/>
      <c r="R410" s="102"/>
    </row>
    <row r="411" spans="1:18" ht="35.1" customHeight="1" x14ac:dyDescent="0.2">
      <c r="A411" s="99"/>
      <c r="B411" s="99"/>
      <c r="C411" s="92"/>
      <c r="D411" s="92"/>
      <c r="E411" s="92"/>
      <c r="F411" s="96">
        <v>7500</v>
      </c>
      <c r="G411" s="96">
        <v>12500</v>
      </c>
      <c r="H411" s="96">
        <v>15000</v>
      </c>
      <c r="I411" s="96">
        <v>10000</v>
      </c>
      <c r="J411" s="92"/>
      <c r="K411" s="92"/>
      <c r="L411" s="92"/>
      <c r="M411" s="92" t="s">
        <v>71</v>
      </c>
      <c r="N411" s="102"/>
      <c r="O411" s="102"/>
      <c r="P411" s="102"/>
      <c r="Q411" s="102"/>
      <c r="R411" s="102"/>
    </row>
    <row r="412" spans="1:18" ht="35.1" customHeight="1" x14ac:dyDescent="0.2">
      <c r="A412" s="99"/>
      <c r="B412" s="99"/>
      <c r="C412" s="92"/>
      <c r="D412" s="92"/>
      <c r="E412" s="96">
        <f>SUM(F412:I412)</f>
        <v>7500</v>
      </c>
      <c r="F412" s="101">
        <v>0</v>
      </c>
      <c r="G412" s="101">
        <f>IF(G404=0,0,(G411/G404)*G405)</f>
        <v>2444.9338779418595</v>
      </c>
      <c r="H412" s="101">
        <f>IF(H404=0,0,(H411/H404)*H405)</f>
        <v>3272.5392555501812</v>
      </c>
      <c r="I412" s="101">
        <f>IF(I404=0,0,(I411/I404)*I405)</f>
        <v>1782.5268665079589</v>
      </c>
      <c r="J412" s="92"/>
      <c r="K412" s="96">
        <f>E412</f>
        <v>7500</v>
      </c>
      <c r="L412" s="92">
        <v>7500</v>
      </c>
      <c r="M412" s="100">
        <f>IF(L412=0,0,(K412-L412)/L412)</f>
        <v>0</v>
      </c>
      <c r="N412" s="102"/>
      <c r="O412" s="102"/>
      <c r="P412" s="102"/>
      <c r="Q412" s="102"/>
      <c r="R412" s="102"/>
    </row>
    <row r="413" spans="1:18" ht="35.1" customHeight="1" x14ac:dyDescent="0.2">
      <c r="A413" s="99"/>
      <c r="B413" s="99"/>
      <c r="C413" s="92"/>
      <c r="D413" s="92"/>
      <c r="E413" s="96">
        <f>SUM(F413:I413)</f>
        <v>12500</v>
      </c>
      <c r="F413" s="101">
        <f>IF(F404=0,0,(F411/F404)*F406)</f>
        <v>2444.9338779418608</v>
      </c>
      <c r="G413" s="101">
        <v>0</v>
      </c>
      <c r="H413" s="101">
        <f>IF(H404=0,0,(H411/H404)*H406)</f>
        <v>6782.5268665079593</v>
      </c>
      <c r="I413" s="101">
        <f>IF(I404=0,0,(I411/I404)*I406)</f>
        <v>3272.5392555501812</v>
      </c>
      <c r="J413" s="92"/>
      <c r="K413" s="96">
        <f>E413</f>
        <v>12500</v>
      </c>
      <c r="L413" s="92">
        <v>12500</v>
      </c>
      <c r="M413" s="100">
        <f>IF(L413=0,0,(K413-L413)/L413)</f>
        <v>0</v>
      </c>
      <c r="N413" s="102"/>
      <c r="O413" s="102"/>
      <c r="P413" s="102"/>
      <c r="Q413" s="102"/>
      <c r="R413" s="102"/>
    </row>
    <row r="414" spans="1:18" ht="35.1" customHeight="1" x14ac:dyDescent="0.2">
      <c r="A414" s="99"/>
      <c r="B414" s="99"/>
      <c r="C414" s="92"/>
      <c r="D414" s="92"/>
      <c r="E414" s="96">
        <f>SUM(F414:I414)</f>
        <v>15000</v>
      </c>
      <c r="F414" s="101">
        <f>IF(F404=0,0,(F411/F404)*F407)</f>
        <v>3272.5392555501808</v>
      </c>
      <c r="G414" s="101">
        <f>IF(G404=0,0,(G411/G404)*G407)</f>
        <v>6782.5268665079593</v>
      </c>
      <c r="H414" s="101">
        <v>0</v>
      </c>
      <c r="I414" s="101">
        <f>IF(I404=0,0,(I411/I404)*I407)</f>
        <v>4944.9338779418604</v>
      </c>
      <c r="J414" s="92"/>
      <c r="K414" s="96">
        <f>E414</f>
        <v>15000</v>
      </c>
      <c r="L414" s="92">
        <v>15000</v>
      </c>
      <c r="M414" s="100">
        <f>IF(L414=0,0,(K414-L414)/L414)</f>
        <v>0</v>
      </c>
      <c r="N414" s="102"/>
      <c r="O414" s="102"/>
      <c r="P414" s="102"/>
      <c r="Q414" s="102"/>
      <c r="R414" s="102"/>
    </row>
    <row r="415" spans="1:18" ht="35.1" customHeight="1" x14ac:dyDescent="0.2">
      <c r="A415" s="99"/>
      <c r="B415" s="99"/>
      <c r="C415" s="92"/>
      <c r="D415" s="92"/>
      <c r="E415" s="96">
        <f>SUM(F415:I415)</f>
        <v>10000</v>
      </c>
      <c r="F415" s="101">
        <f>IF(F404=0,0,(F411/F404)*F408)</f>
        <v>1782.5268665079598</v>
      </c>
      <c r="G415" s="101">
        <f>IF(G404=0,0,(G411/G404)*G408)</f>
        <v>3272.5392555501821</v>
      </c>
      <c r="H415" s="101">
        <f>IF(H404=0,0,(H411/H404)*H408)</f>
        <v>4944.9338779418586</v>
      </c>
      <c r="I415" s="101">
        <v>0</v>
      </c>
      <c r="J415" s="92"/>
      <c r="K415" s="96">
        <f>E415</f>
        <v>10000</v>
      </c>
      <c r="L415" s="92">
        <v>10000</v>
      </c>
      <c r="M415" s="100">
        <f>IF(L415=0,0,(K415-L415)/L415)</f>
        <v>0</v>
      </c>
      <c r="N415" s="102"/>
      <c r="O415" s="102"/>
      <c r="P415" s="102"/>
      <c r="Q415" s="102"/>
      <c r="R415" s="102"/>
    </row>
    <row r="416" spans="1:18" ht="35.1" customHeight="1" x14ac:dyDescent="0.2">
      <c r="A416" s="99"/>
      <c r="B416" s="99"/>
      <c r="C416" s="92"/>
      <c r="D416" s="92"/>
      <c r="E416" s="92"/>
      <c r="F416" s="92"/>
      <c r="G416" s="92"/>
      <c r="H416" s="92"/>
      <c r="I416" s="92"/>
      <c r="J416" s="92"/>
      <c r="K416" s="92">
        <f>SUM(K412:K415)</f>
        <v>45000</v>
      </c>
      <c r="L416" s="92">
        <f>SUM(L412:L415)</f>
        <v>45000</v>
      </c>
      <c r="M416" s="100"/>
      <c r="N416" s="102"/>
      <c r="O416" s="102"/>
      <c r="P416" s="102"/>
      <c r="Q416" s="102"/>
      <c r="R416" s="102"/>
    </row>
    <row r="417" spans="1:18" ht="35.1" customHeight="1" x14ac:dyDescent="0.2">
      <c r="A417" s="99"/>
      <c r="B417" s="99"/>
      <c r="C417" s="92" t="s">
        <v>70</v>
      </c>
      <c r="D417" s="92"/>
      <c r="E417" s="92"/>
      <c r="F417" s="92"/>
      <c r="G417" s="92"/>
      <c r="H417" s="92"/>
      <c r="I417" s="92"/>
      <c r="J417" s="92"/>
      <c r="K417" s="92"/>
      <c r="L417" s="92"/>
      <c r="M417" s="92"/>
      <c r="N417" s="102"/>
      <c r="O417" s="102"/>
      <c r="P417" s="102"/>
      <c r="Q417" s="102"/>
      <c r="R417" s="102"/>
    </row>
    <row r="418" spans="1:18" ht="35.1" customHeight="1" x14ac:dyDescent="0.2">
      <c r="A418" s="99"/>
      <c r="B418" s="99"/>
      <c r="C418" s="92"/>
      <c r="D418" s="92"/>
      <c r="E418" s="92"/>
      <c r="F418" s="96">
        <f>SUM(F419:F422)</f>
        <v>7500.0000000000018</v>
      </c>
      <c r="G418" s="96">
        <f>SUM(G419:G422)</f>
        <v>12500</v>
      </c>
      <c r="H418" s="96">
        <f>SUM(H419:H422)</f>
        <v>15000</v>
      </c>
      <c r="I418" s="96">
        <f>SUM(I419:I422)</f>
        <v>10000</v>
      </c>
      <c r="J418" s="92"/>
      <c r="K418" s="92"/>
      <c r="L418" s="92"/>
      <c r="M418" s="92" t="s">
        <v>71</v>
      </c>
      <c r="N418" s="102"/>
      <c r="O418" s="102"/>
      <c r="P418" s="102"/>
      <c r="Q418" s="102"/>
      <c r="R418" s="102"/>
    </row>
    <row r="419" spans="1:18" ht="35.1" customHeight="1" x14ac:dyDescent="0.2">
      <c r="A419" s="99"/>
      <c r="B419" s="99"/>
      <c r="C419" s="92"/>
      <c r="D419" s="92"/>
      <c r="E419" s="92">
        <v>7500</v>
      </c>
      <c r="F419" s="97">
        <v>0</v>
      </c>
      <c r="G419" s="97">
        <f>IF(E412=0,0,(E419/E412)*G412)</f>
        <v>2444.9338779418595</v>
      </c>
      <c r="H419" s="97">
        <f>IF(E412=0,0,(E419/E412)*H412)</f>
        <v>3272.5392555501812</v>
      </c>
      <c r="I419" s="97">
        <f>IF(E412=0,0,(E419/E412)*I412)</f>
        <v>1782.5268665079589</v>
      </c>
      <c r="J419" s="92"/>
      <c r="K419" s="96">
        <f>F418</f>
        <v>7500.0000000000018</v>
      </c>
      <c r="L419" s="96">
        <v>7500</v>
      </c>
      <c r="M419" s="100">
        <f>IF(L419=0,0,(K419-L419)/L419)</f>
        <v>2.4253192047278088E-16</v>
      </c>
      <c r="N419" s="102"/>
      <c r="O419" s="102"/>
      <c r="P419" s="102"/>
      <c r="Q419" s="102"/>
      <c r="R419" s="102"/>
    </row>
    <row r="420" spans="1:18" ht="35.1" customHeight="1" x14ac:dyDescent="0.2">
      <c r="A420" s="99"/>
      <c r="B420" s="99"/>
      <c r="C420" s="92"/>
      <c r="D420" s="92"/>
      <c r="E420" s="92">
        <v>12500</v>
      </c>
      <c r="F420" s="97">
        <f>IF(E413=0,0,(E420/E413)*F413)</f>
        <v>2444.9338779418608</v>
      </c>
      <c r="G420" s="97">
        <v>0</v>
      </c>
      <c r="H420" s="97">
        <f>IF(E413=0,0,(E420/E413)*H413)</f>
        <v>6782.5268665079593</v>
      </c>
      <c r="I420" s="97">
        <f>IF(E413=0,0,(E420/E413)*I413)</f>
        <v>3272.5392555501812</v>
      </c>
      <c r="J420" s="92"/>
      <c r="K420" s="96">
        <f>G418</f>
        <v>12500</v>
      </c>
      <c r="L420" s="96">
        <v>12500</v>
      </c>
      <c r="M420" s="100">
        <f>IF(L420=0,0,(K420-L420)/L420)</f>
        <v>0</v>
      </c>
      <c r="N420" s="102"/>
      <c r="O420" s="102"/>
      <c r="P420" s="102"/>
      <c r="Q420" s="102"/>
      <c r="R420" s="102"/>
    </row>
    <row r="421" spans="1:18" ht="35.1" customHeight="1" x14ac:dyDescent="0.2">
      <c r="A421" s="99"/>
      <c r="B421" s="99"/>
      <c r="C421" s="92"/>
      <c r="D421" s="92"/>
      <c r="E421" s="92">
        <v>15000</v>
      </c>
      <c r="F421" s="97">
        <f>IF(E414=0,0,(E421/E414)*F414)</f>
        <v>3272.5392555501808</v>
      </c>
      <c r="G421" s="97">
        <f>IF(E414=0,0,(E421/E414)*G414)</f>
        <v>6782.5268665079593</v>
      </c>
      <c r="H421" s="97">
        <v>0</v>
      </c>
      <c r="I421" s="97">
        <f>IF(E414=0,0,(E421/E414)*I414)</f>
        <v>4944.9338779418604</v>
      </c>
      <c r="J421" s="92"/>
      <c r="K421" s="96">
        <f>H418</f>
        <v>15000</v>
      </c>
      <c r="L421" s="96">
        <v>15000</v>
      </c>
      <c r="M421" s="100">
        <f>IF(L421=0,0,(K421-L421)/L421)</f>
        <v>0</v>
      </c>
      <c r="N421" s="102"/>
      <c r="O421" s="102"/>
      <c r="P421" s="102"/>
      <c r="Q421" s="102"/>
      <c r="R421" s="102"/>
    </row>
    <row r="422" spans="1:18" ht="35.1" customHeight="1" x14ac:dyDescent="0.2">
      <c r="A422" s="99"/>
      <c r="B422" s="99"/>
      <c r="C422" s="92"/>
      <c r="D422" s="92"/>
      <c r="E422" s="92">
        <v>10000</v>
      </c>
      <c r="F422" s="97">
        <f>IF(E415=0,0,(E422/E415)*F415)</f>
        <v>1782.5268665079598</v>
      </c>
      <c r="G422" s="97">
        <f>IF(E415=0,0,(E422/E415)*G415)</f>
        <v>3272.5392555501821</v>
      </c>
      <c r="H422" s="97">
        <f>IF(E415=0,0,(E422/E415)*H415)</f>
        <v>4944.9338779418586</v>
      </c>
      <c r="I422" s="97">
        <v>0</v>
      </c>
      <c r="J422" s="92"/>
      <c r="K422" s="96">
        <f>I418</f>
        <v>10000</v>
      </c>
      <c r="L422" s="96">
        <v>10000</v>
      </c>
      <c r="M422" s="100">
        <f>IF(L422=0,0,(K422-L422)/L422)</f>
        <v>0</v>
      </c>
      <c r="N422" s="102"/>
      <c r="O422" s="102"/>
      <c r="P422" s="102"/>
      <c r="Q422" s="102"/>
      <c r="R422" s="102"/>
    </row>
    <row r="423" spans="1:18" ht="35.1" customHeight="1" x14ac:dyDescent="0.2">
      <c r="A423" s="99"/>
      <c r="B423" s="99"/>
      <c r="C423" s="92"/>
      <c r="D423" s="92"/>
      <c r="E423" s="92"/>
      <c r="F423" s="99"/>
      <c r="G423" s="99"/>
      <c r="H423" s="99"/>
      <c r="I423" s="99"/>
      <c r="J423" s="92"/>
      <c r="K423" s="92">
        <f>SUM(K419:K422)</f>
        <v>45000</v>
      </c>
      <c r="L423" s="92">
        <f>SUM(L419:L422)</f>
        <v>45000</v>
      </c>
      <c r="M423" s="100"/>
      <c r="N423" s="102"/>
      <c r="O423" s="102"/>
      <c r="P423" s="102"/>
      <c r="Q423" s="102"/>
      <c r="R423" s="102"/>
    </row>
    <row r="424" spans="1:18" ht="35.1" customHeight="1" x14ac:dyDescent="0.2">
      <c r="A424" s="99"/>
      <c r="B424" s="99"/>
      <c r="C424" s="92" t="s">
        <v>72</v>
      </c>
      <c r="D424" s="92"/>
      <c r="E424" s="92"/>
      <c r="F424" s="92"/>
      <c r="G424" s="92"/>
      <c r="H424" s="92"/>
      <c r="I424" s="92"/>
      <c r="J424" s="92"/>
      <c r="K424" s="92"/>
      <c r="L424" s="92"/>
      <c r="M424" s="92"/>
      <c r="N424" s="102"/>
      <c r="O424" s="102"/>
      <c r="P424" s="102"/>
      <c r="Q424" s="102"/>
      <c r="R424" s="102"/>
    </row>
    <row r="425" spans="1:18" ht="35.1" customHeight="1" x14ac:dyDescent="0.2">
      <c r="A425" s="99"/>
      <c r="B425" s="99"/>
      <c r="C425" s="92"/>
      <c r="D425" s="92"/>
      <c r="E425" s="92"/>
      <c r="F425" s="96">
        <v>7500</v>
      </c>
      <c r="G425" s="96">
        <v>12500</v>
      </c>
      <c r="H425" s="96">
        <v>15000</v>
      </c>
      <c r="I425" s="96">
        <v>10000</v>
      </c>
      <c r="J425" s="92"/>
      <c r="K425" s="92"/>
      <c r="L425" s="92"/>
      <c r="M425" s="92" t="s">
        <v>71</v>
      </c>
      <c r="N425" s="102"/>
      <c r="O425" s="102"/>
      <c r="P425" s="102"/>
      <c r="Q425" s="102"/>
      <c r="R425" s="102"/>
    </row>
    <row r="426" spans="1:18" ht="35.1" customHeight="1" x14ac:dyDescent="0.2">
      <c r="A426" s="99"/>
      <c r="B426" s="99"/>
      <c r="C426" s="92"/>
      <c r="D426" s="92"/>
      <c r="E426" s="96">
        <f>SUM(F426:I426)</f>
        <v>7500</v>
      </c>
      <c r="F426" s="101">
        <v>0</v>
      </c>
      <c r="G426" s="101">
        <f>IF(G418=0,0,(G425/G418)*G419)</f>
        <v>2444.9338779418595</v>
      </c>
      <c r="H426" s="101">
        <f>IF(H418=0,0,(H425/H418)*H419)</f>
        <v>3272.5392555501812</v>
      </c>
      <c r="I426" s="101">
        <f>IF(I418=0,0,(I425/I418)*I419)</f>
        <v>1782.5268665079589</v>
      </c>
      <c r="J426" s="92"/>
      <c r="K426" s="96">
        <f>E426</f>
        <v>7500</v>
      </c>
      <c r="L426" s="92">
        <v>7500</v>
      </c>
      <c r="M426" s="100">
        <f>IF(L426=0,0,(K426-L426)/L426)</f>
        <v>0</v>
      </c>
      <c r="N426" s="102"/>
      <c r="O426" s="102"/>
      <c r="P426" s="102"/>
      <c r="Q426" s="102"/>
      <c r="R426" s="102"/>
    </row>
    <row r="427" spans="1:18" ht="35.1" customHeight="1" x14ac:dyDescent="0.2">
      <c r="A427" s="99"/>
      <c r="B427" s="99"/>
      <c r="C427" s="92"/>
      <c r="D427" s="92"/>
      <c r="E427" s="96">
        <f>SUM(F427:I427)</f>
        <v>12500</v>
      </c>
      <c r="F427" s="101">
        <f>IF(F418=0,0,(F425/F418)*F420)</f>
        <v>2444.9338779418604</v>
      </c>
      <c r="G427" s="101">
        <v>0</v>
      </c>
      <c r="H427" s="101">
        <f>IF(H418=0,0,(H425/H418)*H420)</f>
        <v>6782.5268665079593</v>
      </c>
      <c r="I427" s="101">
        <f>IF(I418=0,0,(I425/I418)*I420)</f>
        <v>3272.5392555501812</v>
      </c>
      <c r="J427" s="92"/>
      <c r="K427" s="96">
        <f>E427</f>
        <v>12500</v>
      </c>
      <c r="L427" s="92">
        <v>12500</v>
      </c>
      <c r="M427" s="100">
        <f>IF(L427=0,0,(K427-L427)/L427)</f>
        <v>0</v>
      </c>
      <c r="N427" s="102"/>
      <c r="O427" s="102"/>
      <c r="P427" s="102"/>
      <c r="Q427" s="102"/>
      <c r="R427" s="102"/>
    </row>
    <row r="428" spans="1:18" ht="35.1" customHeight="1" x14ac:dyDescent="0.2">
      <c r="A428" s="99"/>
      <c r="B428" s="99"/>
      <c r="C428" s="92"/>
      <c r="D428" s="92"/>
      <c r="E428" s="96">
        <f>SUM(F428:I428)</f>
        <v>15000</v>
      </c>
      <c r="F428" s="101">
        <f>IF(F418=0,0,(F425/F418)*F421)</f>
        <v>3272.5392555501799</v>
      </c>
      <c r="G428" s="101">
        <f>IF(G418=0,0,(G425/G418)*G421)</f>
        <v>6782.5268665079593</v>
      </c>
      <c r="H428" s="101">
        <v>0</v>
      </c>
      <c r="I428" s="101">
        <f>IF(I418=0,0,(I425/I418)*I421)</f>
        <v>4944.9338779418604</v>
      </c>
      <c r="J428" s="92"/>
      <c r="K428" s="96">
        <f>E428</f>
        <v>15000</v>
      </c>
      <c r="L428" s="92">
        <v>15000</v>
      </c>
      <c r="M428" s="100">
        <f>IF(L428=0,0,(K428-L428)/L428)</f>
        <v>0</v>
      </c>
      <c r="N428" s="102"/>
      <c r="O428" s="102"/>
      <c r="P428" s="102"/>
      <c r="Q428" s="102"/>
      <c r="R428" s="102"/>
    </row>
    <row r="429" spans="1:18" ht="35.1" customHeight="1" x14ac:dyDescent="0.2">
      <c r="A429" s="99"/>
      <c r="B429" s="99"/>
      <c r="C429" s="92"/>
      <c r="D429" s="92"/>
      <c r="E429" s="96">
        <f>SUM(F429:I429)</f>
        <v>10000</v>
      </c>
      <c r="F429" s="101">
        <f>IF(F418=0,0,(F425/F418)*F422)</f>
        <v>1782.5268665079593</v>
      </c>
      <c r="G429" s="101">
        <f>IF(G418=0,0,(G425/G418)*G422)</f>
        <v>3272.5392555501821</v>
      </c>
      <c r="H429" s="101">
        <f>IF(H418=0,0,(H425/H418)*H422)</f>
        <v>4944.9338779418586</v>
      </c>
      <c r="I429" s="101">
        <v>0</v>
      </c>
      <c r="J429" s="92"/>
      <c r="K429" s="96">
        <f>E429</f>
        <v>10000</v>
      </c>
      <c r="L429" s="92">
        <v>10000</v>
      </c>
      <c r="M429" s="100">
        <f>IF(L429=0,0,(K429-L429)/L429)</f>
        <v>0</v>
      </c>
      <c r="N429" s="102"/>
      <c r="O429" s="102"/>
      <c r="P429" s="102"/>
      <c r="Q429" s="102"/>
      <c r="R429" s="102"/>
    </row>
    <row r="430" spans="1:18" ht="35.1" customHeight="1" x14ac:dyDescent="0.2">
      <c r="A430" s="99"/>
      <c r="B430" s="99"/>
      <c r="C430" s="92"/>
      <c r="D430" s="92"/>
      <c r="E430" s="92"/>
      <c r="F430" s="92"/>
      <c r="G430" s="92"/>
      <c r="H430" s="92"/>
      <c r="I430" s="92"/>
      <c r="J430" s="92"/>
      <c r="K430" s="92">
        <f>SUM(K426:K429)</f>
        <v>45000</v>
      </c>
      <c r="L430" s="92">
        <f>SUM(L426:L429)</f>
        <v>45000</v>
      </c>
      <c r="M430" s="100"/>
      <c r="N430" s="102"/>
      <c r="O430" s="102"/>
      <c r="P430" s="102"/>
      <c r="Q430" s="102"/>
      <c r="R430" s="102"/>
    </row>
    <row r="431" spans="1:18" ht="35.1" customHeight="1" x14ac:dyDescent="0.2">
      <c r="A431" s="99"/>
      <c r="B431" s="99"/>
      <c r="C431" s="92" t="s">
        <v>70</v>
      </c>
      <c r="D431" s="92"/>
      <c r="E431" s="92"/>
      <c r="F431" s="92"/>
      <c r="G431" s="92"/>
      <c r="H431" s="92"/>
      <c r="I431" s="92"/>
      <c r="J431" s="92"/>
      <c r="K431" s="92"/>
      <c r="L431" s="92"/>
      <c r="M431" s="92"/>
      <c r="N431" s="102"/>
      <c r="O431" s="102"/>
      <c r="P431" s="102"/>
      <c r="Q431" s="102"/>
      <c r="R431" s="102"/>
    </row>
    <row r="432" spans="1:18" ht="35.1" customHeight="1" x14ac:dyDescent="0.2">
      <c r="A432" s="99"/>
      <c r="B432" s="99"/>
      <c r="C432" s="92"/>
      <c r="D432" s="92"/>
      <c r="E432" s="92"/>
      <c r="F432" s="96">
        <f>SUM(F433:F436)</f>
        <v>7499.9999999999991</v>
      </c>
      <c r="G432" s="96">
        <f>SUM(G433:G436)</f>
        <v>12500</v>
      </c>
      <c r="H432" s="96">
        <f>SUM(H433:H436)</f>
        <v>15000</v>
      </c>
      <c r="I432" s="96">
        <f>SUM(I433:I436)</f>
        <v>10000</v>
      </c>
      <c r="J432" s="92"/>
      <c r="K432" s="92"/>
      <c r="L432" s="92"/>
      <c r="M432" s="92" t="s">
        <v>71</v>
      </c>
      <c r="N432" s="102"/>
      <c r="O432" s="102"/>
      <c r="P432" s="102"/>
      <c r="Q432" s="102"/>
      <c r="R432" s="102"/>
    </row>
    <row r="433" spans="1:18" ht="35.1" customHeight="1" x14ac:dyDescent="0.2">
      <c r="A433" s="99"/>
      <c r="B433" s="99"/>
      <c r="C433" s="92"/>
      <c r="D433" s="92"/>
      <c r="E433" s="92">
        <v>7500</v>
      </c>
      <c r="F433" s="97">
        <v>0</v>
      </c>
      <c r="G433" s="97">
        <f>IF(E426=0,0,(E433/E426)*G426)</f>
        <v>2444.9338779418595</v>
      </c>
      <c r="H433" s="97">
        <f>IF(E426=0,0,(E433/E426)*H426)</f>
        <v>3272.5392555501812</v>
      </c>
      <c r="I433" s="97">
        <f>IF(E426=0,0,(E433/E426)*I426)</f>
        <v>1782.5268665079589</v>
      </c>
      <c r="J433" s="92"/>
      <c r="K433" s="96">
        <f>F432</f>
        <v>7499.9999999999991</v>
      </c>
      <c r="L433" s="96">
        <v>7500</v>
      </c>
      <c r="M433" s="100">
        <f>IF(L433=0,0,(K433-L433)/L433)</f>
        <v>-1.2126596023639044E-16</v>
      </c>
      <c r="N433" s="102"/>
      <c r="O433" s="102"/>
      <c r="P433" s="102"/>
      <c r="Q433" s="102"/>
      <c r="R433" s="102"/>
    </row>
    <row r="434" spans="1:18" ht="35.1" customHeight="1" x14ac:dyDescent="0.2">
      <c r="A434" s="99"/>
      <c r="B434" s="99"/>
      <c r="C434" s="92"/>
      <c r="D434" s="92"/>
      <c r="E434" s="92">
        <v>12500</v>
      </c>
      <c r="F434" s="97">
        <f>IF(E427=0,0,(E434/E427)*F427)</f>
        <v>2444.9338779418604</v>
      </c>
      <c r="G434" s="97">
        <v>0</v>
      </c>
      <c r="H434" s="97">
        <f>IF(E427=0,0,(E434/E427)*H427)</f>
        <v>6782.5268665079593</v>
      </c>
      <c r="I434" s="97">
        <f>IF(E427=0,0,(E434/E427)*I427)</f>
        <v>3272.5392555501812</v>
      </c>
      <c r="J434" s="92"/>
      <c r="K434" s="96">
        <f>G432</f>
        <v>12500</v>
      </c>
      <c r="L434" s="96">
        <v>12500</v>
      </c>
      <c r="M434" s="100">
        <f>IF(L434=0,0,(K434-L434)/L434)</f>
        <v>0</v>
      </c>
      <c r="N434" s="102"/>
      <c r="O434" s="102"/>
      <c r="P434" s="102"/>
      <c r="Q434" s="102"/>
      <c r="R434" s="102"/>
    </row>
    <row r="435" spans="1:18" ht="35.1" customHeight="1" x14ac:dyDescent="0.2">
      <c r="A435" s="99"/>
      <c r="B435" s="99"/>
      <c r="C435" s="92"/>
      <c r="D435" s="92"/>
      <c r="E435" s="92">
        <v>15000</v>
      </c>
      <c r="F435" s="97">
        <f>IF(E428=0,0,(E435/E428)*F428)</f>
        <v>3272.5392555501799</v>
      </c>
      <c r="G435" s="97">
        <f>IF(E428=0,0,(E435/E428)*G428)</f>
        <v>6782.5268665079593</v>
      </c>
      <c r="H435" s="97">
        <v>0</v>
      </c>
      <c r="I435" s="97">
        <f>IF(E428=0,0,(E435/E428)*I428)</f>
        <v>4944.9338779418604</v>
      </c>
      <c r="J435" s="92"/>
      <c r="K435" s="96">
        <f>H432</f>
        <v>15000</v>
      </c>
      <c r="L435" s="96">
        <v>15000</v>
      </c>
      <c r="M435" s="100">
        <f>IF(L435=0,0,(K435-L435)/L435)</f>
        <v>0</v>
      </c>
      <c r="N435" s="102"/>
      <c r="O435" s="102"/>
      <c r="P435" s="102"/>
      <c r="Q435" s="102"/>
      <c r="R435" s="102"/>
    </row>
    <row r="436" spans="1:18" ht="35.1" customHeight="1" x14ac:dyDescent="0.2">
      <c r="A436" s="99"/>
      <c r="B436" s="99"/>
      <c r="C436" s="92"/>
      <c r="D436" s="92"/>
      <c r="E436" s="92">
        <v>10000</v>
      </c>
      <c r="F436" s="97">
        <f>IF(E429=0,0,(E436/E429)*F429)</f>
        <v>1782.5268665079593</v>
      </c>
      <c r="G436" s="97">
        <f>IF(E429=0,0,(E436/E429)*G429)</f>
        <v>3272.5392555501821</v>
      </c>
      <c r="H436" s="97">
        <f>IF(E429=0,0,(E436/E429)*H429)</f>
        <v>4944.9338779418586</v>
      </c>
      <c r="I436" s="97">
        <v>0</v>
      </c>
      <c r="J436" s="92"/>
      <c r="K436" s="96">
        <f>I432</f>
        <v>10000</v>
      </c>
      <c r="L436" s="96">
        <v>10000</v>
      </c>
      <c r="M436" s="100">
        <f>IF(L436=0,0,(K436-L436)/L436)</f>
        <v>0</v>
      </c>
      <c r="N436" s="102"/>
      <c r="O436" s="102"/>
      <c r="P436" s="102"/>
      <c r="Q436" s="102"/>
      <c r="R436" s="102"/>
    </row>
    <row r="437" spans="1:18" ht="35.1" customHeight="1" x14ac:dyDescent="0.2">
      <c r="A437" s="99"/>
      <c r="B437" s="99"/>
      <c r="C437" s="92"/>
      <c r="D437" s="92"/>
      <c r="E437" s="92"/>
      <c r="F437" s="99"/>
      <c r="G437" s="99"/>
      <c r="H437" s="99"/>
      <c r="I437" s="99"/>
      <c r="J437" s="92"/>
      <c r="K437" s="92">
        <f>SUM(K433:K436)</f>
        <v>45000</v>
      </c>
      <c r="L437" s="92">
        <f>SUM(L433:L436)</f>
        <v>45000</v>
      </c>
      <c r="M437" s="100"/>
      <c r="N437" s="102"/>
      <c r="O437" s="102"/>
      <c r="P437" s="102"/>
      <c r="Q437" s="102"/>
      <c r="R437" s="102"/>
    </row>
    <row r="438" spans="1:18" ht="35.1" customHeight="1" x14ac:dyDescent="0.2">
      <c r="A438" s="99"/>
      <c r="B438" s="99"/>
      <c r="C438" s="92" t="s">
        <v>72</v>
      </c>
      <c r="D438" s="92"/>
      <c r="E438" s="92"/>
      <c r="F438" s="92"/>
      <c r="G438" s="92"/>
      <c r="H438" s="92"/>
      <c r="I438" s="92"/>
      <c r="J438" s="92"/>
      <c r="K438" s="92"/>
      <c r="L438" s="92"/>
      <c r="M438" s="92"/>
      <c r="N438" s="102"/>
      <c r="O438" s="102"/>
      <c r="P438" s="102"/>
      <c r="Q438" s="102"/>
      <c r="R438" s="102"/>
    </row>
    <row r="439" spans="1:18" ht="35.1" customHeight="1" x14ac:dyDescent="0.2">
      <c r="A439" s="99"/>
      <c r="B439" s="99"/>
      <c r="C439" s="92"/>
      <c r="D439" s="92"/>
      <c r="E439" s="92"/>
      <c r="F439" s="96">
        <v>7500</v>
      </c>
      <c r="G439" s="96">
        <v>12500</v>
      </c>
      <c r="H439" s="96">
        <v>15000</v>
      </c>
      <c r="I439" s="96">
        <v>10000</v>
      </c>
      <c r="J439" s="92"/>
      <c r="K439" s="92"/>
      <c r="L439" s="92"/>
      <c r="M439" s="92" t="s">
        <v>71</v>
      </c>
      <c r="N439" s="102"/>
      <c r="O439" s="102"/>
      <c r="P439" s="102"/>
      <c r="Q439" s="102"/>
      <c r="R439" s="102"/>
    </row>
    <row r="440" spans="1:18" ht="35.1" customHeight="1" x14ac:dyDescent="0.2">
      <c r="A440" s="99"/>
      <c r="B440" s="99"/>
      <c r="C440" s="92"/>
      <c r="D440" s="92"/>
      <c r="E440" s="96">
        <f>SUM(F440:I440)</f>
        <v>7500</v>
      </c>
      <c r="F440" s="101">
        <v>0</v>
      </c>
      <c r="G440" s="101">
        <f>IF(G432=0,0,(G439/G432)*G433)</f>
        <v>2444.9338779418595</v>
      </c>
      <c r="H440" s="101">
        <f>IF(H432=0,0,(H439/H432)*H433)</f>
        <v>3272.5392555501812</v>
      </c>
      <c r="I440" s="101">
        <f>IF(I432=0,0,(I439/I432)*I433)</f>
        <v>1782.5268665079589</v>
      </c>
      <c r="J440" s="92"/>
      <c r="K440" s="96">
        <f>E440</f>
        <v>7500</v>
      </c>
      <c r="L440" s="92">
        <v>7500</v>
      </c>
      <c r="M440" s="100">
        <f>IF(L440=0,0,(K440-L440)/L440)</f>
        <v>0</v>
      </c>
      <c r="N440" s="102"/>
      <c r="O440" s="102"/>
      <c r="P440" s="102"/>
      <c r="Q440" s="102"/>
      <c r="R440" s="102"/>
    </row>
    <row r="441" spans="1:18" ht="35.1" customHeight="1" x14ac:dyDescent="0.2">
      <c r="A441" s="99"/>
      <c r="B441" s="99"/>
      <c r="C441" s="92"/>
      <c r="D441" s="92"/>
      <c r="E441" s="96">
        <f>SUM(F441:I441)</f>
        <v>12500</v>
      </c>
      <c r="F441" s="101">
        <f>IF(F432=0,0,(F439/F432)*F434)</f>
        <v>2444.9338779418608</v>
      </c>
      <c r="G441" s="101">
        <v>0</v>
      </c>
      <c r="H441" s="101">
        <f>IF(H432=0,0,(H439/H432)*H434)</f>
        <v>6782.5268665079593</v>
      </c>
      <c r="I441" s="101">
        <f>IF(I432=0,0,(I439/I432)*I434)</f>
        <v>3272.5392555501812</v>
      </c>
      <c r="J441" s="92"/>
      <c r="K441" s="96">
        <f>E441</f>
        <v>12500</v>
      </c>
      <c r="L441" s="92">
        <v>12500</v>
      </c>
      <c r="M441" s="100">
        <f>IF(L441=0,0,(K441-L441)/L441)</f>
        <v>0</v>
      </c>
      <c r="N441" s="102"/>
      <c r="O441" s="102"/>
      <c r="P441" s="102"/>
      <c r="Q441" s="102"/>
      <c r="R441" s="102"/>
    </row>
    <row r="442" spans="1:18" ht="35.1" customHeight="1" x14ac:dyDescent="0.2">
      <c r="A442" s="99"/>
      <c r="B442" s="99"/>
      <c r="C442" s="92"/>
      <c r="D442" s="92"/>
      <c r="E442" s="96">
        <f>SUM(F442:I442)</f>
        <v>15000</v>
      </c>
      <c r="F442" s="101">
        <f>IF(F432=0,0,(F439/F432)*F435)</f>
        <v>3272.5392555501808</v>
      </c>
      <c r="G442" s="101">
        <f>IF(G432=0,0,(G439/G432)*G435)</f>
        <v>6782.5268665079593</v>
      </c>
      <c r="H442" s="101">
        <v>0</v>
      </c>
      <c r="I442" s="101">
        <f>IF(I432=0,0,(I439/I432)*I435)</f>
        <v>4944.9338779418604</v>
      </c>
      <c r="J442" s="92"/>
      <c r="K442" s="96">
        <f>E442</f>
        <v>15000</v>
      </c>
      <c r="L442" s="92">
        <v>15000</v>
      </c>
      <c r="M442" s="100">
        <f>IF(L442=0,0,(K442-L442)/L442)</f>
        <v>0</v>
      </c>
      <c r="N442" s="102"/>
      <c r="O442" s="102"/>
      <c r="P442" s="102"/>
      <c r="Q442" s="102"/>
      <c r="R442" s="102"/>
    </row>
    <row r="443" spans="1:18" ht="35.1" customHeight="1" x14ac:dyDescent="0.2">
      <c r="A443" s="99"/>
      <c r="B443" s="99"/>
      <c r="C443" s="92"/>
      <c r="D443" s="92"/>
      <c r="E443" s="96">
        <f>SUM(F443:I443)</f>
        <v>10000</v>
      </c>
      <c r="F443" s="101">
        <f>IF(F432=0,0,(F439/F432)*F436)</f>
        <v>1782.5268665079598</v>
      </c>
      <c r="G443" s="101">
        <f>IF(G432=0,0,(G439/G432)*G436)</f>
        <v>3272.5392555501821</v>
      </c>
      <c r="H443" s="101">
        <f>IF(H432=0,0,(H439/H432)*H436)</f>
        <v>4944.9338779418586</v>
      </c>
      <c r="I443" s="101">
        <v>0</v>
      </c>
      <c r="J443" s="92"/>
      <c r="K443" s="96">
        <f>E443</f>
        <v>10000</v>
      </c>
      <c r="L443" s="92">
        <v>10000</v>
      </c>
      <c r="M443" s="100">
        <f>IF(L443=0,0,(K443-L443)/L443)</f>
        <v>0</v>
      </c>
      <c r="N443" s="102"/>
      <c r="O443" s="102"/>
      <c r="P443" s="102"/>
      <c r="Q443" s="102"/>
      <c r="R443" s="102"/>
    </row>
    <row r="444" spans="1:18" ht="35.1" customHeight="1" x14ac:dyDescent="0.2">
      <c r="A444" s="99"/>
      <c r="B444" s="99"/>
      <c r="C444" s="92"/>
      <c r="D444" s="92"/>
      <c r="E444" s="92"/>
      <c r="F444" s="92"/>
      <c r="G444" s="92"/>
      <c r="H444" s="92"/>
      <c r="I444" s="92"/>
      <c r="J444" s="92"/>
      <c r="K444" s="92">
        <f>SUM(K440:K443)</f>
        <v>45000</v>
      </c>
      <c r="L444" s="92">
        <f>SUM(L440:L443)</f>
        <v>45000</v>
      </c>
      <c r="M444" s="100"/>
      <c r="N444" s="102"/>
      <c r="O444" s="102"/>
      <c r="P444" s="102"/>
      <c r="Q444" s="102"/>
      <c r="R444" s="102"/>
    </row>
    <row r="445" spans="1:18" ht="35.1" customHeight="1" x14ac:dyDescent="0.2">
      <c r="A445" s="99"/>
      <c r="B445" s="99"/>
      <c r="C445" s="92" t="s">
        <v>70</v>
      </c>
      <c r="D445" s="92"/>
      <c r="E445" s="92"/>
      <c r="F445" s="92"/>
      <c r="G445" s="92"/>
      <c r="H445" s="92"/>
      <c r="I445" s="92"/>
      <c r="J445" s="92"/>
      <c r="K445" s="92"/>
      <c r="L445" s="92"/>
      <c r="M445" s="92"/>
      <c r="N445" s="102"/>
      <c r="O445" s="102"/>
      <c r="P445" s="102"/>
      <c r="Q445" s="102"/>
      <c r="R445" s="102"/>
    </row>
    <row r="446" spans="1:18" ht="35.1" customHeight="1" x14ac:dyDescent="0.2">
      <c r="A446" s="99"/>
      <c r="B446" s="99"/>
      <c r="C446" s="92"/>
      <c r="D446" s="92"/>
      <c r="E446" s="92"/>
      <c r="F446" s="96">
        <f>SUM(F447:F450)</f>
        <v>7500.0000000000018</v>
      </c>
      <c r="G446" s="96">
        <f>SUM(G447:G450)</f>
        <v>12500</v>
      </c>
      <c r="H446" s="96">
        <f>SUM(H447:H450)</f>
        <v>15000</v>
      </c>
      <c r="I446" s="96">
        <f>SUM(I447:I450)</f>
        <v>10000</v>
      </c>
      <c r="J446" s="92"/>
      <c r="K446" s="92"/>
      <c r="L446" s="92"/>
      <c r="M446" s="92" t="s">
        <v>71</v>
      </c>
      <c r="N446" s="102"/>
      <c r="O446" s="102"/>
      <c r="P446" s="102"/>
      <c r="Q446" s="102"/>
      <c r="R446" s="102"/>
    </row>
    <row r="447" spans="1:18" ht="35.1" customHeight="1" x14ac:dyDescent="0.2">
      <c r="A447" s="99"/>
      <c r="B447" s="99"/>
      <c r="C447" s="92"/>
      <c r="D447" s="92"/>
      <c r="E447" s="92">
        <v>7500</v>
      </c>
      <c r="F447" s="97">
        <v>0</v>
      </c>
      <c r="G447" s="97">
        <f>IF(E440=0,0,(E447/E440)*G440)</f>
        <v>2444.9338779418595</v>
      </c>
      <c r="H447" s="97">
        <f>IF(E440=0,0,(E447/E440)*H440)</f>
        <v>3272.5392555501812</v>
      </c>
      <c r="I447" s="97">
        <f>IF(E440=0,0,(E447/E440)*I440)</f>
        <v>1782.5268665079589</v>
      </c>
      <c r="J447" s="92"/>
      <c r="K447" s="96">
        <f>F446</f>
        <v>7500.0000000000018</v>
      </c>
      <c r="L447" s="96">
        <v>7500</v>
      </c>
      <c r="M447" s="100">
        <f>IF(L447=0,0,(K447-L447)/L447)</f>
        <v>2.4253192047278088E-16</v>
      </c>
      <c r="N447" s="102"/>
      <c r="O447" s="102"/>
      <c r="P447" s="102"/>
      <c r="Q447" s="102"/>
      <c r="R447" s="102"/>
    </row>
    <row r="448" spans="1:18" ht="35.1" customHeight="1" x14ac:dyDescent="0.2">
      <c r="A448" s="99"/>
      <c r="B448" s="99"/>
      <c r="C448" s="92"/>
      <c r="D448" s="92"/>
      <c r="E448" s="92">
        <v>12500</v>
      </c>
      <c r="F448" s="97">
        <f>IF(E441=0,0,(E448/E441)*F441)</f>
        <v>2444.9338779418608</v>
      </c>
      <c r="G448" s="97">
        <v>0</v>
      </c>
      <c r="H448" s="97">
        <f>IF(E441=0,0,(E448/E441)*H441)</f>
        <v>6782.5268665079593</v>
      </c>
      <c r="I448" s="97">
        <f>IF(E441=0,0,(E448/E441)*I441)</f>
        <v>3272.5392555501812</v>
      </c>
      <c r="J448" s="92"/>
      <c r="K448" s="96">
        <f>G446</f>
        <v>12500</v>
      </c>
      <c r="L448" s="96">
        <v>12500</v>
      </c>
      <c r="M448" s="100">
        <f>IF(L448=0,0,(K448-L448)/L448)</f>
        <v>0</v>
      </c>
      <c r="N448" s="102"/>
      <c r="O448" s="102"/>
      <c r="P448" s="102"/>
      <c r="Q448" s="102"/>
      <c r="R448" s="102"/>
    </row>
    <row r="449" spans="1:18" ht="35.1" customHeight="1" x14ac:dyDescent="0.2">
      <c r="A449" s="99"/>
      <c r="B449" s="99"/>
      <c r="C449" s="92"/>
      <c r="D449" s="92"/>
      <c r="E449" s="92">
        <v>15000</v>
      </c>
      <c r="F449" s="97">
        <f>IF(E442=0,0,(E449/E442)*F442)</f>
        <v>3272.5392555501808</v>
      </c>
      <c r="G449" s="97">
        <f>IF(E442=0,0,(E449/E442)*G442)</f>
        <v>6782.5268665079593</v>
      </c>
      <c r="H449" s="97">
        <v>0</v>
      </c>
      <c r="I449" s="97">
        <f>IF(E442=0,0,(E449/E442)*I442)</f>
        <v>4944.9338779418604</v>
      </c>
      <c r="J449" s="92"/>
      <c r="K449" s="96">
        <f>H446</f>
        <v>15000</v>
      </c>
      <c r="L449" s="96">
        <v>15000</v>
      </c>
      <c r="M449" s="100">
        <f>IF(L449=0,0,(K449-L449)/L449)</f>
        <v>0</v>
      </c>
      <c r="N449" s="102"/>
      <c r="O449" s="102"/>
      <c r="P449" s="102"/>
      <c r="Q449" s="102"/>
      <c r="R449" s="102"/>
    </row>
    <row r="450" spans="1:18" ht="35.1" customHeight="1" x14ac:dyDescent="0.2">
      <c r="A450" s="99"/>
      <c r="B450" s="99"/>
      <c r="C450" s="92"/>
      <c r="D450" s="92"/>
      <c r="E450" s="92">
        <v>10000</v>
      </c>
      <c r="F450" s="97">
        <f>IF(E443=0,0,(E450/E443)*F443)</f>
        <v>1782.5268665079598</v>
      </c>
      <c r="G450" s="97">
        <f>IF(E443=0,0,(E450/E443)*G443)</f>
        <v>3272.5392555501821</v>
      </c>
      <c r="H450" s="97">
        <f>IF(E443=0,0,(E450/E443)*H443)</f>
        <v>4944.9338779418586</v>
      </c>
      <c r="I450" s="97">
        <v>0</v>
      </c>
      <c r="J450" s="92"/>
      <c r="K450" s="96">
        <f>I446</f>
        <v>10000</v>
      </c>
      <c r="L450" s="96">
        <v>10000</v>
      </c>
      <c r="M450" s="100">
        <f>IF(L450=0,0,(K450-L450)/L450)</f>
        <v>0</v>
      </c>
      <c r="N450" s="102"/>
      <c r="O450" s="102"/>
      <c r="P450" s="102"/>
      <c r="Q450" s="102"/>
      <c r="R450" s="102"/>
    </row>
    <row r="451" spans="1:18" ht="35.1" customHeight="1" x14ac:dyDescent="0.2">
      <c r="A451" s="99"/>
      <c r="B451" s="99"/>
      <c r="C451" s="92"/>
      <c r="D451" s="92"/>
      <c r="E451" s="92"/>
      <c r="F451" s="99"/>
      <c r="G451" s="99"/>
      <c r="H451" s="99"/>
      <c r="I451" s="99"/>
      <c r="J451" s="92"/>
      <c r="K451" s="92">
        <f>SUM(K447:K450)</f>
        <v>45000</v>
      </c>
      <c r="L451" s="92">
        <f>SUM(L447:L450)</f>
        <v>45000</v>
      </c>
      <c r="M451" s="100"/>
      <c r="N451" s="102"/>
      <c r="O451" s="102"/>
      <c r="P451" s="102"/>
      <c r="Q451" s="102"/>
      <c r="R451" s="102"/>
    </row>
    <row r="452" spans="1:18" ht="35.1" customHeight="1" x14ac:dyDescent="0.2">
      <c r="A452" s="99"/>
      <c r="B452" s="99"/>
      <c r="C452" s="92" t="s">
        <v>72</v>
      </c>
      <c r="D452" s="92"/>
      <c r="E452" s="92"/>
      <c r="F452" s="92"/>
      <c r="G452" s="92"/>
      <c r="H452" s="92"/>
      <c r="I452" s="92"/>
      <c r="J452" s="92"/>
      <c r="K452" s="92"/>
      <c r="L452" s="92"/>
      <c r="M452" s="92"/>
      <c r="N452" s="102"/>
      <c r="O452" s="102"/>
      <c r="P452" s="102"/>
      <c r="Q452" s="102"/>
      <c r="R452" s="102"/>
    </row>
    <row r="453" spans="1:18" ht="35.1" customHeight="1" x14ac:dyDescent="0.2">
      <c r="A453" s="99"/>
      <c r="B453" s="99"/>
      <c r="C453" s="92"/>
      <c r="D453" s="92"/>
      <c r="E453" s="92"/>
      <c r="F453" s="96">
        <v>7500</v>
      </c>
      <c r="G453" s="96">
        <v>12500</v>
      </c>
      <c r="H453" s="96">
        <v>15000</v>
      </c>
      <c r="I453" s="96">
        <v>10000</v>
      </c>
      <c r="J453" s="92"/>
      <c r="K453" s="92"/>
      <c r="L453" s="92"/>
      <c r="M453" s="92" t="s">
        <v>71</v>
      </c>
      <c r="N453" s="102"/>
      <c r="O453" s="102"/>
      <c r="P453" s="102"/>
      <c r="Q453" s="102"/>
      <c r="R453" s="102"/>
    </row>
    <row r="454" spans="1:18" ht="35.1" customHeight="1" x14ac:dyDescent="0.2">
      <c r="A454" s="99"/>
      <c r="B454" s="99"/>
      <c r="C454" s="92"/>
      <c r="D454" s="92"/>
      <c r="E454" s="96">
        <f>SUM(F454:I454)</f>
        <v>7500</v>
      </c>
      <c r="F454" s="101">
        <v>0</v>
      </c>
      <c r="G454" s="101">
        <f>IF(G446=0,0,(G453/G446)*G447)</f>
        <v>2444.9338779418595</v>
      </c>
      <c r="H454" s="101">
        <f>IF(H446=0,0,(H453/H446)*H447)</f>
        <v>3272.5392555501812</v>
      </c>
      <c r="I454" s="101">
        <f>IF(I446=0,0,(I453/I446)*I447)</f>
        <v>1782.5268665079589</v>
      </c>
      <c r="J454" s="92"/>
      <c r="K454" s="96">
        <f>E454</f>
        <v>7500</v>
      </c>
      <c r="L454" s="92">
        <v>7500</v>
      </c>
      <c r="M454" s="100">
        <f>IF(L454=0,0,(K454-L454)/L454)</f>
        <v>0</v>
      </c>
      <c r="N454" s="102"/>
      <c r="O454" s="102"/>
      <c r="P454" s="102"/>
      <c r="Q454" s="102"/>
      <c r="R454" s="102"/>
    </row>
    <row r="455" spans="1:18" ht="35.1" customHeight="1" x14ac:dyDescent="0.2">
      <c r="A455" s="99"/>
      <c r="B455" s="99"/>
      <c r="C455" s="92"/>
      <c r="D455" s="92"/>
      <c r="E455" s="96">
        <f>SUM(F455:I455)</f>
        <v>12500</v>
      </c>
      <c r="F455" s="101">
        <f>IF(F446=0,0,(F453/F446)*F448)</f>
        <v>2444.9338779418604</v>
      </c>
      <c r="G455" s="101">
        <v>0</v>
      </c>
      <c r="H455" s="101">
        <f>IF(H446=0,0,(H453/H446)*H448)</f>
        <v>6782.5268665079593</v>
      </c>
      <c r="I455" s="101">
        <f>IF(I446=0,0,(I453/I446)*I448)</f>
        <v>3272.5392555501812</v>
      </c>
      <c r="J455" s="92"/>
      <c r="K455" s="96">
        <f>E455</f>
        <v>12500</v>
      </c>
      <c r="L455" s="92">
        <v>12500</v>
      </c>
      <c r="M455" s="100">
        <f>IF(L455=0,0,(K455-L455)/L455)</f>
        <v>0</v>
      </c>
      <c r="N455" s="102"/>
      <c r="O455" s="102"/>
      <c r="P455" s="102"/>
      <c r="Q455" s="102"/>
      <c r="R455" s="102"/>
    </row>
    <row r="456" spans="1:18" ht="35.1" customHeight="1" x14ac:dyDescent="0.2">
      <c r="A456" s="99"/>
      <c r="B456" s="99"/>
      <c r="C456" s="92"/>
      <c r="D456" s="92"/>
      <c r="E456" s="96">
        <f>SUM(F456:I456)</f>
        <v>15000</v>
      </c>
      <c r="F456" s="101">
        <f>IF(F446=0,0,(F453/F446)*F449)</f>
        <v>3272.5392555501799</v>
      </c>
      <c r="G456" s="101">
        <f>IF(G446=0,0,(G453/G446)*G449)</f>
        <v>6782.5268665079593</v>
      </c>
      <c r="H456" s="101">
        <v>0</v>
      </c>
      <c r="I456" s="101">
        <f>IF(I446=0,0,(I453/I446)*I449)</f>
        <v>4944.9338779418604</v>
      </c>
      <c r="J456" s="92"/>
      <c r="K456" s="96">
        <f>E456</f>
        <v>15000</v>
      </c>
      <c r="L456" s="92">
        <v>15000</v>
      </c>
      <c r="M456" s="100">
        <f>IF(L456=0,0,(K456-L456)/L456)</f>
        <v>0</v>
      </c>
      <c r="N456" s="102"/>
      <c r="O456" s="102"/>
      <c r="P456" s="102"/>
      <c r="Q456" s="102"/>
      <c r="R456" s="102"/>
    </row>
    <row r="457" spans="1:18" ht="35.1" customHeight="1" x14ac:dyDescent="0.2">
      <c r="A457" s="99"/>
      <c r="B457" s="99"/>
      <c r="C457" s="92"/>
      <c r="D457" s="92"/>
      <c r="E457" s="96">
        <f>SUM(F457:I457)</f>
        <v>10000</v>
      </c>
      <c r="F457" s="101">
        <f>IF(F446=0,0,(F453/F446)*F450)</f>
        <v>1782.5268665079593</v>
      </c>
      <c r="G457" s="101">
        <f>IF(G446=0,0,(G453/G446)*G450)</f>
        <v>3272.5392555501821</v>
      </c>
      <c r="H457" s="101">
        <f>IF(H446=0,0,(H453/H446)*H450)</f>
        <v>4944.9338779418586</v>
      </c>
      <c r="I457" s="101">
        <v>0</v>
      </c>
      <c r="J457" s="92"/>
      <c r="K457" s="96">
        <f>E457</f>
        <v>10000</v>
      </c>
      <c r="L457" s="92">
        <v>10000</v>
      </c>
      <c r="M457" s="100">
        <f>IF(L457=0,0,(K457-L457)/L457)</f>
        <v>0</v>
      </c>
      <c r="N457" s="102"/>
      <c r="O457" s="102"/>
      <c r="P457" s="102"/>
      <c r="Q457" s="102"/>
      <c r="R457" s="102"/>
    </row>
    <row r="458" spans="1:18" ht="35.1" customHeight="1" x14ac:dyDescent="0.2">
      <c r="A458" s="99"/>
      <c r="B458" s="99"/>
      <c r="C458" s="92"/>
      <c r="D458" s="92"/>
      <c r="E458" s="92"/>
      <c r="F458" s="92"/>
      <c r="G458" s="92"/>
      <c r="H458" s="92"/>
      <c r="I458" s="92"/>
      <c r="J458" s="92"/>
      <c r="K458" s="92">
        <f>SUM(K454:K457)</f>
        <v>45000</v>
      </c>
      <c r="L458" s="92">
        <f>SUM(L454:L457)</f>
        <v>45000</v>
      </c>
      <c r="M458" s="100"/>
      <c r="N458" s="102"/>
      <c r="O458" s="102"/>
      <c r="P458" s="102"/>
      <c r="Q458" s="102"/>
      <c r="R458" s="102"/>
    </row>
    <row r="459" spans="1:18" ht="35.1" customHeight="1" x14ac:dyDescent="0.2">
      <c r="A459" s="99"/>
      <c r="B459" s="99"/>
      <c r="C459" s="92" t="s">
        <v>70</v>
      </c>
      <c r="D459" s="92"/>
      <c r="E459" s="92"/>
      <c r="F459" s="92"/>
      <c r="G459" s="92"/>
      <c r="H459" s="92"/>
      <c r="I459" s="92"/>
      <c r="J459" s="92"/>
      <c r="K459" s="92"/>
      <c r="L459" s="92"/>
      <c r="M459" s="92"/>
      <c r="N459" s="102"/>
      <c r="O459" s="102"/>
      <c r="P459" s="102"/>
      <c r="Q459" s="102"/>
      <c r="R459" s="102"/>
    </row>
    <row r="460" spans="1:18" ht="35.1" customHeight="1" x14ac:dyDescent="0.2">
      <c r="A460" s="99"/>
      <c r="B460" s="99"/>
      <c r="C460" s="92"/>
      <c r="D460" s="92"/>
      <c r="E460" s="92"/>
      <c r="F460" s="96">
        <f>SUM(F461:F464)</f>
        <v>7499.9999999999991</v>
      </c>
      <c r="G460" s="96">
        <f>SUM(G461:G464)</f>
        <v>12500</v>
      </c>
      <c r="H460" s="96">
        <f>SUM(H461:H464)</f>
        <v>15000</v>
      </c>
      <c r="I460" s="96">
        <f>SUM(I461:I464)</f>
        <v>10000</v>
      </c>
      <c r="J460" s="92"/>
      <c r="K460" s="92"/>
      <c r="L460" s="92"/>
      <c r="M460" s="92" t="s">
        <v>71</v>
      </c>
      <c r="N460" s="102"/>
      <c r="O460" s="102"/>
      <c r="P460" s="102"/>
      <c r="Q460" s="102"/>
      <c r="R460" s="102"/>
    </row>
    <row r="461" spans="1:18" ht="35.1" customHeight="1" x14ac:dyDescent="0.2">
      <c r="A461" s="99"/>
      <c r="B461" s="99"/>
      <c r="C461" s="92"/>
      <c r="D461" s="92"/>
      <c r="E461" s="92">
        <v>7500</v>
      </c>
      <c r="F461" s="97">
        <v>0</v>
      </c>
      <c r="G461" s="97">
        <f>IF(E454=0,0,(E461/E454)*G454)</f>
        <v>2444.9338779418595</v>
      </c>
      <c r="H461" s="97">
        <f>IF(E454=0,0,(E461/E454)*H454)</f>
        <v>3272.5392555501812</v>
      </c>
      <c r="I461" s="97">
        <f>IF(E454=0,0,(E461/E454)*I454)</f>
        <v>1782.5268665079589</v>
      </c>
      <c r="J461" s="92"/>
      <c r="K461" s="96">
        <f>F460</f>
        <v>7499.9999999999991</v>
      </c>
      <c r="L461" s="96">
        <v>7500</v>
      </c>
      <c r="M461" s="100">
        <f>IF(L461=0,0,(K461-L461)/L461)</f>
        <v>-1.2126596023639044E-16</v>
      </c>
      <c r="N461" s="102"/>
      <c r="O461" s="102"/>
      <c r="P461" s="102"/>
      <c r="Q461" s="102"/>
      <c r="R461" s="102"/>
    </row>
    <row r="462" spans="1:18" ht="35.1" customHeight="1" x14ac:dyDescent="0.2">
      <c r="A462" s="99"/>
      <c r="B462" s="99"/>
      <c r="C462" s="92"/>
      <c r="D462" s="92"/>
      <c r="E462" s="92">
        <v>12500</v>
      </c>
      <c r="F462" s="97">
        <f>IF(E455=0,0,(E462/E455)*F455)</f>
        <v>2444.9338779418604</v>
      </c>
      <c r="G462" s="97">
        <v>0</v>
      </c>
      <c r="H462" s="97">
        <f>IF(E455=0,0,(E462/E455)*H455)</f>
        <v>6782.5268665079593</v>
      </c>
      <c r="I462" s="97">
        <f>IF(E455=0,0,(E462/E455)*I455)</f>
        <v>3272.5392555501812</v>
      </c>
      <c r="J462" s="92"/>
      <c r="K462" s="96">
        <f>G460</f>
        <v>12500</v>
      </c>
      <c r="L462" s="96">
        <v>12500</v>
      </c>
      <c r="M462" s="100">
        <f>IF(L462=0,0,(K462-L462)/L462)</f>
        <v>0</v>
      </c>
      <c r="N462" s="102"/>
      <c r="O462" s="102"/>
      <c r="P462" s="102"/>
      <c r="Q462" s="102"/>
      <c r="R462" s="102"/>
    </row>
    <row r="463" spans="1:18" ht="35.1" customHeight="1" x14ac:dyDescent="0.2">
      <c r="A463" s="99"/>
      <c r="B463" s="99"/>
      <c r="C463" s="92"/>
      <c r="D463" s="92"/>
      <c r="E463" s="92">
        <v>15000</v>
      </c>
      <c r="F463" s="97">
        <f>IF(E456=0,0,(E463/E456)*F456)</f>
        <v>3272.5392555501799</v>
      </c>
      <c r="G463" s="97">
        <f>IF(E456=0,0,(E463/E456)*G456)</f>
        <v>6782.5268665079593</v>
      </c>
      <c r="H463" s="97">
        <v>0</v>
      </c>
      <c r="I463" s="97">
        <f>IF(E456=0,0,(E463/E456)*I456)</f>
        <v>4944.9338779418604</v>
      </c>
      <c r="J463" s="92"/>
      <c r="K463" s="96">
        <f>H460</f>
        <v>15000</v>
      </c>
      <c r="L463" s="96">
        <v>15000</v>
      </c>
      <c r="M463" s="100">
        <f>IF(L463=0,0,(K463-L463)/L463)</f>
        <v>0</v>
      </c>
      <c r="N463" s="102"/>
      <c r="O463" s="102"/>
      <c r="P463" s="102"/>
      <c r="Q463" s="102"/>
      <c r="R463" s="102"/>
    </row>
    <row r="464" spans="1:18" ht="35.1" customHeight="1" x14ac:dyDescent="0.2">
      <c r="A464" s="99"/>
      <c r="B464" s="99"/>
      <c r="C464" s="92"/>
      <c r="D464" s="92"/>
      <c r="E464" s="92">
        <v>10000</v>
      </c>
      <c r="F464" s="97">
        <f>IF(E457=0,0,(E464/E457)*F457)</f>
        <v>1782.5268665079593</v>
      </c>
      <c r="G464" s="97">
        <f>IF(E457=0,0,(E464/E457)*G457)</f>
        <v>3272.5392555501821</v>
      </c>
      <c r="H464" s="97">
        <f>IF(E457=0,0,(E464/E457)*H457)</f>
        <v>4944.9338779418586</v>
      </c>
      <c r="I464" s="97">
        <v>0</v>
      </c>
      <c r="J464" s="92"/>
      <c r="K464" s="96">
        <f>I460</f>
        <v>10000</v>
      </c>
      <c r="L464" s="96">
        <v>10000</v>
      </c>
      <c r="M464" s="100">
        <f>IF(L464=0,0,(K464-L464)/L464)</f>
        <v>0</v>
      </c>
      <c r="N464" s="102"/>
      <c r="O464" s="102"/>
      <c r="P464" s="102"/>
      <c r="Q464" s="102"/>
      <c r="R464" s="102"/>
    </row>
    <row r="465" spans="1:18" ht="35.1" customHeight="1" x14ac:dyDescent="0.2">
      <c r="A465" s="99"/>
      <c r="B465" s="99"/>
      <c r="C465" s="92"/>
      <c r="D465" s="92"/>
      <c r="E465" s="92"/>
      <c r="F465" s="99"/>
      <c r="G465" s="99"/>
      <c r="H465" s="99"/>
      <c r="I465" s="99"/>
      <c r="J465" s="92"/>
      <c r="K465" s="92">
        <f>SUM(K461:K464)</f>
        <v>45000</v>
      </c>
      <c r="L465" s="92">
        <f>SUM(L461:L464)</f>
        <v>45000</v>
      </c>
      <c r="M465" s="100"/>
      <c r="N465" s="102"/>
      <c r="O465" s="102"/>
      <c r="P465" s="102"/>
      <c r="Q465" s="102"/>
      <c r="R465" s="102"/>
    </row>
    <row r="466" spans="1:18" ht="35.1" customHeight="1" x14ac:dyDescent="0.2">
      <c r="A466" s="99"/>
      <c r="B466" s="99"/>
      <c r="C466" s="92" t="s">
        <v>72</v>
      </c>
      <c r="D466" s="92"/>
      <c r="E466" s="92"/>
      <c r="F466" s="92"/>
      <c r="G466" s="92"/>
      <c r="H466" s="92"/>
      <c r="I466" s="92"/>
      <c r="J466" s="92"/>
      <c r="K466" s="92"/>
      <c r="L466" s="92"/>
      <c r="M466" s="92"/>
      <c r="N466" s="102"/>
      <c r="O466" s="102"/>
      <c r="P466" s="102"/>
      <c r="Q466" s="102"/>
      <c r="R466" s="102"/>
    </row>
    <row r="467" spans="1:18" ht="35.1" customHeight="1" x14ac:dyDescent="0.2">
      <c r="A467" s="99"/>
      <c r="B467" s="99"/>
      <c r="C467" s="92"/>
      <c r="D467" s="92"/>
      <c r="E467" s="92"/>
      <c r="F467" s="96">
        <v>7500</v>
      </c>
      <c r="G467" s="96">
        <v>12500</v>
      </c>
      <c r="H467" s="96">
        <v>15000</v>
      </c>
      <c r="I467" s="96">
        <v>10000</v>
      </c>
      <c r="J467" s="92"/>
      <c r="K467" s="92"/>
      <c r="L467" s="92"/>
      <c r="M467" s="92" t="s">
        <v>71</v>
      </c>
      <c r="N467" s="102"/>
      <c r="O467" s="102"/>
      <c r="P467" s="102"/>
      <c r="Q467" s="102"/>
      <c r="R467" s="102"/>
    </row>
    <row r="468" spans="1:18" ht="35.1" customHeight="1" x14ac:dyDescent="0.2">
      <c r="A468" s="99"/>
      <c r="B468" s="99"/>
      <c r="C468" s="92"/>
      <c r="D468" s="92"/>
      <c r="E468" s="96">
        <f>SUM(F468:I468)</f>
        <v>7500</v>
      </c>
      <c r="F468" s="101">
        <v>0</v>
      </c>
      <c r="G468" s="101">
        <f>IF(G460=0,0,(G467/G460)*G461)</f>
        <v>2444.9338779418595</v>
      </c>
      <c r="H468" s="101">
        <f>IF(H460=0,0,(H467/H460)*H461)</f>
        <v>3272.5392555501812</v>
      </c>
      <c r="I468" s="101">
        <f>IF(I460=0,0,(I467/I460)*I461)</f>
        <v>1782.5268665079589</v>
      </c>
      <c r="J468" s="92"/>
      <c r="K468" s="96">
        <f>E468</f>
        <v>7500</v>
      </c>
      <c r="L468" s="92">
        <v>7500</v>
      </c>
      <c r="M468" s="100">
        <f>IF(L468=0,0,(K468-L468)/L468)</f>
        <v>0</v>
      </c>
      <c r="N468" s="102"/>
      <c r="O468" s="102"/>
      <c r="P468" s="102"/>
      <c r="Q468" s="102"/>
      <c r="R468" s="102"/>
    </row>
    <row r="469" spans="1:18" ht="35.1" customHeight="1" x14ac:dyDescent="0.2">
      <c r="A469" s="99"/>
      <c r="B469" s="99"/>
      <c r="C469" s="92"/>
      <c r="D469" s="92"/>
      <c r="E469" s="96">
        <f>SUM(F469:I469)</f>
        <v>12500</v>
      </c>
      <c r="F469" s="101">
        <f>IF(F460=0,0,(F467/F460)*F462)</f>
        <v>2444.9338779418608</v>
      </c>
      <c r="G469" s="101">
        <v>0</v>
      </c>
      <c r="H469" s="101">
        <f>IF(H460=0,0,(H467/H460)*H462)</f>
        <v>6782.5268665079593</v>
      </c>
      <c r="I469" s="101">
        <f>IF(I460=0,0,(I467/I460)*I462)</f>
        <v>3272.5392555501812</v>
      </c>
      <c r="J469" s="92"/>
      <c r="K469" s="96">
        <f>E469</f>
        <v>12500</v>
      </c>
      <c r="L469" s="92">
        <v>12500</v>
      </c>
      <c r="M469" s="100">
        <f>IF(L469=0,0,(K469-L469)/L469)</f>
        <v>0</v>
      </c>
      <c r="N469" s="102"/>
      <c r="O469" s="102"/>
      <c r="P469" s="102"/>
      <c r="Q469" s="102"/>
      <c r="R469" s="102"/>
    </row>
    <row r="470" spans="1:18" ht="35.1" customHeight="1" x14ac:dyDescent="0.2">
      <c r="A470" s="99"/>
      <c r="B470" s="99"/>
      <c r="C470" s="92"/>
      <c r="D470" s="92"/>
      <c r="E470" s="96">
        <f>SUM(F470:I470)</f>
        <v>15000</v>
      </c>
      <c r="F470" s="101">
        <f>IF(F460=0,0,(F467/F460)*F463)</f>
        <v>3272.5392555501808</v>
      </c>
      <c r="G470" s="101">
        <f>IF(G460=0,0,(G467/G460)*G463)</f>
        <v>6782.5268665079593</v>
      </c>
      <c r="H470" s="101">
        <v>0</v>
      </c>
      <c r="I470" s="101">
        <f>IF(I460=0,0,(I467/I460)*I463)</f>
        <v>4944.9338779418604</v>
      </c>
      <c r="J470" s="92"/>
      <c r="K470" s="96">
        <f>E470</f>
        <v>15000</v>
      </c>
      <c r="L470" s="92">
        <v>15000</v>
      </c>
      <c r="M470" s="100">
        <f>IF(L470=0,0,(K470-L470)/L470)</f>
        <v>0</v>
      </c>
      <c r="N470" s="102"/>
      <c r="O470" s="102"/>
      <c r="P470" s="102"/>
      <c r="Q470" s="102"/>
      <c r="R470" s="102"/>
    </row>
    <row r="471" spans="1:18" ht="35.1" customHeight="1" x14ac:dyDescent="0.2">
      <c r="A471" s="99"/>
      <c r="B471" s="99"/>
      <c r="C471" s="92"/>
      <c r="D471" s="92"/>
      <c r="E471" s="96">
        <f>SUM(F471:I471)</f>
        <v>10000</v>
      </c>
      <c r="F471" s="101">
        <f>IF(F460=0,0,(F467/F460)*F464)</f>
        <v>1782.5268665079598</v>
      </c>
      <c r="G471" s="101">
        <f>IF(G460=0,0,(G467/G460)*G464)</f>
        <v>3272.5392555501821</v>
      </c>
      <c r="H471" s="101">
        <f>IF(H460=0,0,(H467/H460)*H464)</f>
        <v>4944.9338779418586</v>
      </c>
      <c r="I471" s="101">
        <v>0</v>
      </c>
      <c r="J471" s="92"/>
      <c r="K471" s="96">
        <f>E471</f>
        <v>10000</v>
      </c>
      <c r="L471" s="92">
        <v>10000</v>
      </c>
      <c r="M471" s="100">
        <f>IF(L471=0,0,(K471-L471)/L471)</f>
        <v>0</v>
      </c>
      <c r="N471" s="102"/>
      <c r="O471" s="102"/>
      <c r="P471" s="102"/>
      <c r="Q471" s="102"/>
      <c r="R471" s="102"/>
    </row>
    <row r="472" spans="1:18" ht="35.1" customHeight="1" x14ac:dyDescent="0.2">
      <c r="A472" s="99"/>
      <c r="B472" s="99"/>
      <c r="C472" s="92"/>
      <c r="D472" s="92"/>
      <c r="E472" s="92"/>
      <c r="F472" s="92"/>
      <c r="G472" s="92"/>
      <c r="H472" s="92"/>
      <c r="I472" s="92"/>
      <c r="J472" s="92"/>
      <c r="K472" s="92">
        <f>SUM(K468:K471)</f>
        <v>45000</v>
      </c>
      <c r="L472" s="92">
        <f>SUM(L468:L471)</f>
        <v>45000</v>
      </c>
      <c r="M472" s="100"/>
      <c r="N472" s="102"/>
      <c r="O472" s="102"/>
      <c r="P472" s="102"/>
      <c r="Q472" s="102"/>
      <c r="R472" s="102"/>
    </row>
    <row r="473" spans="1:18" ht="35.1" customHeight="1" x14ac:dyDescent="0.2">
      <c r="A473" s="99"/>
      <c r="B473" s="99"/>
      <c r="C473" s="92" t="s">
        <v>70</v>
      </c>
      <c r="D473" s="92"/>
      <c r="E473" s="92"/>
      <c r="F473" s="92"/>
      <c r="G473" s="92"/>
      <c r="H473" s="92"/>
      <c r="I473" s="92"/>
      <c r="J473" s="92"/>
      <c r="K473" s="92"/>
      <c r="L473" s="92"/>
      <c r="M473" s="92"/>
      <c r="N473" s="102"/>
      <c r="O473" s="102"/>
      <c r="P473" s="102"/>
      <c r="Q473" s="102"/>
      <c r="R473" s="102"/>
    </row>
    <row r="474" spans="1:18" ht="35.1" customHeight="1" x14ac:dyDescent="0.2">
      <c r="A474" s="99"/>
      <c r="B474" s="99"/>
      <c r="C474" s="92"/>
      <c r="D474" s="92"/>
      <c r="E474" s="92"/>
      <c r="F474" s="96">
        <f>SUM(F475:F478)</f>
        <v>7500.0000000000018</v>
      </c>
      <c r="G474" s="96">
        <f>SUM(G475:G478)</f>
        <v>12500</v>
      </c>
      <c r="H474" s="96">
        <f>SUM(H475:H478)</f>
        <v>15000</v>
      </c>
      <c r="I474" s="96">
        <f>SUM(I475:I478)</f>
        <v>10000</v>
      </c>
      <c r="J474" s="92"/>
      <c r="K474" s="92"/>
      <c r="L474" s="92"/>
      <c r="M474" s="92" t="s">
        <v>71</v>
      </c>
      <c r="N474" s="102"/>
      <c r="O474" s="102"/>
      <c r="P474" s="102"/>
      <c r="Q474" s="102"/>
      <c r="R474" s="102"/>
    </row>
    <row r="475" spans="1:18" ht="35.1" customHeight="1" x14ac:dyDescent="0.2">
      <c r="A475" s="99"/>
      <c r="B475" s="99"/>
      <c r="C475" s="92"/>
      <c r="D475" s="92"/>
      <c r="E475" s="92">
        <v>7500</v>
      </c>
      <c r="F475" s="97">
        <v>0</v>
      </c>
      <c r="G475" s="97">
        <f>IF(E468=0,0,(E475/E468)*G468)</f>
        <v>2444.9338779418595</v>
      </c>
      <c r="H475" s="97">
        <f>IF(E468=0,0,(E475/E468)*H468)</f>
        <v>3272.5392555501812</v>
      </c>
      <c r="I475" s="97">
        <f>IF(E468=0,0,(E475/E468)*I468)</f>
        <v>1782.5268665079589</v>
      </c>
      <c r="J475" s="92"/>
      <c r="K475" s="96">
        <f>F474</f>
        <v>7500.0000000000018</v>
      </c>
      <c r="L475" s="96">
        <v>7500</v>
      </c>
      <c r="M475" s="100">
        <f>IF(L475=0,0,(K475-L475)/L475)</f>
        <v>2.4253192047278088E-16</v>
      </c>
      <c r="N475" s="102"/>
      <c r="O475" s="102"/>
      <c r="P475" s="102"/>
      <c r="Q475" s="102"/>
      <c r="R475" s="102"/>
    </row>
    <row r="476" spans="1:18" ht="35.1" customHeight="1" x14ac:dyDescent="0.2">
      <c r="A476" s="99"/>
      <c r="B476" s="99"/>
      <c r="C476" s="92"/>
      <c r="D476" s="92"/>
      <c r="E476" s="92">
        <v>12500</v>
      </c>
      <c r="F476" s="97">
        <f>IF(E469=0,0,(E476/E469)*F469)</f>
        <v>2444.9338779418608</v>
      </c>
      <c r="G476" s="97">
        <v>0</v>
      </c>
      <c r="H476" s="97">
        <f>IF(E469=0,0,(E476/E469)*H469)</f>
        <v>6782.5268665079593</v>
      </c>
      <c r="I476" s="97">
        <f>IF(E469=0,0,(E476/E469)*I469)</f>
        <v>3272.5392555501812</v>
      </c>
      <c r="J476" s="92"/>
      <c r="K476" s="96">
        <f>G474</f>
        <v>12500</v>
      </c>
      <c r="L476" s="96">
        <v>12500</v>
      </c>
      <c r="M476" s="100">
        <f>IF(L476=0,0,(K476-L476)/L476)</f>
        <v>0</v>
      </c>
      <c r="N476" s="102"/>
      <c r="O476" s="102"/>
      <c r="P476" s="102"/>
      <c r="Q476" s="102"/>
      <c r="R476" s="102"/>
    </row>
    <row r="477" spans="1:18" ht="35.1" customHeight="1" x14ac:dyDescent="0.2">
      <c r="A477" s="99"/>
      <c r="B477" s="99"/>
      <c r="C477" s="92"/>
      <c r="D477" s="92"/>
      <c r="E477" s="92">
        <v>15000</v>
      </c>
      <c r="F477" s="97">
        <f>IF(E470=0,0,(E477/E470)*F470)</f>
        <v>3272.5392555501808</v>
      </c>
      <c r="G477" s="97">
        <f>IF(E470=0,0,(E477/E470)*G470)</f>
        <v>6782.5268665079593</v>
      </c>
      <c r="H477" s="97">
        <v>0</v>
      </c>
      <c r="I477" s="97">
        <f>IF(E470=0,0,(E477/E470)*I470)</f>
        <v>4944.9338779418604</v>
      </c>
      <c r="J477" s="92"/>
      <c r="K477" s="96">
        <f>H474</f>
        <v>15000</v>
      </c>
      <c r="L477" s="96">
        <v>15000</v>
      </c>
      <c r="M477" s="100">
        <f>IF(L477=0,0,(K477-L477)/L477)</f>
        <v>0</v>
      </c>
      <c r="N477" s="102"/>
      <c r="O477" s="102"/>
      <c r="P477" s="102"/>
      <c r="Q477" s="102"/>
      <c r="R477" s="102"/>
    </row>
    <row r="478" spans="1:18" ht="35.1" customHeight="1" x14ac:dyDescent="0.2">
      <c r="A478" s="99"/>
      <c r="B478" s="99"/>
      <c r="C478" s="92"/>
      <c r="D478" s="92"/>
      <c r="E478" s="92">
        <v>10000</v>
      </c>
      <c r="F478" s="97">
        <f>IF(E471=0,0,(E478/E471)*F471)</f>
        <v>1782.5268665079598</v>
      </c>
      <c r="G478" s="97">
        <f>IF(E471=0,0,(E478/E471)*G471)</f>
        <v>3272.5392555501821</v>
      </c>
      <c r="H478" s="97">
        <f>IF(E471=0,0,(E478/E471)*H471)</f>
        <v>4944.9338779418586</v>
      </c>
      <c r="I478" s="97">
        <v>0</v>
      </c>
      <c r="J478" s="92"/>
      <c r="K478" s="96">
        <f>I474</f>
        <v>10000</v>
      </c>
      <c r="L478" s="96">
        <v>10000</v>
      </c>
      <c r="M478" s="100">
        <f>IF(L478=0,0,(K478-L478)/L478)</f>
        <v>0</v>
      </c>
      <c r="N478" s="102"/>
      <c r="O478" s="102"/>
      <c r="P478" s="102"/>
      <c r="Q478" s="102"/>
      <c r="R478" s="102"/>
    </row>
    <row r="479" spans="1:18" ht="35.1" customHeight="1" x14ac:dyDescent="0.2">
      <c r="A479" s="99"/>
      <c r="B479" s="99"/>
      <c r="C479" s="92"/>
      <c r="D479" s="92"/>
      <c r="E479" s="92"/>
      <c r="F479" s="99"/>
      <c r="G479" s="99"/>
      <c r="H479" s="99"/>
      <c r="I479" s="99"/>
      <c r="J479" s="92"/>
      <c r="K479" s="92">
        <f>SUM(K475:K478)</f>
        <v>45000</v>
      </c>
      <c r="L479" s="92">
        <f>SUM(L475:L478)</f>
        <v>45000</v>
      </c>
      <c r="M479" s="100"/>
      <c r="N479" s="102"/>
      <c r="O479" s="102"/>
      <c r="P479" s="102"/>
      <c r="Q479" s="102"/>
      <c r="R479" s="102"/>
    </row>
    <row r="480" spans="1:18" ht="35.1" customHeight="1" x14ac:dyDescent="0.2">
      <c r="A480" s="99"/>
      <c r="B480" s="99"/>
      <c r="C480" s="92" t="s">
        <v>72</v>
      </c>
      <c r="D480" s="92"/>
      <c r="E480" s="92"/>
      <c r="F480" s="92"/>
      <c r="G480" s="92"/>
      <c r="H480" s="92"/>
      <c r="I480" s="92"/>
      <c r="J480" s="92"/>
      <c r="K480" s="92"/>
      <c r="L480" s="92"/>
      <c r="M480" s="92"/>
      <c r="N480" s="102"/>
      <c r="O480" s="102"/>
      <c r="P480" s="102"/>
      <c r="Q480" s="102"/>
      <c r="R480" s="102"/>
    </row>
    <row r="481" spans="1:18" ht="35.1" customHeight="1" x14ac:dyDescent="0.2">
      <c r="A481" s="99"/>
      <c r="B481" s="99"/>
      <c r="C481" s="92"/>
      <c r="D481" s="92"/>
      <c r="E481" s="92"/>
      <c r="F481" s="96">
        <v>7500</v>
      </c>
      <c r="G481" s="96">
        <v>12500</v>
      </c>
      <c r="H481" s="96">
        <v>15000</v>
      </c>
      <c r="I481" s="96">
        <v>10000</v>
      </c>
      <c r="J481" s="92"/>
      <c r="K481" s="92"/>
      <c r="L481" s="92"/>
      <c r="M481" s="92" t="s">
        <v>71</v>
      </c>
      <c r="N481" s="102"/>
      <c r="O481" s="102"/>
      <c r="P481" s="102"/>
      <c r="Q481" s="102"/>
      <c r="R481" s="102"/>
    </row>
    <row r="482" spans="1:18" ht="35.1" customHeight="1" x14ac:dyDescent="0.2">
      <c r="A482" s="99"/>
      <c r="B482" s="99"/>
      <c r="C482" s="92"/>
      <c r="D482" s="92"/>
      <c r="E482" s="96">
        <f>SUM(F482:I482)</f>
        <v>7500</v>
      </c>
      <c r="F482" s="101">
        <v>0</v>
      </c>
      <c r="G482" s="101">
        <f>IF(G474=0,0,(G481/G474)*G475)</f>
        <v>2444.9338779418595</v>
      </c>
      <c r="H482" s="101">
        <f>IF(H474=0,0,(H481/H474)*H475)</f>
        <v>3272.5392555501812</v>
      </c>
      <c r="I482" s="101">
        <f>IF(I474=0,0,(I481/I474)*I475)</f>
        <v>1782.5268665079589</v>
      </c>
      <c r="J482" s="92"/>
      <c r="K482" s="96">
        <f>E482</f>
        <v>7500</v>
      </c>
      <c r="L482" s="92">
        <v>7500</v>
      </c>
      <c r="M482" s="100">
        <f>IF(L482=0,0,(K482-L482)/L482)</f>
        <v>0</v>
      </c>
      <c r="N482" s="102"/>
      <c r="O482" s="102"/>
      <c r="P482" s="102"/>
      <c r="Q482" s="102"/>
      <c r="R482" s="102"/>
    </row>
    <row r="483" spans="1:18" ht="35.1" customHeight="1" x14ac:dyDescent="0.2">
      <c r="A483" s="99"/>
      <c r="B483" s="99"/>
      <c r="C483" s="92"/>
      <c r="D483" s="92"/>
      <c r="E483" s="96">
        <f>SUM(F483:I483)</f>
        <v>12500</v>
      </c>
      <c r="F483" s="101">
        <f>IF(F474=0,0,(F481/F474)*F476)</f>
        <v>2444.9338779418604</v>
      </c>
      <c r="G483" s="101">
        <v>0</v>
      </c>
      <c r="H483" s="101">
        <f>IF(H474=0,0,(H481/H474)*H476)</f>
        <v>6782.5268665079593</v>
      </c>
      <c r="I483" s="101">
        <f>IF(I474=0,0,(I481/I474)*I476)</f>
        <v>3272.5392555501812</v>
      </c>
      <c r="J483" s="92"/>
      <c r="K483" s="96">
        <f>E483</f>
        <v>12500</v>
      </c>
      <c r="L483" s="92">
        <v>12500</v>
      </c>
      <c r="M483" s="100">
        <f>IF(L483=0,0,(K483-L483)/L483)</f>
        <v>0</v>
      </c>
      <c r="N483" s="102"/>
      <c r="O483" s="102"/>
      <c r="P483" s="102"/>
      <c r="Q483" s="102"/>
      <c r="R483" s="102"/>
    </row>
    <row r="484" spans="1:18" ht="35.1" customHeight="1" x14ac:dyDescent="0.2">
      <c r="A484" s="99"/>
      <c r="B484" s="99"/>
      <c r="C484" s="92"/>
      <c r="D484" s="92"/>
      <c r="E484" s="96">
        <f>SUM(F484:I484)</f>
        <v>15000</v>
      </c>
      <c r="F484" s="101">
        <f>IF(F474=0,0,(F481/F474)*F477)</f>
        <v>3272.5392555501799</v>
      </c>
      <c r="G484" s="101">
        <f>IF(G474=0,0,(G481/G474)*G477)</f>
        <v>6782.5268665079593</v>
      </c>
      <c r="H484" s="101">
        <v>0</v>
      </c>
      <c r="I484" s="101">
        <f>IF(I474=0,0,(I481/I474)*I477)</f>
        <v>4944.9338779418604</v>
      </c>
      <c r="J484" s="92"/>
      <c r="K484" s="96">
        <f>E484</f>
        <v>15000</v>
      </c>
      <c r="L484" s="92">
        <v>15000</v>
      </c>
      <c r="M484" s="100">
        <f>IF(L484=0,0,(K484-L484)/L484)</f>
        <v>0</v>
      </c>
      <c r="N484" s="102"/>
      <c r="O484" s="102"/>
      <c r="P484" s="102"/>
      <c r="Q484" s="102"/>
      <c r="R484" s="102"/>
    </row>
    <row r="485" spans="1:18" ht="35.1" customHeight="1" x14ac:dyDescent="0.2">
      <c r="A485" s="99"/>
      <c r="B485" s="99"/>
      <c r="C485" s="92"/>
      <c r="D485" s="92"/>
      <c r="E485" s="96">
        <f>SUM(F485:I485)</f>
        <v>10000</v>
      </c>
      <c r="F485" s="101">
        <f>IF(F474=0,0,(F481/F474)*F478)</f>
        <v>1782.5268665079593</v>
      </c>
      <c r="G485" s="101">
        <f>IF(G474=0,0,(G481/G474)*G478)</f>
        <v>3272.5392555501821</v>
      </c>
      <c r="H485" s="101">
        <f>IF(H474=0,0,(H481/H474)*H478)</f>
        <v>4944.9338779418586</v>
      </c>
      <c r="I485" s="101">
        <v>0</v>
      </c>
      <c r="J485" s="92"/>
      <c r="K485" s="96">
        <f>E485</f>
        <v>10000</v>
      </c>
      <c r="L485" s="92">
        <v>10000</v>
      </c>
      <c r="M485" s="100">
        <f>IF(L485=0,0,(K485-L485)/L485)</f>
        <v>0</v>
      </c>
      <c r="N485" s="102"/>
      <c r="O485" s="102"/>
      <c r="P485" s="102"/>
      <c r="Q485" s="102"/>
      <c r="R485" s="102"/>
    </row>
    <row r="486" spans="1:18" ht="35.1" customHeight="1" x14ac:dyDescent="0.2">
      <c r="A486" s="99"/>
      <c r="B486" s="99"/>
      <c r="C486" s="92"/>
      <c r="D486" s="92"/>
      <c r="E486" s="92"/>
      <c r="F486" s="92"/>
      <c r="G486" s="92"/>
      <c r="H486" s="92"/>
      <c r="I486" s="92"/>
      <c r="J486" s="92"/>
      <c r="K486" s="92">
        <f>SUM(K482:K485)</f>
        <v>45000</v>
      </c>
      <c r="L486" s="92">
        <f>SUM(L482:L485)</f>
        <v>45000</v>
      </c>
      <c r="M486" s="100"/>
      <c r="N486" s="102"/>
      <c r="O486" s="102"/>
      <c r="P486" s="102"/>
      <c r="Q486" s="102"/>
      <c r="R486" s="102"/>
    </row>
    <row r="487" spans="1:18" ht="35.1" customHeight="1" x14ac:dyDescent="0.2">
      <c r="A487" s="99"/>
      <c r="B487" s="99"/>
      <c r="C487" s="92" t="s">
        <v>70</v>
      </c>
      <c r="D487" s="92"/>
      <c r="E487" s="92"/>
      <c r="F487" s="92"/>
      <c r="G487" s="92"/>
      <c r="H487" s="92"/>
      <c r="I487" s="92"/>
      <c r="J487" s="92"/>
      <c r="K487" s="92"/>
      <c r="L487" s="92"/>
      <c r="M487" s="92"/>
      <c r="N487" s="102"/>
      <c r="O487" s="102"/>
      <c r="P487" s="102"/>
      <c r="Q487" s="102"/>
      <c r="R487" s="102"/>
    </row>
    <row r="488" spans="1:18" ht="35.1" customHeight="1" x14ac:dyDescent="0.2">
      <c r="A488" s="99"/>
      <c r="B488" s="99"/>
      <c r="C488" s="92"/>
      <c r="D488" s="92"/>
      <c r="E488" s="92"/>
      <c r="F488" s="96">
        <f>SUM(F489:F492)</f>
        <v>7499.9999999999991</v>
      </c>
      <c r="G488" s="96">
        <f>SUM(G489:G492)</f>
        <v>12500</v>
      </c>
      <c r="H488" s="96">
        <f>SUM(H489:H492)</f>
        <v>15000</v>
      </c>
      <c r="I488" s="96">
        <f>SUM(I489:I492)</f>
        <v>10000</v>
      </c>
      <c r="J488" s="92"/>
      <c r="K488" s="92"/>
      <c r="L488" s="92"/>
      <c r="M488" s="92" t="s">
        <v>71</v>
      </c>
      <c r="N488" s="102"/>
      <c r="O488" s="102"/>
      <c r="P488" s="102"/>
      <c r="Q488" s="102"/>
      <c r="R488" s="102"/>
    </row>
    <row r="489" spans="1:18" ht="35.1" customHeight="1" x14ac:dyDescent="0.2">
      <c r="A489" s="99"/>
      <c r="B489" s="99"/>
      <c r="C489" s="92"/>
      <c r="D489" s="92"/>
      <c r="E489" s="92">
        <v>7500</v>
      </c>
      <c r="F489" s="97">
        <v>0</v>
      </c>
      <c r="G489" s="97">
        <f>IF(E482=0,0,(E489/E482)*G482)</f>
        <v>2444.9338779418595</v>
      </c>
      <c r="H489" s="97">
        <f>IF(E482=0,0,(E489/E482)*H482)</f>
        <v>3272.5392555501812</v>
      </c>
      <c r="I489" s="97">
        <f>IF(E482=0,0,(E489/E482)*I482)</f>
        <v>1782.5268665079589</v>
      </c>
      <c r="J489" s="92"/>
      <c r="K489" s="96">
        <f>F488</f>
        <v>7499.9999999999991</v>
      </c>
      <c r="L489" s="96">
        <v>7500</v>
      </c>
      <c r="M489" s="100">
        <f>IF(L489=0,0,(K489-L489)/L489)</f>
        <v>-1.2126596023639044E-16</v>
      </c>
      <c r="N489" s="102"/>
      <c r="O489" s="102"/>
      <c r="P489" s="102"/>
      <c r="Q489" s="102"/>
      <c r="R489" s="102"/>
    </row>
    <row r="490" spans="1:18" ht="35.1" customHeight="1" x14ac:dyDescent="0.2">
      <c r="A490" s="99"/>
      <c r="B490" s="99"/>
      <c r="C490" s="92"/>
      <c r="D490" s="92"/>
      <c r="E490" s="92">
        <v>12500</v>
      </c>
      <c r="F490" s="97">
        <f>IF(E483=0,0,(E490/E483)*F483)</f>
        <v>2444.9338779418604</v>
      </c>
      <c r="G490" s="97">
        <v>0</v>
      </c>
      <c r="H490" s="97">
        <f>IF(E483=0,0,(E490/E483)*H483)</f>
        <v>6782.5268665079593</v>
      </c>
      <c r="I490" s="97">
        <f>IF(E483=0,0,(E490/E483)*I483)</f>
        <v>3272.5392555501812</v>
      </c>
      <c r="J490" s="92"/>
      <c r="K490" s="96">
        <f>G488</f>
        <v>12500</v>
      </c>
      <c r="L490" s="96">
        <v>12500</v>
      </c>
      <c r="M490" s="100">
        <f>IF(L490=0,0,(K490-L490)/L490)</f>
        <v>0</v>
      </c>
      <c r="N490" s="102"/>
      <c r="O490" s="102"/>
      <c r="P490" s="102"/>
      <c r="Q490" s="102"/>
      <c r="R490" s="102"/>
    </row>
    <row r="491" spans="1:18" ht="35.1" customHeight="1" x14ac:dyDescent="0.2">
      <c r="A491" s="99"/>
      <c r="B491" s="99"/>
      <c r="C491" s="92"/>
      <c r="D491" s="92"/>
      <c r="E491" s="92">
        <v>15000</v>
      </c>
      <c r="F491" s="97">
        <f>IF(E484=0,0,(E491/E484)*F484)</f>
        <v>3272.5392555501799</v>
      </c>
      <c r="G491" s="97">
        <f>IF(E484=0,0,(E491/E484)*G484)</f>
        <v>6782.5268665079593</v>
      </c>
      <c r="H491" s="97">
        <v>0</v>
      </c>
      <c r="I491" s="97">
        <f>IF(E484=0,0,(E491/E484)*I484)</f>
        <v>4944.9338779418604</v>
      </c>
      <c r="J491" s="92"/>
      <c r="K491" s="96">
        <f>H488</f>
        <v>15000</v>
      </c>
      <c r="L491" s="96">
        <v>15000</v>
      </c>
      <c r="M491" s="100">
        <f>IF(L491=0,0,(K491-L491)/L491)</f>
        <v>0</v>
      </c>
      <c r="N491" s="102"/>
      <c r="O491" s="102"/>
      <c r="P491" s="102"/>
      <c r="Q491" s="102"/>
      <c r="R491" s="102"/>
    </row>
    <row r="492" spans="1:18" ht="35.1" customHeight="1" x14ac:dyDescent="0.2">
      <c r="A492" s="99"/>
      <c r="B492" s="99"/>
      <c r="C492" s="92"/>
      <c r="D492" s="92"/>
      <c r="E492" s="92">
        <v>10000</v>
      </c>
      <c r="F492" s="97">
        <f>IF(E485=0,0,(E492/E485)*F485)</f>
        <v>1782.5268665079593</v>
      </c>
      <c r="G492" s="97">
        <f>IF(E485=0,0,(E492/E485)*G485)</f>
        <v>3272.5392555501821</v>
      </c>
      <c r="H492" s="97">
        <f>IF(E485=0,0,(E492/E485)*H485)</f>
        <v>4944.9338779418586</v>
      </c>
      <c r="I492" s="97">
        <v>0</v>
      </c>
      <c r="J492" s="92"/>
      <c r="K492" s="96">
        <f>I488</f>
        <v>10000</v>
      </c>
      <c r="L492" s="96">
        <v>10000</v>
      </c>
      <c r="M492" s="100">
        <f>IF(L492=0,0,(K492-L492)/L492)</f>
        <v>0</v>
      </c>
      <c r="N492" s="102"/>
      <c r="O492" s="102"/>
      <c r="P492" s="102"/>
      <c r="Q492" s="102"/>
      <c r="R492" s="102"/>
    </row>
    <row r="493" spans="1:18" ht="35.1" customHeight="1" x14ac:dyDescent="0.2">
      <c r="A493" s="99"/>
      <c r="B493" s="99"/>
      <c r="C493" s="92"/>
      <c r="D493" s="92"/>
      <c r="E493" s="92"/>
      <c r="F493" s="99"/>
      <c r="G493" s="99"/>
      <c r="H493" s="99"/>
      <c r="I493" s="99"/>
      <c r="J493" s="92"/>
      <c r="K493" s="92">
        <f>SUM(K489:K492)</f>
        <v>45000</v>
      </c>
      <c r="L493" s="92">
        <f>SUM(L489:L492)</f>
        <v>45000</v>
      </c>
      <c r="M493" s="100"/>
      <c r="N493" s="102"/>
      <c r="O493" s="102"/>
      <c r="P493" s="102"/>
      <c r="Q493" s="102"/>
      <c r="R493" s="102"/>
    </row>
    <row r="494" spans="1:18" ht="35.1" customHeight="1" x14ac:dyDescent="0.2">
      <c r="A494" s="99"/>
      <c r="B494" s="99"/>
      <c r="C494" s="92" t="s">
        <v>72</v>
      </c>
      <c r="D494" s="92"/>
      <c r="E494" s="92"/>
      <c r="F494" s="92"/>
      <c r="G494" s="92"/>
      <c r="H494" s="92"/>
      <c r="I494" s="92"/>
      <c r="J494" s="92"/>
      <c r="K494" s="92"/>
      <c r="L494" s="92"/>
      <c r="M494" s="92"/>
      <c r="N494" s="102"/>
      <c r="O494" s="102"/>
      <c r="P494" s="102"/>
      <c r="Q494" s="102"/>
      <c r="R494" s="102"/>
    </row>
    <row r="495" spans="1:18" ht="35.1" customHeight="1" x14ac:dyDescent="0.2">
      <c r="A495" s="99"/>
      <c r="B495" s="99"/>
      <c r="C495" s="92"/>
      <c r="D495" s="92"/>
      <c r="E495" s="92"/>
      <c r="F495" s="96">
        <v>7500</v>
      </c>
      <c r="G495" s="96">
        <v>12500</v>
      </c>
      <c r="H495" s="96">
        <v>15000</v>
      </c>
      <c r="I495" s="96">
        <v>10000</v>
      </c>
      <c r="J495" s="92"/>
      <c r="K495" s="92"/>
      <c r="L495" s="92"/>
      <c r="M495" s="92" t="s">
        <v>71</v>
      </c>
      <c r="N495" s="102"/>
      <c r="O495" s="102"/>
      <c r="P495" s="102"/>
      <c r="Q495" s="102"/>
      <c r="R495" s="102"/>
    </row>
    <row r="496" spans="1:18" ht="35.1" customHeight="1" x14ac:dyDescent="0.2">
      <c r="A496" s="99"/>
      <c r="B496" s="99"/>
      <c r="C496" s="92"/>
      <c r="D496" s="92"/>
      <c r="E496" s="96">
        <f>SUM(F496:I496)</f>
        <v>7500</v>
      </c>
      <c r="F496" s="101">
        <v>0</v>
      </c>
      <c r="G496" s="101">
        <f>IF(G488=0,0,(G495/G488)*G489)</f>
        <v>2444.9338779418595</v>
      </c>
      <c r="H496" s="101">
        <f>IF(H488=0,0,(H495/H488)*H489)</f>
        <v>3272.5392555501812</v>
      </c>
      <c r="I496" s="101">
        <f>IF(I488=0,0,(I495/I488)*I489)</f>
        <v>1782.5268665079589</v>
      </c>
      <c r="J496" s="92"/>
      <c r="K496" s="96">
        <f>E496</f>
        <v>7500</v>
      </c>
      <c r="L496" s="92">
        <v>7500</v>
      </c>
      <c r="M496" s="100">
        <f>IF(L496=0,0,(K496-L496)/L496)</f>
        <v>0</v>
      </c>
      <c r="N496" s="102"/>
      <c r="O496" s="102"/>
      <c r="P496" s="102"/>
      <c r="Q496" s="102"/>
      <c r="R496" s="102"/>
    </row>
    <row r="497" spans="1:18" ht="35.1" customHeight="1" x14ac:dyDescent="0.2">
      <c r="A497" s="99"/>
      <c r="B497" s="99"/>
      <c r="C497" s="92"/>
      <c r="D497" s="92"/>
      <c r="E497" s="96">
        <f>SUM(F497:I497)</f>
        <v>12500</v>
      </c>
      <c r="F497" s="101">
        <f>IF(F488=0,0,(F495/F488)*F490)</f>
        <v>2444.9338779418608</v>
      </c>
      <c r="G497" s="101">
        <v>0</v>
      </c>
      <c r="H497" s="101">
        <f>IF(H488=0,0,(H495/H488)*H490)</f>
        <v>6782.5268665079593</v>
      </c>
      <c r="I497" s="101">
        <f>IF(I488=0,0,(I495/I488)*I490)</f>
        <v>3272.5392555501812</v>
      </c>
      <c r="J497" s="92"/>
      <c r="K497" s="96">
        <f>E497</f>
        <v>12500</v>
      </c>
      <c r="L497" s="92">
        <v>12500</v>
      </c>
      <c r="M497" s="100">
        <f>IF(L497=0,0,(K497-L497)/L497)</f>
        <v>0</v>
      </c>
      <c r="N497" s="102"/>
      <c r="O497" s="102"/>
      <c r="P497" s="102"/>
      <c r="Q497" s="102"/>
      <c r="R497" s="102"/>
    </row>
    <row r="498" spans="1:18" ht="35.1" customHeight="1" x14ac:dyDescent="0.2">
      <c r="A498" s="99"/>
      <c r="B498" s="99"/>
      <c r="C498" s="92"/>
      <c r="D498" s="92"/>
      <c r="E498" s="96">
        <f>SUM(F498:I498)</f>
        <v>15000</v>
      </c>
      <c r="F498" s="101">
        <f>IF(F488=0,0,(F495/F488)*F491)</f>
        <v>3272.5392555501808</v>
      </c>
      <c r="G498" s="101">
        <f>IF(G488=0,0,(G495/G488)*G491)</f>
        <v>6782.5268665079593</v>
      </c>
      <c r="H498" s="101">
        <v>0</v>
      </c>
      <c r="I498" s="101">
        <f>IF(I488=0,0,(I495/I488)*I491)</f>
        <v>4944.9338779418604</v>
      </c>
      <c r="J498" s="92"/>
      <c r="K498" s="96">
        <f>E498</f>
        <v>15000</v>
      </c>
      <c r="L498" s="92">
        <v>15000</v>
      </c>
      <c r="M498" s="100">
        <f>IF(L498=0,0,(K498-L498)/L498)</f>
        <v>0</v>
      </c>
      <c r="N498" s="102"/>
      <c r="O498" s="102"/>
      <c r="P498" s="102"/>
      <c r="Q498" s="102"/>
      <c r="R498" s="102"/>
    </row>
    <row r="499" spans="1:18" ht="35.1" customHeight="1" x14ac:dyDescent="0.2">
      <c r="A499" s="99"/>
      <c r="B499" s="99"/>
      <c r="C499" s="92"/>
      <c r="D499" s="92"/>
      <c r="E499" s="96">
        <f>SUM(F499:I499)</f>
        <v>10000</v>
      </c>
      <c r="F499" s="101">
        <f>IF(F488=0,0,(F495/F488)*F492)</f>
        <v>1782.5268665079598</v>
      </c>
      <c r="G499" s="101">
        <f>IF(G488=0,0,(G495/G488)*G492)</f>
        <v>3272.5392555501821</v>
      </c>
      <c r="H499" s="101">
        <f>IF(H488=0,0,(H495/H488)*H492)</f>
        <v>4944.9338779418586</v>
      </c>
      <c r="I499" s="101">
        <v>0</v>
      </c>
      <c r="J499" s="92"/>
      <c r="K499" s="96">
        <f>E499</f>
        <v>10000</v>
      </c>
      <c r="L499" s="92">
        <v>10000</v>
      </c>
      <c r="M499" s="100">
        <f>IF(L499=0,0,(K499-L499)/L499)</f>
        <v>0</v>
      </c>
      <c r="N499" s="102"/>
      <c r="O499" s="102"/>
      <c r="P499" s="102"/>
      <c r="Q499" s="102"/>
      <c r="R499" s="102"/>
    </row>
    <row r="500" spans="1:18" ht="35.1" customHeight="1" x14ac:dyDescent="0.2">
      <c r="A500" s="99"/>
      <c r="B500" s="99"/>
      <c r="C500" s="92"/>
      <c r="D500" s="92"/>
      <c r="E500" s="92"/>
      <c r="F500" s="92"/>
      <c r="G500" s="92"/>
      <c r="H500" s="92"/>
      <c r="I500" s="92"/>
      <c r="J500" s="92"/>
      <c r="K500" s="92">
        <f>SUM(K496:K499)</f>
        <v>45000</v>
      </c>
      <c r="L500" s="92">
        <f>SUM(L496:L499)</f>
        <v>45000</v>
      </c>
      <c r="M500" s="100"/>
      <c r="N500" s="102"/>
      <c r="O500" s="102"/>
      <c r="P500" s="102"/>
      <c r="Q500" s="102"/>
      <c r="R500" s="102"/>
    </row>
    <row r="501" spans="1:18" ht="35.1" customHeight="1" x14ac:dyDescent="0.2">
      <c r="A501" s="99"/>
      <c r="B501" s="99"/>
      <c r="C501" s="92" t="s">
        <v>70</v>
      </c>
      <c r="D501" s="92"/>
      <c r="E501" s="92"/>
      <c r="F501" s="92"/>
      <c r="G501" s="92"/>
      <c r="H501" s="92"/>
      <c r="I501" s="92"/>
      <c r="J501" s="92"/>
      <c r="K501" s="92"/>
      <c r="L501" s="92"/>
      <c r="M501" s="92"/>
      <c r="N501" s="102"/>
      <c r="O501" s="102"/>
      <c r="P501" s="102"/>
      <c r="Q501" s="102"/>
      <c r="R501" s="102"/>
    </row>
    <row r="502" spans="1:18" ht="35.1" customHeight="1" x14ac:dyDescent="0.2">
      <c r="A502" s="99"/>
      <c r="B502" s="99"/>
      <c r="C502" s="92"/>
      <c r="D502" s="92"/>
      <c r="E502" s="92"/>
      <c r="F502" s="96">
        <f>SUM(F503:F506)</f>
        <v>7500.0000000000018</v>
      </c>
      <c r="G502" s="96">
        <f>SUM(G503:G506)</f>
        <v>12500</v>
      </c>
      <c r="H502" s="96">
        <f>SUM(H503:H506)</f>
        <v>15000</v>
      </c>
      <c r="I502" s="96">
        <f>SUM(I503:I506)</f>
        <v>10000</v>
      </c>
      <c r="J502" s="92"/>
      <c r="K502" s="92"/>
      <c r="L502" s="92"/>
      <c r="M502" s="92" t="s">
        <v>71</v>
      </c>
      <c r="N502" s="102"/>
      <c r="O502" s="102"/>
      <c r="P502" s="102"/>
      <c r="Q502" s="102"/>
      <c r="R502" s="102"/>
    </row>
    <row r="503" spans="1:18" ht="35.1" customHeight="1" x14ac:dyDescent="0.2">
      <c r="A503" s="99"/>
      <c r="B503" s="99"/>
      <c r="C503" s="92"/>
      <c r="D503" s="92"/>
      <c r="E503" s="92">
        <v>7500</v>
      </c>
      <c r="F503" s="97">
        <v>0</v>
      </c>
      <c r="G503" s="97">
        <f>IF(E496=0,0,(E503/E496)*G496)</f>
        <v>2444.9338779418595</v>
      </c>
      <c r="H503" s="97">
        <f>IF(E496=0,0,(E503/E496)*H496)</f>
        <v>3272.5392555501812</v>
      </c>
      <c r="I503" s="97">
        <f>IF(E496=0,0,(E503/E496)*I496)</f>
        <v>1782.5268665079589</v>
      </c>
      <c r="J503" s="92"/>
      <c r="K503" s="96">
        <f>F502</f>
        <v>7500.0000000000018</v>
      </c>
      <c r="L503" s="96">
        <v>7500</v>
      </c>
      <c r="M503" s="100">
        <f>IF(L503=0,0,(K503-L503)/L503)</f>
        <v>2.4253192047278088E-16</v>
      </c>
      <c r="N503" s="102"/>
      <c r="O503" s="102"/>
      <c r="P503" s="102"/>
      <c r="Q503" s="102"/>
      <c r="R503" s="102"/>
    </row>
    <row r="504" spans="1:18" ht="35.1" customHeight="1" x14ac:dyDescent="0.2">
      <c r="A504" s="99"/>
      <c r="B504" s="99"/>
      <c r="C504" s="92"/>
      <c r="D504" s="92"/>
      <c r="E504" s="92">
        <v>12500</v>
      </c>
      <c r="F504" s="97">
        <f>IF(E497=0,0,(E504/E497)*F497)</f>
        <v>2444.9338779418608</v>
      </c>
      <c r="G504" s="97">
        <v>0</v>
      </c>
      <c r="H504" s="97">
        <f>IF(E497=0,0,(E504/E497)*H497)</f>
        <v>6782.5268665079593</v>
      </c>
      <c r="I504" s="97">
        <f>IF(E497=0,0,(E504/E497)*I497)</f>
        <v>3272.5392555501812</v>
      </c>
      <c r="J504" s="92"/>
      <c r="K504" s="96">
        <f>G502</f>
        <v>12500</v>
      </c>
      <c r="L504" s="96">
        <v>12500</v>
      </c>
      <c r="M504" s="100">
        <f>IF(L504=0,0,(K504-L504)/L504)</f>
        <v>0</v>
      </c>
      <c r="N504" s="102"/>
      <c r="O504" s="102"/>
      <c r="P504" s="102"/>
      <c r="Q504" s="102"/>
      <c r="R504" s="102"/>
    </row>
    <row r="505" spans="1:18" ht="35.1" customHeight="1" x14ac:dyDescent="0.2">
      <c r="A505" s="99"/>
      <c r="B505" s="99"/>
      <c r="C505" s="92"/>
      <c r="D505" s="92"/>
      <c r="E505" s="92">
        <v>15000</v>
      </c>
      <c r="F505" s="97">
        <f>IF(E498=0,0,(E505/E498)*F498)</f>
        <v>3272.5392555501808</v>
      </c>
      <c r="G505" s="97">
        <f>IF(E498=0,0,(E505/E498)*G498)</f>
        <v>6782.5268665079593</v>
      </c>
      <c r="H505" s="97">
        <v>0</v>
      </c>
      <c r="I505" s="97">
        <f>IF(E498=0,0,(E505/E498)*I498)</f>
        <v>4944.9338779418604</v>
      </c>
      <c r="J505" s="92"/>
      <c r="K505" s="96">
        <f>H502</f>
        <v>15000</v>
      </c>
      <c r="L505" s="96">
        <v>15000</v>
      </c>
      <c r="M505" s="100">
        <f>IF(L505=0,0,(K505-L505)/L505)</f>
        <v>0</v>
      </c>
      <c r="N505" s="102"/>
      <c r="O505" s="102"/>
      <c r="P505" s="102"/>
      <c r="Q505" s="102"/>
      <c r="R505" s="102"/>
    </row>
    <row r="506" spans="1:18" ht="35.1" customHeight="1" x14ac:dyDescent="0.2">
      <c r="A506" s="99"/>
      <c r="B506" s="99"/>
      <c r="C506" s="92"/>
      <c r="D506" s="92"/>
      <c r="E506" s="92">
        <v>10000</v>
      </c>
      <c r="F506" s="97">
        <f>IF(E499=0,0,(E506/E499)*F499)</f>
        <v>1782.5268665079598</v>
      </c>
      <c r="G506" s="97">
        <f>IF(E499=0,0,(E506/E499)*G499)</f>
        <v>3272.5392555501821</v>
      </c>
      <c r="H506" s="97">
        <f>IF(E499=0,0,(E506/E499)*H499)</f>
        <v>4944.9338779418586</v>
      </c>
      <c r="I506" s="97">
        <v>0</v>
      </c>
      <c r="J506" s="92"/>
      <c r="K506" s="96">
        <f>I502</f>
        <v>10000</v>
      </c>
      <c r="L506" s="96">
        <v>10000</v>
      </c>
      <c r="M506" s="100">
        <f>IF(L506=0,0,(K506-L506)/L506)</f>
        <v>0</v>
      </c>
      <c r="N506" s="102"/>
      <c r="O506" s="102"/>
      <c r="P506" s="102"/>
      <c r="Q506" s="102"/>
      <c r="R506" s="102"/>
    </row>
    <row r="507" spans="1:18" ht="35.1" customHeight="1" x14ac:dyDescent="0.2">
      <c r="A507" s="99"/>
      <c r="B507" s="99"/>
      <c r="C507" s="92"/>
      <c r="D507" s="92"/>
      <c r="E507" s="92"/>
      <c r="F507" s="99"/>
      <c r="G507" s="99"/>
      <c r="H507" s="99"/>
      <c r="I507" s="99"/>
      <c r="J507" s="92"/>
      <c r="K507" s="92">
        <f>SUM(K503:K506)</f>
        <v>45000</v>
      </c>
      <c r="L507" s="92">
        <f>SUM(L503:L506)</f>
        <v>45000</v>
      </c>
      <c r="M507" s="100"/>
      <c r="N507" s="102"/>
      <c r="O507" s="102"/>
      <c r="P507" s="102"/>
      <c r="Q507" s="102"/>
      <c r="R507" s="102"/>
    </row>
    <row r="508" spans="1:18" ht="35.1" customHeight="1" x14ac:dyDescent="0.2">
      <c r="A508" s="99"/>
      <c r="B508" s="99"/>
      <c r="C508" s="92" t="s">
        <v>72</v>
      </c>
      <c r="D508" s="92"/>
      <c r="E508" s="92"/>
      <c r="F508" s="92"/>
      <c r="G508" s="92"/>
      <c r="H508" s="92"/>
      <c r="I508" s="92"/>
      <c r="J508" s="92"/>
      <c r="K508" s="92"/>
      <c r="L508" s="92"/>
      <c r="M508" s="92"/>
      <c r="N508" s="102"/>
      <c r="O508" s="102"/>
      <c r="P508" s="102"/>
      <c r="Q508" s="102"/>
      <c r="R508" s="102"/>
    </row>
    <row r="509" spans="1:18" ht="35.1" customHeight="1" x14ac:dyDescent="0.2">
      <c r="A509" s="99"/>
      <c r="B509" s="99"/>
      <c r="C509" s="92"/>
      <c r="D509" s="92"/>
      <c r="E509" s="92"/>
      <c r="F509" s="96">
        <v>7500</v>
      </c>
      <c r="G509" s="96">
        <v>12500</v>
      </c>
      <c r="H509" s="96">
        <v>15000</v>
      </c>
      <c r="I509" s="96">
        <v>10000</v>
      </c>
      <c r="J509" s="92"/>
      <c r="K509" s="92"/>
      <c r="L509" s="92"/>
      <c r="M509" s="92" t="s">
        <v>71</v>
      </c>
      <c r="N509" s="102"/>
      <c r="O509" s="102"/>
      <c r="P509" s="102"/>
      <c r="Q509" s="102"/>
      <c r="R509" s="102"/>
    </row>
    <row r="510" spans="1:18" ht="35.1" customHeight="1" x14ac:dyDescent="0.2">
      <c r="A510" s="99"/>
      <c r="B510" s="99"/>
      <c r="C510" s="92"/>
      <c r="D510" s="92"/>
      <c r="E510" s="96">
        <f>SUM(F510:I510)</f>
        <v>7500</v>
      </c>
      <c r="F510" s="101">
        <v>0</v>
      </c>
      <c r="G510" s="101">
        <f>IF(G502=0,0,(G509/G502)*G503)</f>
        <v>2444.9338779418595</v>
      </c>
      <c r="H510" s="101">
        <f>IF(H502=0,0,(H509/H502)*H503)</f>
        <v>3272.5392555501812</v>
      </c>
      <c r="I510" s="101">
        <f>IF(I502=0,0,(I509/I502)*I503)</f>
        <v>1782.5268665079589</v>
      </c>
      <c r="J510" s="92"/>
      <c r="K510" s="96">
        <f>E510</f>
        <v>7500</v>
      </c>
      <c r="L510" s="92">
        <v>7500</v>
      </c>
      <c r="M510" s="100">
        <f>IF(L510=0,0,(K510-L510)/L510)</f>
        <v>0</v>
      </c>
      <c r="N510" s="102"/>
      <c r="O510" s="102"/>
      <c r="P510" s="102"/>
      <c r="Q510" s="102"/>
      <c r="R510" s="102"/>
    </row>
    <row r="511" spans="1:18" ht="35.1" customHeight="1" x14ac:dyDescent="0.2">
      <c r="A511" s="99"/>
      <c r="B511" s="99"/>
      <c r="C511" s="92"/>
      <c r="D511" s="92"/>
      <c r="E511" s="96">
        <f>SUM(F511:I511)</f>
        <v>12500</v>
      </c>
      <c r="F511" s="101">
        <f>IF(F502=0,0,(F509/F502)*F504)</f>
        <v>2444.9338779418604</v>
      </c>
      <c r="G511" s="101">
        <v>0</v>
      </c>
      <c r="H511" s="101">
        <f>IF(H502=0,0,(H509/H502)*H504)</f>
        <v>6782.5268665079593</v>
      </c>
      <c r="I511" s="101">
        <f>IF(I502=0,0,(I509/I502)*I504)</f>
        <v>3272.5392555501812</v>
      </c>
      <c r="J511" s="92"/>
      <c r="K511" s="96">
        <f>E511</f>
        <v>12500</v>
      </c>
      <c r="L511" s="92">
        <v>12500</v>
      </c>
      <c r="M511" s="100">
        <f>IF(L511=0,0,(K511-L511)/L511)</f>
        <v>0</v>
      </c>
      <c r="N511" s="102"/>
      <c r="O511" s="102"/>
      <c r="P511" s="102"/>
      <c r="Q511" s="102"/>
      <c r="R511" s="102"/>
    </row>
    <row r="512" spans="1:18" ht="35.1" customHeight="1" x14ac:dyDescent="0.2">
      <c r="A512" s="99"/>
      <c r="B512" s="99"/>
      <c r="C512" s="92"/>
      <c r="D512" s="92"/>
      <c r="E512" s="96">
        <f>SUM(F512:I512)</f>
        <v>15000</v>
      </c>
      <c r="F512" s="101">
        <f>IF(F502=0,0,(F509/F502)*F505)</f>
        <v>3272.5392555501799</v>
      </c>
      <c r="G512" s="101">
        <f>IF(G502=0,0,(G509/G502)*G505)</f>
        <v>6782.5268665079593</v>
      </c>
      <c r="H512" s="101">
        <v>0</v>
      </c>
      <c r="I512" s="101">
        <f>IF(I502=0,0,(I509/I502)*I505)</f>
        <v>4944.9338779418604</v>
      </c>
      <c r="J512" s="92"/>
      <c r="K512" s="96">
        <f>E512</f>
        <v>15000</v>
      </c>
      <c r="L512" s="92">
        <v>15000</v>
      </c>
      <c r="M512" s="100">
        <f>IF(L512=0,0,(K512-L512)/L512)</f>
        <v>0</v>
      </c>
      <c r="N512" s="102"/>
      <c r="O512" s="102"/>
      <c r="P512" s="102"/>
      <c r="Q512" s="102"/>
      <c r="R512" s="102"/>
    </row>
    <row r="513" spans="1:18" ht="35.1" customHeight="1" x14ac:dyDescent="0.2">
      <c r="A513" s="99"/>
      <c r="B513" s="99"/>
      <c r="C513" s="92"/>
      <c r="D513" s="92"/>
      <c r="E513" s="96">
        <f>SUM(F513:I513)</f>
        <v>10000</v>
      </c>
      <c r="F513" s="101">
        <f>IF(F502=0,0,(F509/F502)*F506)</f>
        <v>1782.5268665079593</v>
      </c>
      <c r="G513" s="101">
        <f>IF(G502=0,0,(G509/G502)*G506)</f>
        <v>3272.5392555501821</v>
      </c>
      <c r="H513" s="101">
        <f>IF(H502=0,0,(H509/H502)*H506)</f>
        <v>4944.9338779418586</v>
      </c>
      <c r="I513" s="101">
        <v>0</v>
      </c>
      <c r="J513" s="92"/>
      <c r="K513" s="96">
        <f>E513</f>
        <v>10000</v>
      </c>
      <c r="L513" s="92">
        <v>10000</v>
      </c>
      <c r="M513" s="100">
        <f>IF(L513=0,0,(K513-L513)/L513)</f>
        <v>0</v>
      </c>
      <c r="N513" s="102"/>
      <c r="O513" s="102"/>
      <c r="P513" s="102"/>
      <c r="Q513" s="102"/>
      <c r="R513" s="102"/>
    </row>
    <row r="514" spans="1:18" ht="35.1" customHeight="1" x14ac:dyDescent="0.2">
      <c r="A514" s="99"/>
      <c r="B514" s="99"/>
      <c r="C514" s="92"/>
      <c r="D514" s="92"/>
      <c r="E514" s="92"/>
      <c r="F514" s="92"/>
      <c r="G514" s="92"/>
      <c r="H514" s="92"/>
      <c r="I514" s="92"/>
      <c r="J514" s="92"/>
      <c r="K514" s="92">
        <f>SUM(K510:K513)</f>
        <v>45000</v>
      </c>
      <c r="L514" s="92">
        <f>SUM(L510:L513)</f>
        <v>45000</v>
      </c>
      <c r="M514" s="100"/>
      <c r="N514" s="102"/>
      <c r="O514" s="102"/>
      <c r="P514" s="102"/>
      <c r="Q514" s="102"/>
      <c r="R514" s="102"/>
    </row>
    <row r="515" spans="1:18" ht="35.1" customHeight="1" x14ac:dyDescent="0.2">
      <c r="A515" s="99"/>
      <c r="B515" s="99"/>
      <c r="C515" s="92" t="s">
        <v>70</v>
      </c>
      <c r="D515" s="92"/>
      <c r="E515" s="92"/>
      <c r="F515" s="92"/>
      <c r="G515" s="92"/>
      <c r="H515" s="92"/>
      <c r="I515" s="92"/>
      <c r="J515" s="92"/>
      <c r="K515" s="92"/>
      <c r="L515" s="92"/>
      <c r="M515" s="92"/>
      <c r="N515" s="102"/>
      <c r="O515" s="102"/>
      <c r="P515" s="102"/>
      <c r="Q515" s="102"/>
      <c r="R515" s="102"/>
    </row>
    <row r="516" spans="1:18" ht="35.1" customHeight="1" x14ac:dyDescent="0.2">
      <c r="A516" s="99"/>
      <c r="B516" s="99"/>
      <c r="C516" s="92"/>
      <c r="D516" s="92"/>
      <c r="E516" s="92"/>
      <c r="F516" s="96">
        <f>SUM(F517:F520)</f>
        <v>7499.9999999999991</v>
      </c>
      <c r="G516" s="96">
        <f>SUM(G517:G520)</f>
        <v>12500</v>
      </c>
      <c r="H516" s="96">
        <f>SUM(H517:H520)</f>
        <v>15000</v>
      </c>
      <c r="I516" s="96">
        <f>SUM(I517:I520)</f>
        <v>10000</v>
      </c>
      <c r="J516" s="92"/>
      <c r="K516" s="92"/>
      <c r="L516" s="92"/>
      <c r="M516" s="92" t="s">
        <v>71</v>
      </c>
      <c r="N516" s="102"/>
      <c r="O516" s="102"/>
      <c r="P516" s="102"/>
      <c r="Q516" s="102"/>
      <c r="R516" s="102"/>
    </row>
    <row r="517" spans="1:18" ht="35.1" customHeight="1" x14ac:dyDescent="0.2">
      <c r="A517" s="99"/>
      <c r="B517" s="99"/>
      <c r="C517" s="92"/>
      <c r="D517" s="92"/>
      <c r="E517" s="92">
        <v>7500</v>
      </c>
      <c r="F517" s="97">
        <v>0</v>
      </c>
      <c r="G517" s="97">
        <f>IF(E510=0,0,(E517/E510)*G510)</f>
        <v>2444.9338779418595</v>
      </c>
      <c r="H517" s="97">
        <f>IF(E510=0,0,(E517/E510)*H510)</f>
        <v>3272.5392555501812</v>
      </c>
      <c r="I517" s="97">
        <f>IF(E510=0,0,(E517/E510)*I510)</f>
        <v>1782.5268665079589</v>
      </c>
      <c r="J517" s="92"/>
      <c r="K517" s="96">
        <f>F516</f>
        <v>7499.9999999999991</v>
      </c>
      <c r="L517" s="96">
        <v>7500</v>
      </c>
      <c r="M517" s="100">
        <f>IF(L517=0,0,(K517-L517)/L517)</f>
        <v>-1.2126596023639044E-16</v>
      </c>
      <c r="N517" s="102"/>
      <c r="O517" s="102"/>
      <c r="P517" s="102"/>
      <c r="Q517" s="102"/>
      <c r="R517" s="102"/>
    </row>
    <row r="518" spans="1:18" ht="35.1" customHeight="1" x14ac:dyDescent="0.2">
      <c r="A518" s="99"/>
      <c r="B518" s="99"/>
      <c r="C518" s="92"/>
      <c r="D518" s="92"/>
      <c r="E518" s="92">
        <v>12500</v>
      </c>
      <c r="F518" s="97">
        <f>IF(E511=0,0,(E518/E511)*F511)</f>
        <v>2444.9338779418604</v>
      </c>
      <c r="G518" s="97">
        <v>0</v>
      </c>
      <c r="H518" s="97">
        <f>IF(E511=0,0,(E518/E511)*H511)</f>
        <v>6782.5268665079593</v>
      </c>
      <c r="I518" s="97">
        <f>IF(E511=0,0,(E518/E511)*I511)</f>
        <v>3272.5392555501812</v>
      </c>
      <c r="J518" s="92"/>
      <c r="K518" s="96">
        <f>G516</f>
        <v>12500</v>
      </c>
      <c r="L518" s="96">
        <v>12500</v>
      </c>
      <c r="M518" s="100">
        <f>IF(L518=0,0,(K518-L518)/L518)</f>
        <v>0</v>
      </c>
      <c r="N518" s="102"/>
      <c r="O518" s="102"/>
      <c r="P518" s="102"/>
      <c r="Q518" s="102"/>
      <c r="R518" s="102"/>
    </row>
    <row r="519" spans="1:18" ht="35.1" customHeight="1" x14ac:dyDescent="0.2">
      <c r="A519" s="99"/>
      <c r="B519" s="99"/>
      <c r="C519" s="92"/>
      <c r="D519" s="92"/>
      <c r="E519" s="92">
        <v>15000</v>
      </c>
      <c r="F519" s="97">
        <f>IF(E512=0,0,(E519/E512)*F512)</f>
        <v>3272.5392555501799</v>
      </c>
      <c r="G519" s="97">
        <f>IF(E512=0,0,(E519/E512)*G512)</f>
        <v>6782.5268665079593</v>
      </c>
      <c r="H519" s="97">
        <v>0</v>
      </c>
      <c r="I519" s="97">
        <f>IF(E512=0,0,(E519/E512)*I512)</f>
        <v>4944.9338779418604</v>
      </c>
      <c r="J519" s="92"/>
      <c r="K519" s="96">
        <f>H516</f>
        <v>15000</v>
      </c>
      <c r="L519" s="96">
        <v>15000</v>
      </c>
      <c r="M519" s="100">
        <f>IF(L519=0,0,(K519-L519)/L519)</f>
        <v>0</v>
      </c>
      <c r="N519" s="102"/>
      <c r="O519" s="102"/>
      <c r="P519" s="102"/>
      <c r="Q519" s="102"/>
      <c r="R519" s="102"/>
    </row>
    <row r="520" spans="1:18" ht="35.1" customHeight="1" x14ac:dyDescent="0.2">
      <c r="A520" s="99"/>
      <c r="B520" s="99"/>
      <c r="C520" s="92"/>
      <c r="D520" s="92"/>
      <c r="E520" s="92">
        <v>10000</v>
      </c>
      <c r="F520" s="97">
        <f>IF(E513=0,0,(E520/E513)*F513)</f>
        <v>1782.5268665079593</v>
      </c>
      <c r="G520" s="97">
        <f>IF(E513=0,0,(E520/E513)*G513)</f>
        <v>3272.5392555501821</v>
      </c>
      <c r="H520" s="97">
        <f>IF(E513=0,0,(E520/E513)*H513)</f>
        <v>4944.9338779418586</v>
      </c>
      <c r="I520" s="97">
        <v>0</v>
      </c>
      <c r="J520" s="92"/>
      <c r="K520" s="96">
        <f>I516</f>
        <v>10000</v>
      </c>
      <c r="L520" s="96">
        <v>10000</v>
      </c>
      <c r="M520" s="100">
        <f>IF(L520=0,0,(K520-L520)/L520)</f>
        <v>0</v>
      </c>
      <c r="N520" s="102"/>
      <c r="O520" s="102"/>
      <c r="P520" s="102"/>
      <c r="Q520" s="102"/>
      <c r="R520" s="102"/>
    </row>
    <row r="521" spans="1:18" ht="35.1" customHeight="1" x14ac:dyDescent="0.2">
      <c r="A521" s="99"/>
      <c r="B521" s="99"/>
      <c r="C521" s="92"/>
      <c r="D521" s="92"/>
      <c r="E521" s="92"/>
      <c r="F521" s="99"/>
      <c r="G521" s="99"/>
      <c r="H521" s="99"/>
      <c r="I521" s="99"/>
      <c r="J521" s="92"/>
      <c r="K521" s="92">
        <f>SUM(K517:K520)</f>
        <v>45000</v>
      </c>
      <c r="L521" s="92">
        <f>SUM(L517:L520)</f>
        <v>45000</v>
      </c>
      <c r="M521" s="100"/>
      <c r="N521" s="102"/>
      <c r="O521" s="102"/>
      <c r="P521" s="102"/>
      <c r="Q521" s="102"/>
      <c r="R521" s="102"/>
    </row>
    <row r="522" spans="1:18" ht="35.1" customHeight="1" x14ac:dyDescent="0.2">
      <c r="A522" s="99"/>
      <c r="B522" s="99"/>
      <c r="C522" s="92" t="s">
        <v>72</v>
      </c>
      <c r="D522" s="92"/>
      <c r="E522" s="92"/>
      <c r="F522" s="92"/>
      <c r="G522" s="92"/>
      <c r="H522" s="92"/>
      <c r="I522" s="92"/>
      <c r="J522" s="92"/>
      <c r="K522" s="92"/>
      <c r="L522" s="92"/>
      <c r="M522" s="92"/>
      <c r="N522" s="102"/>
      <c r="O522" s="102"/>
      <c r="P522" s="102"/>
      <c r="Q522" s="102"/>
      <c r="R522" s="102"/>
    </row>
    <row r="523" spans="1:18" ht="35.1" customHeight="1" x14ac:dyDescent="0.2">
      <c r="A523" s="99"/>
      <c r="B523" s="99"/>
      <c r="C523" s="92"/>
      <c r="D523" s="92"/>
      <c r="E523" s="92"/>
      <c r="F523" s="96">
        <v>7500</v>
      </c>
      <c r="G523" s="96">
        <v>12500</v>
      </c>
      <c r="H523" s="96">
        <v>15000</v>
      </c>
      <c r="I523" s="96">
        <v>10000</v>
      </c>
      <c r="J523" s="92"/>
      <c r="K523" s="92"/>
      <c r="L523" s="92"/>
      <c r="M523" s="92" t="s">
        <v>71</v>
      </c>
      <c r="N523" s="102"/>
      <c r="O523" s="102"/>
      <c r="P523" s="102"/>
      <c r="Q523" s="102"/>
      <c r="R523" s="102"/>
    </row>
    <row r="524" spans="1:18" ht="35.1" customHeight="1" x14ac:dyDescent="0.2">
      <c r="A524" s="99"/>
      <c r="B524" s="99"/>
      <c r="C524" s="92"/>
      <c r="D524" s="92"/>
      <c r="E524" s="96">
        <f>SUM(F524:I524)</f>
        <v>7500</v>
      </c>
      <c r="F524" s="101">
        <v>0</v>
      </c>
      <c r="G524" s="101">
        <f>IF(G516=0,0,(G523/G516)*G517)</f>
        <v>2444.9338779418595</v>
      </c>
      <c r="H524" s="101">
        <f>IF(H516=0,0,(H523/H516)*H517)</f>
        <v>3272.5392555501812</v>
      </c>
      <c r="I524" s="101">
        <f>IF(I516=0,0,(I523/I516)*I517)</f>
        <v>1782.5268665079589</v>
      </c>
      <c r="J524" s="92"/>
      <c r="K524" s="96">
        <f>E524</f>
        <v>7500</v>
      </c>
      <c r="L524" s="92">
        <v>7500</v>
      </c>
      <c r="M524" s="100">
        <f>IF(L524=0,0,(K524-L524)/L524)</f>
        <v>0</v>
      </c>
      <c r="N524" s="102"/>
      <c r="O524" s="102"/>
      <c r="P524" s="102"/>
      <c r="Q524" s="102"/>
      <c r="R524" s="102"/>
    </row>
    <row r="525" spans="1:18" ht="35.1" customHeight="1" x14ac:dyDescent="0.2">
      <c r="A525" s="99"/>
      <c r="B525" s="99"/>
      <c r="C525" s="92"/>
      <c r="D525" s="92"/>
      <c r="E525" s="96">
        <f>SUM(F525:I525)</f>
        <v>12500</v>
      </c>
      <c r="F525" s="101">
        <f>IF(F516=0,0,(F523/F516)*F518)</f>
        <v>2444.9338779418608</v>
      </c>
      <c r="G525" s="101">
        <v>0</v>
      </c>
      <c r="H525" s="101">
        <f>IF(H516=0,0,(H523/H516)*H518)</f>
        <v>6782.5268665079593</v>
      </c>
      <c r="I525" s="101">
        <f>IF(I516=0,0,(I523/I516)*I518)</f>
        <v>3272.5392555501812</v>
      </c>
      <c r="J525" s="92"/>
      <c r="K525" s="96">
        <f>E525</f>
        <v>12500</v>
      </c>
      <c r="L525" s="92">
        <v>12500</v>
      </c>
      <c r="M525" s="100">
        <f>IF(L525=0,0,(K525-L525)/L525)</f>
        <v>0</v>
      </c>
      <c r="N525" s="102"/>
      <c r="O525" s="102"/>
      <c r="P525" s="102"/>
      <c r="Q525" s="102"/>
      <c r="R525" s="102"/>
    </row>
    <row r="526" spans="1:18" ht="35.1" customHeight="1" x14ac:dyDescent="0.2">
      <c r="A526" s="99"/>
      <c r="B526" s="99"/>
      <c r="C526" s="92"/>
      <c r="D526" s="92"/>
      <c r="E526" s="96">
        <f>SUM(F526:I526)</f>
        <v>15000</v>
      </c>
      <c r="F526" s="101">
        <f>IF(F516=0,0,(F523/F516)*F519)</f>
        <v>3272.5392555501808</v>
      </c>
      <c r="G526" s="101">
        <f>IF(G516=0,0,(G523/G516)*G519)</f>
        <v>6782.5268665079593</v>
      </c>
      <c r="H526" s="101">
        <v>0</v>
      </c>
      <c r="I526" s="101">
        <f>IF(I516=0,0,(I523/I516)*I519)</f>
        <v>4944.9338779418604</v>
      </c>
      <c r="J526" s="92"/>
      <c r="K526" s="96">
        <f>E526</f>
        <v>15000</v>
      </c>
      <c r="L526" s="92">
        <v>15000</v>
      </c>
      <c r="M526" s="100">
        <f>IF(L526=0,0,(K526-L526)/L526)</f>
        <v>0</v>
      </c>
      <c r="N526" s="102"/>
      <c r="O526" s="102"/>
      <c r="P526" s="102"/>
      <c r="Q526" s="102"/>
      <c r="R526" s="102"/>
    </row>
    <row r="527" spans="1:18" ht="35.1" customHeight="1" x14ac:dyDescent="0.2">
      <c r="A527" s="99"/>
      <c r="B527" s="99"/>
      <c r="C527" s="92"/>
      <c r="D527" s="92"/>
      <c r="E527" s="96">
        <f>SUM(F527:I527)</f>
        <v>10000</v>
      </c>
      <c r="F527" s="101">
        <f>IF(F516=0,0,(F523/F516)*F520)</f>
        <v>1782.5268665079598</v>
      </c>
      <c r="G527" s="101">
        <f>IF(G516=0,0,(G523/G516)*G520)</f>
        <v>3272.5392555501821</v>
      </c>
      <c r="H527" s="101">
        <f>IF(H516=0,0,(H523/H516)*H520)</f>
        <v>4944.9338779418586</v>
      </c>
      <c r="I527" s="101">
        <v>0</v>
      </c>
      <c r="J527" s="92"/>
      <c r="K527" s="96">
        <f>E527</f>
        <v>10000</v>
      </c>
      <c r="L527" s="92">
        <v>10000</v>
      </c>
      <c r="M527" s="100">
        <f>IF(L527=0,0,(K527-L527)/L527)</f>
        <v>0</v>
      </c>
      <c r="N527" s="102"/>
      <c r="O527" s="102"/>
      <c r="P527" s="102"/>
      <c r="Q527" s="102"/>
      <c r="R527" s="102"/>
    </row>
    <row r="528" spans="1:18" ht="35.1" customHeight="1" x14ac:dyDescent="0.2">
      <c r="A528" s="99"/>
      <c r="B528" s="99"/>
      <c r="C528" s="92"/>
      <c r="D528" s="92"/>
      <c r="E528" s="92"/>
      <c r="F528" s="92"/>
      <c r="G528" s="92"/>
      <c r="H528" s="92"/>
      <c r="I528" s="92"/>
      <c r="J528" s="92"/>
      <c r="K528" s="92">
        <f>SUM(K524:K527)</f>
        <v>45000</v>
      </c>
      <c r="L528" s="92">
        <f>SUM(L524:L527)</f>
        <v>45000</v>
      </c>
      <c r="M528" s="100"/>
      <c r="N528" s="102"/>
      <c r="O528" s="102"/>
      <c r="P528" s="102"/>
      <c r="Q528" s="102"/>
      <c r="R528" s="102"/>
    </row>
    <row r="529" spans="1:18" ht="35.1" customHeight="1" x14ac:dyDescent="0.2">
      <c r="A529" s="99"/>
      <c r="B529" s="99"/>
      <c r="C529" s="102"/>
      <c r="D529" s="102"/>
      <c r="E529" s="102"/>
      <c r="F529" s="102"/>
      <c r="G529" s="102"/>
      <c r="H529" s="102"/>
      <c r="I529" s="102"/>
      <c r="J529" s="102"/>
      <c r="K529" s="102"/>
      <c r="L529" s="102"/>
      <c r="M529" s="102"/>
      <c r="N529" s="102"/>
      <c r="O529" s="102"/>
      <c r="P529" s="102"/>
      <c r="Q529" s="102"/>
      <c r="R529" s="102"/>
    </row>
    <row r="530" spans="1:18" ht="35.1" customHeight="1" x14ac:dyDescent="0.2">
      <c r="A530" s="99"/>
      <c r="B530" s="99"/>
      <c r="C530" s="102"/>
      <c r="D530" s="102"/>
      <c r="E530" s="102"/>
      <c r="F530" s="102"/>
      <c r="G530" s="102"/>
      <c r="H530" s="102"/>
      <c r="I530" s="102"/>
      <c r="J530" s="102"/>
      <c r="K530" s="102"/>
      <c r="L530" s="102"/>
      <c r="M530" s="102"/>
      <c r="N530" s="102"/>
      <c r="O530" s="102"/>
      <c r="P530" s="102"/>
      <c r="Q530" s="102"/>
      <c r="R530" s="102"/>
    </row>
    <row r="531" spans="1:18" ht="35.1" customHeight="1" x14ac:dyDescent="0.2">
      <c r="A531" s="99"/>
      <c r="B531" s="99"/>
      <c r="C531" s="102"/>
      <c r="D531" s="102"/>
      <c r="E531" s="102"/>
      <c r="F531" s="102"/>
      <c r="G531" s="102"/>
      <c r="H531" s="102"/>
      <c r="I531" s="102"/>
      <c r="J531" s="102"/>
      <c r="K531" s="102"/>
      <c r="L531" s="102"/>
      <c r="M531" s="102"/>
      <c r="N531" s="102"/>
      <c r="O531" s="102"/>
      <c r="P531" s="102"/>
      <c r="Q531" s="102"/>
      <c r="R531" s="102"/>
    </row>
    <row r="532" spans="1:18" ht="35.1" customHeight="1" x14ac:dyDescent="0.2">
      <c r="A532" s="99"/>
      <c r="B532" s="99"/>
      <c r="C532" s="102"/>
      <c r="D532" s="102"/>
      <c r="E532" s="102"/>
      <c r="F532" s="102"/>
      <c r="G532" s="102"/>
      <c r="H532" s="102"/>
      <c r="I532" s="102"/>
      <c r="J532" s="102"/>
      <c r="K532" s="102"/>
      <c r="L532" s="102"/>
      <c r="M532" s="102"/>
      <c r="N532" s="102"/>
      <c r="O532" s="102"/>
      <c r="P532" s="102"/>
      <c r="Q532" s="102"/>
      <c r="R532" s="102"/>
    </row>
    <row r="533" spans="1:18" ht="35.1" customHeight="1" x14ac:dyDescent="0.2">
      <c r="A533" s="99"/>
      <c r="B533" s="99"/>
      <c r="C533" s="102"/>
      <c r="D533" s="102"/>
      <c r="E533" s="102"/>
      <c r="F533" s="102"/>
      <c r="G533" s="102"/>
      <c r="H533" s="102"/>
      <c r="I533" s="102"/>
      <c r="J533" s="102"/>
      <c r="K533" s="102"/>
      <c r="L533" s="102"/>
      <c r="M533" s="102"/>
      <c r="N533" s="102"/>
      <c r="O533" s="102"/>
      <c r="P533" s="102"/>
      <c r="Q533" s="102"/>
      <c r="R533" s="102"/>
    </row>
    <row r="534" spans="1:18" ht="35.1" customHeight="1" x14ac:dyDescent="0.2">
      <c r="A534" s="99"/>
      <c r="B534" s="99"/>
      <c r="C534" s="102"/>
      <c r="D534" s="102"/>
      <c r="E534" s="102"/>
      <c r="F534" s="102"/>
      <c r="G534" s="102"/>
      <c r="H534" s="102"/>
      <c r="I534" s="102"/>
      <c r="J534" s="102"/>
      <c r="K534" s="102"/>
      <c r="L534" s="102"/>
      <c r="M534" s="102"/>
      <c r="N534" s="102"/>
      <c r="O534" s="102"/>
      <c r="P534" s="102"/>
      <c r="Q534" s="102"/>
      <c r="R534" s="102"/>
    </row>
    <row r="535" spans="1:18" ht="35.1" customHeight="1" x14ac:dyDescent="0.2">
      <c r="A535" s="99"/>
      <c r="B535" s="99"/>
      <c r="C535" s="102"/>
      <c r="D535" s="102"/>
      <c r="E535" s="102"/>
      <c r="F535" s="102"/>
      <c r="G535" s="102"/>
      <c r="H535" s="102"/>
      <c r="I535" s="102"/>
      <c r="J535" s="102"/>
      <c r="K535" s="102"/>
      <c r="L535" s="102"/>
      <c r="M535" s="102"/>
      <c r="N535" s="102"/>
      <c r="O535" s="102"/>
      <c r="P535" s="102"/>
      <c r="Q535" s="102"/>
      <c r="R535" s="102"/>
    </row>
    <row r="536" spans="1:18" ht="35.1" customHeight="1" x14ac:dyDescent="0.2">
      <c r="A536" s="99"/>
      <c r="B536" s="99"/>
      <c r="C536" s="102"/>
      <c r="D536" s="102"/>
      <c r="E536" s="102"/>
      <c r="F536" s="102"/>
      <c r="G536" s="102"/>
      <c r="H536" s="102"/>
      <c r="I536" s="102"/>
      <c r="J536" s="102"/>
      <c r="K536" s="102"/>
      <c r="L536" s="102"/>
      <c r="M536" s="102"/>
      <c r="N536" s="102"/>
      <c r="O536" s="102"/>
      <c r="P536" s="102"/>
      <c r="Q536" s="102"/>
      <c r="R536" s="102"/>
    </row>
    <row r="537" spans="1:18" ht="35.1" customHeight="1" x14ac:dyDescent="0.2">
      <c r="A537" s="99"/>
      <c r="B537" s="99"/>
      <c r="C537" s="102"/>
      <c r="D537" s="102"/>
      <c r="E537" s="102"/>
      <c r="F537" s="102"/>
      <c r="G537" s="102"/>
      <c r="H537" s="102"/>
      <c r="I537" s="102"/>
      <c r="J537" s="102"/>
      <c r="K537" s="102"/>
      <c r="L537" s="102"/>
      <c r="M537" s="102"/>
      <c r="N537" s="102"/>
      <c r="O537" s="102"/>
      <c r="P537" s="102"/>
      <c r="Q537" s="102"/>
      <c r="R537" s="102"/>
    </row>
    <row r="538" spans="1:18" ht="35.1" customHeight="1" x14ac:dyDescent="0.2">
      <c r="A538" s="99"/>
      <c r="B538" s="99"/>
      <c r="C538" s="102"/>
      <c r="D538" s="102"/>
      <c r="E538" s="102"/>
      <c r="F538" s="102"/>
      <c r="G538" s="102"/>
      <c r="H538" s="102"/>
      <c r="I538" s="102"/>
      <c r="J538" s="102"/>
      <c r="K538" s="102"/>
      <c r="L538" s="102"/>
      <c r="M538" s="102"/>
      <c r="N538" s="102"/>
      <c r="O538" s="102"/>
      <c r="P538" s="102"/>
      <c r="Q538" s="102"/>
      <c r="R538" s="102"/>
    </row>
    <row r="539" spans="1:18" ht="35.1" customHeight="1" x14ac:dyDescent="0.2">
      <c r="A539" s="99"/>
      <c r="B539" s="99"/>
      <c r="C539" s="102"/>
      <c r="D539" s="102"/>
      <c r="E539" s="102"/>
      <c r="F539" s="102"/>
      <c r="G539" s="102"/>
      <c r="H539" s="102"/>
      <c r="I539" s="102"/>
      <c r="J539" s="102"/>
      <c r="K539" s="102"/>
      <c r="L539" s="102"/>
      <c r="M539" s="102"/>
      <c r="N539" s="102"/>
      <c r="O539" s="102"/>
      <c r="P539" s="102"/>
      <c r="Q539" s="102"/>
      <c r="R539" s="102"/>
    </row>
    <row r="540" spans="1:18" ht="35.1" customHeight="1" x14ac:dyDescent="0.2">
      <c r="A540" s="99"/>
      <c r="B540" s="99"/>
      <c r="C540" s="102"/>
      <c r="D540" s="102"/>
      <c r="E540" s="102"/>
      <c r="F540" s="102"/>
      <c r="G540" s="102"/>
      <c r="H540" s="102"/>
      <c r="I540" s="102"/>
      <c r="J540" s="102"/>
      <c r="K540" s="102"/>
      <c r="L540" s="102"/>
      <c r="M540" s="102"/>
      <c r="N540" s="102"/>
      <c r="O540" s="102"/>
      <c r="P540" s="102"/>
      <c r="Q540" s="102"/>
      <c r="R540" s="102"/>
    </row>
    <row r="541" spans="1:18" ht="35.1" customHeight="1" x14ac:dyDescent="0.2">
      <c r="A541" s="99"/>
      <c r="B541" s="99"/>
      <c r="C541" s="102"/>
      <c r="D541" s="102"/>
      <c r="E541" s="102"/>
      <c r="F541" s="102"/>
      <c r="G541" s="102"/>
      <c r="H541" s="102"/>
      <c r="I541" s="102"/>
      <c r="J541" s="102"/>
      <c r="K541" s="102"/>
      <c r="L541" s="102"/>
      <c r="M541" s="102"/>
      <c r="N541" s="102"/>
      <c r="O541" s="102"/>
      <c r="P541" s="102"/>
      <c r="Q541" s="102"/>
      <c r="R541" s="102"/>
    </row>
    <row r="542" spans="1:18" ht="35.1" customHeight="1" x14ac:dyDescent="0.2">
      <c r="A542" s="99"/>
      <c r="B542" s="99"/>
      <c r="C542" s="102"/>
      <c r="D542" s="102"/>
      <c r="E542" s="102"/>
      <c r="F542" s="102"/>
      <c r="G542" s="102"/>
      <c r="H542" s="102"/>
      <c r="I542" s="102"/>
      <c r="J542" s="102"/>
      <c r="K542" s="102"/>
      <c r="L542" s="102"/>
      <c r="M542" s="102"/>
      <c r="N542" s="102"/>
      <c r="O542" s="102"/>
      <c r="P542" s="102"/>
      <c r="Q542" s="102"/>
      <c r="R542" s="102"/>
    </row>
    <row r="543" spans="1:18" ht="35.1" customHeight="1" x14ac:dyDescent="0.2">
      <c r="A543" s="99"/>
      <c r="B543" s="99"/>
      <c r="C543" s="102"/>
      <c r="D543" s="102"/>
      <c r="E543" s="102"/>
      <c r="F543" s="102"/>
      <c r="G543" s="102"/>
      <c r="H543" s="102"/>
      <c r="I543" s="102"/>
      <c r="J543" s="102"/>
      <c r="K543" s="102"/>
      <c r="L543" s="102"/>
      <c r="M543" s="102"/>
      <c r="N543" s="102"/>
      <c r="O543" s="102"/>
      <c r="P543" s="102"/>
      <c r="Q543" s="102"/>
      <c r="R543" s="102"/>
    </row>
    <row r="544" spans="1:18" ht="35.1" customHeight="1" x14ac:dyDescent="0.2">
      <c r="A544" s="99"/>
      <c r="B544" s="99"/>
      <c r="C544" s="102"/>
      <c r="D544" s="102"/>
      <c r="E544" s="102"/>
      <c r="F544" s="102"/>
      <c r="G544" s="102"/>
      <c r="H544" s="102"/>
      <c r="I544" s="102"/>
      <c r="J544" s="102"/>
      <c r="K544" s="102"/>
      <c r="L544" s="102"/>
      <c r="M544" s="102"/>
      <c r="N544" s="102"/>
      <c r="O544" s="102"/>
      <c r="P544" s="102"/>
      <c r="Q544" s="102"/>
      <c r="R544" s="102"/>
    </row>
    <row r="545" spans="1:18" ht="35.1" customHeight="1" x14ac:dyDescent="0.2">
      <c r="A545" s="99"/>
      <c r="B545" s="99"/>
      <c r="C545" s="102"/>
      <c r="D545" s="102"/>
      <c r="E545" s="102"/>
      <c r="F545" s="102"/>
      <c r="G545" s="102"/>
      <c r="H545" s="102"/>
      <c r="I545" s="102"/>
      <c r="J545" s="102"/>
      <c r="K545" s="102"/>
      <c r="L545" s="102"/>
      <c r="M545" s="102"/>
      <c r="N545" s="102"/>
      <c r="O545" s="102"/>
      <c r="P545" s="102"/>
      <c r="Q545" s="102"/>
      <c r="R545" s="102"/>
    </row>
    <row r="546" spans="1:18" ht="35.1" customHeight="1" x14ac:dyDescent="0.2">
      <c r="A546" s="99"/>
      <c r="B546" s="99"/>
      <c r="C546" s="102"/>
      <c r="D546" s="102"/>
      <c r="E546" s="102"/>
      <c r="F546" s="102"/>
      <c r="G546" s="102"/>
      <c r="H546" s="102"/>
      <c r="I546" s="102"/>
      <c r="J546" s="102"/>
      <c r="K546" s="102"/>
      <c r="L546" s="102"/>
      <c r="M546" s="102"/>
      <c r="N546" s="102"/>
      <c r="O546" s="102"/>
      <c r="P546" s="102"/>
      <c r="Q546" s="102"/>
      <c r="R546" s="102"/>
    </row>
    <row r="547" spans="1:18" ht="35.1" customHeight="1" x14ac:dyDescent="0.2">
      <c r="A547" s="99"/>
      <c r="B547" s="99"/>
      <c r="C547" s="102"/>
      <c r="D547" s="102"/>
      <c r="E547" s="102"/>
      <c r="F547" s="102"/>
      <c r="G547" s="102"/>
      <c r="H547" s="102"/>
      <c r="I547" s="102"/>
      <c r="J547" s="102"/>
      <c r="K547" s="102"/>
      <c r="L547" s="102"/>
      <c r="M547" s="102"/>
      <c r="N547" s="102"/>
      <c r="O547" s="102"/>
      <c r="P547" s="102"/>
      <c r="Q547" s="102"/>
      <c r="R547" s="102"/>
    </row>
    <row r="548" spans="1:18" ht="35.1" customHeight="1" x14ac:dyDescent="0.2">
      <c r="A548" s="99"/>
      <c r="B548" s="99"/>
      <c r="C548" s="102"/>
      <c r="D548" s="102"/>
      <c r="E548" s="102"/>
      <c r="F548" s="102"/>
      <c r="G548" s="102"/>
      <c r="H548" s="102"/>
      <c r="I548" s="102"/>
      <c r="J548" s="102"/>
      <c r="K548" s="102"/>
      <c r="L548" s="102"/>
      <c r="M548" s="102"/>
      <c r="N548" s="102"/>
      <c r="O548" s="102"/>
      <c r="P548" s="102"/>
      <c r="Q548" s="102"/>
      <c r="R548" s="102"/>
    </row>
    <row r="549" spans="1:18" ht="35.1" customHeight="1" x14ac:dyDescent="0.2">
      <c r="A549" s="99"/>
      <c r="B549" s="99"/>
      <c r="C549" s="102"/>
      <c r="D549" s="102"/>
      <c r="E549" s="102"/>
      <c r="F549" s="102"/>
      <c r="G549" s="102"/>
      <c r="H549" s="102"/>
      <c r="I549" s="102"/>
      <c r="J549" s="102"/>
      <c r="K549" s="102"/>
      <c r="L549" s="102"/>
      <c r="M549" s="102"/>
      <c r="N549" s="102"/>
      <c r="O549" s="102"/>
      <c r="P549" s="102"/>
      <c r="Q549" s="102"/>
      <c r="R549" s="102"/>
    </row>
    <row r="550" spans="1:18" ht="35.1" customHeight="1" x14ac:dyDescent="0.2">
      <c r="A550" s="99"/>
      <c r="B550" s="99"/>
      <c r="C550" s="102"/>
      <c r="D550" s="102"/>
      <c r="E550" s="102"/>
      <c r="F550" s="102"/>
      <c r="G550" s="102"/>
      <c r="H550" s="102"/>
      <c r="I550" s="102"/>
      <c r="J550" s="102"/>
      <c r="K550" s="102"/>
      <c r="L550" s="102"/>
      <c r="M550" s="102"/>
      <c r="N550" s="102"/>
      <c r="O550" s="102"/>
      <c r="P550" s="102"/>
      <c r="Q550" s="102"/>
      <c r="R550" s="102"/>
    </row>
    <row r="551" spans="1:18" ht="35.1" customHeight="1" x14ac:dyDescent="0.2">
      <c r="A551" s="99"/>
      <c r="B551" s="99"/>
      <c r="C551" s="102"/>
      <c r="D551" s="102"/>
      <c r="E551" s="102"/>
      <c r="F551" s="102"/>
      <c r="G551" s="102"/>
      <c r="H551" s="102"/>
      <c r="I551" s="102"/>
      <c r="J551" s="102"/>
      <c r="K551" s="102"/>
      <c r="L551" s="102"/>
      <c r="M551" s="102"/>
      <c r="N551" s="102"/>
      <c r="O551" s="102"/>
      <c r="P551" s="102"/>
      <c r="Q551" s="102"/>
      <c r="R551" s="102"/>
    </row>
    <row r="552" spans="1:18" ht="35.1" customHeight="1" x14ac:dyDescent="0.2">
      <c r="A552" s="99"/>
      <c r="B552" s="99"/>
      <c r="C552" s="102"/>
      <c r="D552" s="102"/>
      <c r="E552" s="102"/>
      <c r="F552" s="102"/>
      <c r="G552" s="102"/>
      <c r="H552" s="102"/>
      <c r="I552" s="102"/>
      <c r="J552" s="102"/>
      <c r="K552" s="102"/>
      <c r="L552" s="102"/>
      <c r="M552" s="102"/>
      <c r="N552" s="102"/>
      <c r="O552" s="102"/>
      <c r="P552" s="102"/>
      <c r="Q552" s="102"/>
      <c r="R552" s="102"/>
    </row>
    <row r="553" spans="1:18" ht="35.1" customHeight="1" x14ac:dyDescent="0.2">
      <c r="A553" s="99"/>
      <c r="B553" s="99"/>
      <c r="C553" s="102"/>
      <c r="D553" s="102"/>
      <c r="E553" s="102"/>
      <c r="F553" s="102"/>
      <c r="G553" s="102"/>
      <c r="H553" s="102"/>
      <c r="I553" s="102"/>
      <c r="J553" s="102"/>
      <c r="K553" s="102"/>
      <c r="L553" s="102"/>
      <c r="M553" s="102"/>
      <c r="N553" s="102"/>
      <c r="O553" s="102"/>
      <c r="P553" s="102"/>
      <c r="Q553" s="102"/>
      <c r="R553" s="102"/>
    </row>
    <row r="554" spans="1:18" ht="35.1" customHeight="1" x14ac:dyDescent="0.2">
      <c r="A554" s="99"/>
      <c r="B554" s="99"/>
      <c r="C554" s="102"/>
      <c r="D554" s="102"/>
      <c r="E554" s="102"/>
      <c r="F554" s="102"/>
      <c r="G554" s="102"/>
      <c r="H554" s="102"/>
      <c r="I554" s="102"/>
      <c r="J554" s="102"/>
      <c r="K554" s="102"/>
      <c r="L554" s="102"/>
      <c r="M554" s="102"/>
      <c r="N554" s="102"/>
      <c r="O554" s="102"/>
      <c r="P554" s="102"/>
      <c r="Q554" s="102"/>
      <c r="R554" s="102"/>
    </row>
    <row r="555" spans="1:18" ht="35.1" customHeight="1" x14ac:dyDescent="0.2">
      <c r="A555" s="99"/>
      <c r="B555" s="99"/>
      <c r="C555" s="102"/>
      <c r="D555" s="102"/>
      <c r="E555" s="102"/>
      <c r="F555" s="102"/>
      <c r="G555" s="102"/>
      <c r="H555" s="102"/>
      <c r="I555" s="102"/>
      <c r="J555" s="102"/>
      <c r="K555" s="102"/>
      <c r="L555" s="102"/>
      <c r="M555" s="102"/>
      <c r="N555" s="102"/>
      <c r="O555" s="102"/>
      <c r="P555" s="102"/>
      <c r="Q555" s="102"/>
      <c r="R555" s="102"/>
    </row>
    <row r="556" spans="1:18" ht="35.1" customHeight="1" x14ac:dyDescent="0.2">
      <c r="A556" s="99"/>
      <c r="B556" s="99"/>
      <c r="C556" s="102"/>
      <c r="D556" s="102"/>
      <c r="E556" s="102"/>
      <c r="F556" s="102"/>
      <c r="G556" s="102"/>
      <c r="H556" s="102"/>
      <c r="I556" s="102"/>
      <c r="J556" s="102"/>
      <c r="K556" s="102"/>
      <c r="L556" s="102"/>
      <c r="M556" s="102"/>
      <c r="N556" s="102"/>
      <c r="O556" s="102"/>
      <c r="P556" s="102"/>
      <c r="Q556" s="102"/>
      <c r="R556" s="102"/>
    </row>
    <row r="557" spans="1:18" ht="35.1" customHeight="1" x14ac:dyDescent="0.2">
      <c r="A557" s="99"/>
      <c r="B557" s="99"/>
      <c r="C557" s="102"/>
      <c r="D557" s="102"/>
      <c r="E557" s="102"/>
      <c r="F557" s="102"/>
      <c r="G557" s="102"/>
      <c r="H557" s="102"/>
      <c r="I557" s="102"/>
      <c r="J557" s="102"/>
      <c r="K557" s="102"/>
      <c r="L557" s="102"/>
      <c r="M557" s="102"/>
      <c r="N557" s="102"/>
      <c r="O557" s="102"/>
      <c r="P557" s="102"/>
      <c r="Q557" s="102"/>
      <c r="R557" s="102"/>
    </row>
    <row r="558" spans="1:18" ht="35.1" customHeight="1" x14ac:dyDescent="0.2">
      <c r="A558" s="99"/>
      <c r="B558" s="99"/>
      <c r="C558" s="102"/>
      <c r="D558" s="102"/>
      <c r="E558" s="102"/>
      <c r="F558" s="102"/>
      <c r="G558" s="102"/>
      <c r="H558" s="102"/>
      <c r="I558" s="102"/>
      <c r="J558" s="102"/>
      <c r="K558" s="102"/>
      <c r="L558" s="102"/>
      <c r="M558" s="102"/>
      <c r="N558" s="102"/>
      <c r="O558" s="102"/>
      <c r="P558" s="102"/>
      <c r="Q558" s="102"/>
      <c r="R558" s="102"/>
    </row>
    <row r="559" spans="1:18" ht="35.1" customHeight="1" x14ac:dyDescent="0.2">
      <c r="A559" s="99"/>
      <c r="B559" s="99"/>
      <c r="C559" s="102"/>
      <c r="D559" s="102"/>
      <c r="E559" s="102"/>
      <c r="F559" s="102"/>
      <c r="G559" s="102"/>
      <c r="H559" s="102"/>
      <c r="I559" s="102"/>
      <c r="J559" s="102"/>
      <c r="K559" s="102"/>
      <c r="L559" s="102"/>
      <c r="M559" s="102"/>
      <c r="N559" s="102"/>
      <c r="O559" s="102"/>
      <c r="P559" s="102"/>
      <c r="Q559" s="102"/>
      <c r="R559" s="102"/>
    </row>
    <row r="560" spans="1:18" ht="35.1" customHeight="1" x14ac:dyDescent="0.2">
      <c r="A560" s="99"/>
      <c r="B560" s="99"/>
      <c r="C560" s="102"/>
      <c r="D560" s="102"/>
      <c r="E560" s="102"/>
      <c r="F560" s="102"/>
      <c r="G560" s="102"/>
      <c r="H560" s="102"/>
      <c r="I560" s="102"/>
      <c r="J560" s="102"/>
      <c r="K560" s="102"/>
      <c r="L560" s="102"/>
      <c r="M560" s="102"/>
      <c r="N560" s="102"/>
      <c r="O560" s="102"/>
      <c r="P560" s="102"/>
      <c r="Q560" s="102"/>
      <c r="R560" s="102"/>
    </row>
    <row r="561" spans="1:18" ht="35.1" customHeight="1" x14ac:dyDescent="0.2">
      <c r="A561" s="99"/>
      <c r="B561" s="99"/>
      <c r="C561" s="102"/>
      <c r="D561" s="102"/>
      <c r="E561" s="102"/>
      <c r="F561" s="102"/>
      <c r="G561" s="102"/>
      <c r="H561" s="102"/>
      <c r="I561" s="102"/>
      <c r="J561" s="102"/>
      <c r="K561" s="102"/>
      <c r="L561" s="102"/>
      <c r="M561" s="102"/>
      <c r="N561" s="102"/>
      <c r="O561" s="102"/>
      <c r="P561" s="102"/>
      <c r="Q561" s="102"/>
      <c r="R561" s="102"/>
    </row>
    <row r="562" spans="1:18" ht="35.1" customHeight="1" x14ac:dyDescent="0.2">
      <c r="A562" s="99"/>
      <c r="B562" s="99"/>
      <c r="C562" s="102"/>
      <c r="D562" s="102"/>
      <c r="E562" s="102"/>
      <c r="F562" s="102"/>
      <c r="G562" s="102"/>
      <c r="H562" s="102"/>
      <c r="I562" s="102"/>
      <c r="J562" s="102"/>
      <c r="K562" s="102"/>
      <c r="L562" s="102"/>
      <c r="M562" s="102"/>
      <c r="N562" s="102"/>
      <c r="O562" s="102"/>
      <c r="P562" s="102"/>
      <c r="Q562" s="102"/>
      <c r="R562" s="102"/>
    </row>
    <row r="563" spans="1:18" ht="35.1" customHeight="1" x14ac:dyDescent="0.2">
      <c r="A563" s="99"/>
      <c r="B563" s="99"/>
      <c r="C563" s="102"/>
      <c r="D563" s="102"/>
      <c r="E563" s="102"/>
      <c r="F563" s="102"/>
      <c r="G563" s="102"/>
      <c r="H563" s="102"/>
      <c r="I563" s="102"/>
      <c r="J563" s="102"/>
      <c r="K563" s="102"/>
      <c r="L563" s="102"/>
      <c r="M563" s="102"/>
      <c r="N563" s="102"/>
      <c r="O563" s="102"/>
      <c r="P563" s="102"/>
      <c r="Q563" s="102"/>
      <c r="R563" s="102"/>
    </row>
    <row r="564" spans="1:18" ht="35.1" customHeight="1" x14ac:dyDescent="0.2">
      <c r="A564" s="99"/>
      <c r="B564" s="99"/>
      <c r="C564" s="102"/>
      <c r="D564" s="102"/>
      <c r="E564" s="102"/>
      <c r="F564" s="102"/>
      <c r="G564" s="102"/>
      <c r="H564" s="102"/>
      <c r="I564" s="102"/>
      <c r="J564" s="102"/>
      <c r="K564" s="102"/>
      <c r="L564" s="102"/>
      <c r="M564" s="102"/>
      <c r="N564" s="102"/>
      <c r="O564" s="102"/>
      <c r="P564" s="102"/>
      <c r="Q564" s="102"/>
      <c r="R564" s="102"/>
    </row>
    <row r="565" spans="1:18" ht="35.1" customHeight="1" x14ac:dyDescent="0.2">
      <c r="A565" s="99"/>
      <c r="B565" s="99"/>
      <c r="C565" s="102"/>
      <c r="D565" s="102"/>
      <c r="E565" s="102"/>
      <c r="F565" s="102"/>
      <c r="G565" s="102"/>
      <c r="H565" s="102"/>
      <c r="I565" s="102"/>
      <c r="J565" s="102"/>
      <c r="K565" s="102"/>
      <c r="L565" s="102"/>
      <c r="M565" s="102"/>
      <c r="N565" s="102"/>
      <c r="O565" s="102"/>
      <c r="P565" s="102"/>
      <c r="Q565" s="102"/>
      <c r="R565" s="102"/>
    </row>
    <row r="566" spans="1:18" ht="35.1" customHeight="1" x14ac:dyDescent="0.2">
      <c r="A566" s="99"/>
      <c r="B566" s="99"/>
      <c r="C566" s="102"/>
      <c r="D566" s="102"/>
      <c r="E566" s="102"/>
      <c r="F566" s="102"/>
      <c r="G566" s="102"/>
      <c r="H566" s="102"/>
      <c r="I566" s="102"/>
      <c r="J566" s="102"/>
      <c r="K566" s="102"/>
      <c r="L566" s="102"/>
      <c r="M566" s="102"/>
      <c r="N566" s="102"/>
      <c r="O566" s="102"/>
      <c r="P566" s="102"/>
      <c r="Q566" s="102"/>
      <c r="R566" s="102"/>
    </row>
    <row r="567" spans="1:18" ht="35.1" customHeight="1" x14ac:dyDescent="0.2">
      <c r="A567" s="99"/>
      <c r="B567" s="99"/>
      <c r="C567" s="102"/>
      <c r="D567" s="102"/>
      <c r="E567" s="102"/>
      <c r="F567" s="102"/>
      <c r="G567" s="102"/>
      <c r="H567" s="102"/>
      <c r="I567" s="102"/>
      <c r="J567" s="102"/>
      <c r="K567" s="102"/>
      <c r="L567" s="102"/>
      <c r="M567" s="102"/>
      <c r="N567" s="102"/>
      <c r="O567" s="102"/>
      <c r="P567" s="102"/>
      <c r="Q567" s="102"/>
      <c r="R567" s="102"/>
    </row>
    <row r="568" spans="1:18" ht="35.1" customHeight="1" x14ac:dyDescent="0.2">
      <c r="A568" s="99"/>
      <c r="B568" s="99"/>
      <c r="C568" s="102"/>
      <c r="D568" s="102"/>
      <c r="E568" s="102"/>
      <c r="F568" s="102"/>
      <c r="G568" s="102"/>
      <c r="H568" s="102"/>
      <c r="I568" s="102"/>
      <c r="J568" s="102"/>
      <c r="K568" s="102"/>
      <c r="L568" s="102"/>
      <c r="M568" s="102"/>
      <c r="N568" s="102"/>
      <c r="O568" s="102"/>
      <c r="P568" s="102"/>
      <c r="Q568" s="102"/>
      <c r="R568" s="102"/>
    </row>
    <row r="569" spans="1:18" ht="35.1" customHeight="1" x14ac:dyDescent="0.2">
      <c r="A569" s="99"/>
      <c r="B569" s="99"/>
      <c r="C569" s="102"/>
      <c r="D569" s="102"/>
      <c r="E569" s="102"/>
      <c r="F569" s="102"/>
      <c r="G569" s="102"/>
      <c r="H569" s="102"/>
      <c r="I569" s="102"/>
      <c r="J569" s="102"/>
      <c r="K569" s="102"/>
      <c r="L569" s="102"/>
      <c r="M569" s="102"/>
      <c r="N569" s="102"/>
      <c r="O569" s="102"/>
      <c r="P569" s="102"/>
      <c r="Q569" s="102"/>
      <c r="R569" s="102"/>
    </row>
    <row r="570" spans="1:18" ht="35.1" customHeight="1" x14ac:dyDescent="0.2">
      <c r="A570" s="99"/>
      <c r="B570" s="99"/>
      <c r="C570" s="102"/>
      <c r="D570" s="102"/>
      <c r="E570" s="102"/>
      <c r="F570" s="102"/>
      <c r="G570" s="102"/>
      <c r="H570" s="102"/>
      <c r="I570" s="102"/>
      <c r="J570" s="102"/>
      <c r="K570" s="102"/>
      <c r="L570" s="102"/>
      <c r="M570" s="102"/>
      <c r="N570" s="102"/>
      <c r="O570" s="102"/>
      <c r="P570" s="102"/>
      <c r="Q570" s="102"/>
      <c r="R570" s="102"/>
    </row>
    <row r="571" spans="1:18" ht="35.1" customHeight="1" x14ac:dyDescent="0.2">
      <c r="A571" s="99"/>
      <c r="B571" s="99"/>
      <c r="C571" s="102"/>
      <c r="D571" s="102"/>
      <c r="E571" s="102"/>
      <c r="F571" s="102"/>
      <c r="G571" s="102"/>
      <c r="H571" s="102"/>
      <c r="I571" s="102"/>
      <c r="J571" s="102"/>
      <c r="K571" s="102"/>
      <c r="L571" s="102"/>
      <c r="M571" s="102"/>
      <c r="N571" s="102"/>
      <c r="O571" s="102"/>
      <c r="P571" s="102"/>
      <c r="Q571" s="102"/>
      <c r="R571" s="102"/>
    </row>
    <row r="572" spans="1:18" ht="35.1" customHeight="1" x14ac:dyDescent="0.2">
      <c r="A572" s="99"/>
      <c r="B572" s="99"/>
      <c r="C572" s="102"/>
      <c r="D572" s="102"/>
      <c r="E572" s="102"/>
      <c r="F572" s="102"/>
      <c r="G572" s="102"/>
      <c r="H572" s="102"/>
      <c r="I572" s="102"/>
      <c r="J572" s="102"/>
      <c r="K572" s="102"/>
      <c r="L572" s="102"/>
      <c r="M572" s="102"/>
      <c r="N572" s="102"/>
      <c r="O572" s="102"/>
      <c r="P572" s="102"/>
      <c r="Q572" s="102"/>
      <c r="R572" s="102"/>
    </row>
    <row r="573" spans="1:18" ht="35.1" customHeight="1" x14ac:dyDescent="0.2">
      <c r="A573" s="99"/>
      <c r="B573" s="99"/>
      <c r="C573" s="102"/>
      <c r="D573" s="102"/>
      <c r="E573" s="102"/>
      <c r="F573" s="102"/>
      <c r="G573" s="102"/>
      <c r="H573" s="102"/>
      <c r="I573" s="102"/>
      <c r="J573" s="102"/>
      <c r="K573" s="102"/>
      <c r="L573" s="102"/>
      <c r="M573" s="102"/>
      <c r="N573" s="102"/>
      <c r="O573" s="102"/>
      <c r="P573" s="102"/>
      <c r="Q573" s="102"/>
      <c r="R573" s="102"/>
    </row>
    <row r="574" spans="1:18" ht="35.1" customHeight="1" x14ac:dyDescent="0.2">
      <c r="A574" s="99"/>
      <c r="B574" s="99"/>
      <c r="C574" s="102"/>
      <c r="D574" s="102"/>
      <c r="E574" s="102"/>
      <c r="F574" s="102"/>
      <c r="G574" s="102"/>
      <c r="H574" s="102"/>
      <c r="I574" s="102"/>
      <c r="J574" s="102"/>
      <c r="K574" s="102"/>
      <c r="L574" s="102"/>
      <c r="M574" s="102"/>
      <c r="N574" s="102"/>
      <c r="O574" s="102"/>
      <c r="P574" s="102"/>
      <c r="Q574" s="102"/>
      <c r="R574" s="102"/>
    </row>
    <row r="575" spans="1:18" ht="35.1" customHeight="1" x14ac:dyDescent="0.2">
      <c r="A575" s="99"/>
      <c r="B575" s="99"/>
      <c r="C575" s="102"/>
      <c r="D575" s="102"/>
      <c r="E575" s="102"/>
      <c r="F575" s="102"/>
      <c r="G575" s="102"/>
      <c r="H575" s="102"/>
      <c r="I575" s="102"/>
      <c r="J575" s="102"/>
      <c r="K575" s="102"/>
      <c r="L575" s="102"/>
      <c r="M575" s="102"/>
      <c r="N575" s="102"/>
      <c r="O575" s="102"/>
      <c r="P575" s="102"/>
      <c r="Q575" s="102"/>
      <c r="R575" s="102"/>
    </row>
    <row r="576" spans="1:18" ht="35.1" customHeight="1" x14ac:dyDescent="0.2">
      <c r="A576" s="99"/>
      <c r="B576" s="99"/>
      <c r="C576" s="102"/>
      <c r="D576" s="102"/>
      <c r="E576" s="102"/>
      <c r="F576" s="102"/>
      <c r="G576" s="102"/>
      <c r="H576" s="102"/>
      <c r="I576" s="102"/>
      <c r="J576" s="102"/>
      <c r="K576" s="102"/>
      <c r="L576" s="102"/>
      <c r="M576" s="102"/>
      <c r="N576" s="102"/>
      <c r="O576" s="102"/>
      <c r="P576" s="102"/>
      <c r="Q576" s="102"/>
      <c r="R576" s="102"/>
    </row>
    <row r="577" spans="1:18" ht="35.1" customHeight="1" x14ac:dyDescent="0.2">
      <c r="A577" s="99"/>
      <c r="B577" s="99"/>
      <c r="C577" s="102"/>
      <c r="D577" s="102"/>
      <c r="E577" s="102"/>
      <c r="F577" s="102"/>
      <c r="G577" s="102"/>
      <c r="H577" s="102"/>
      <c r="I577" s="102"/>
      <c r="J577" s="102"/>
      <c r="K577" s="102"/>
      <c r="L577" s="102"/>
      <c r="M577" s="102"/>
      <c r="N577" s="102"/>
      <c r="O577" s="102"/>
      <c r="P577" s="102"/>
      <c r="Q577" s="102"/>
      <c r="R577" s="102"/>
    </row>
    <row r="578" spans="1:18" ht="35.1" customHeight="1" x14ac:dyDescent="0.2">
      <c r="A578" s="99"/>
      <c r="B578" s="99"/>
      <c r="C578" s="102"/>
      <c r="D578" s="102"/>
      <c r="E578" s="102"/>
      <c r="F578" s="102"/>
      <c r="G578" s="102"/>
      <c r="H578" s="102"/>
      <c r="I578" s="102"/>
      <c r="J578" s="102"/>
      <c r="K578" s="102"/>
      <c r="L578" s="102"/>
      <c r="M578" s="102"/>
      <c r="N578" s="102"/>
      <c r="O578" s="102"/>
      <c r="P578" s="102"/>
      <c r="Q578" s="102"/>
      <c r="R578" s="102"/>
    </row>
    <row r="579" spans="1:18" ht="35.1" customHeight="1" x14ac:dyDescent="0.2">
      <c r="A579" s="99"/>
      <c r="B579" s="99"/>
      <c r="C579" s="102"/>
      <c r="D579" s="102"/>
      <c r="E579" s="102"/>
      <c r="F579" s="102"/>
      <c r="G579" s="102"/>
      <c r="H579" s="102"/>
      <c r="I579" s="102"/>
      <c r="J579" s="102"/>
      <c r="K579" s="102"/>
      <c r="L579" s="102"/>
      <c r="M579" s="102"/>
      <c r="N579" s="102"/>
      <c r="O579" s="102"/>
      <c r="P579" s="102"/>
      <c r="Q579" s="102"/>
      <c r="R579" s="102"/>
    </row>
    <row r="580" spans="1:18" ht="35.1" customHeight="1" x14ac:dyDescent="0.2">
      <c r="A580" s="99"/>
      <c r="B580" s="99"/>
      <c r="C580" s="102"/>
      <c r="D580" s="102"/>
      <c r="E580" s="102"/>
      <c r="F580" s="102"/>
      <c r="G580" s="102"/>
      <c r="H580" s="102"/>
      <c r="I580" s="102"/>
      <c r="J580" s="102"/>
      <c r="K580" s="102"/>
      <c r="L580" s="102"/>
      <c r="M580" s="102"/>
      <c r="N580" s="102"/>
      <c r="O580" s="102"/>
      <c r="P580" s="102"/>
      <c r="Q580" s="102"/>
      <c r="R580" s="102"/>
    </row>
    <row r="581" spans="1:18" ht="35.1" customHeight="1" x14ac:dyDescent="0.2">
      <c r="A581" s="99"/>
      <c r="B581" s="99"/>
      <c r="C581" s="102"/>
      <c r="D581" s="102"/>
      <c r="E581" s="102"/>
      <c r="F581" s="102"/>
      <c r="G581" s="102"/>
      <c r="H581" s="102"/>
      <c r="I581" s="102"/>
      <c r="J581" s="102"/>
      <c r="K581" s="102"/>
      <c r="L581" s="102"/>
      <c r="M581" s="102"/>
      <c r="N581" s="102"/>
      <c r="O581" s="102"/>
      <c r="P581" s="102"/>
      <c r="Q581" s="102"/>
      <c r="R581" s="102"/>
    </row>
    <row r="582" spans="1:18" ht="35.1" customHeight="1" x14ac:dyDescent="0.2">
      <c r="A582" s="99"/>
      <c r="B582" s="99"/>
      <c r="C582" s="102"/>
      <c r="D582" s="102"/>
      <c r="E582" s="102"/>
      <c r="F582" s="102"/>
      <c r="G582" s="102"/>
      <c r="H582" s="102"/>
      <c r="I582" s="102"/>
      <c r="J582" s="102"/>
      <c r="K582" s="102"/>
      <c r="L582" s="102"/>
      <c r="M582" s="102"/>
      <c r="N582" s="102"/>
      <c r="O582" s="102"/>
      <c r="P582" s="102"/>
      <c r="Q582" s="102"/>
      <c r="R582" s="102"/>
    </row>
    <row r="583" spans="1:18" ht="35.1" customHeight="1" x14ac:dyDescent="0.2">
      <c r="A583" s="99"/>
      <c r="B583" s="99"/>
      <c r="C583" s="102"/>
      <c r="D583" s="102"/>
      <c r="E583" s="102"/>
      <c r="F583" s="102"/>
      <c r="G583" s="102"/>
      <c r="H583" s="102"/>
      <c r="I583" s="102"/>
      <c r="J583" s="102"/>
      <c r="K583" s="102"/>
      <c r="L583" s="102"/>
      <c r="M583" s="102"/>
      <c r="N583" s="102"/>
      <c r="O583" s="102"/>
      <c r="P583" s="102"/>
      <c r="Q583" s="102"/>
      <c r="R583" s="102"/>
    </row>
    <row r="584" spans="1:18" ht="35.1" customHeight="1" x14ac:dyDescent="0.2">
      <c r="A584" s="99"/>
      <c r="B584" s="99"/>
      <c r="C584" s="102"/>
      <c r="D584" s="102"/>
      <c r="E584" s="102"/>
      <c r="F584" s="102"/>
      <c r="G584" s="102"/>
      <c r="H584" s="102"/>
      <c r="I584" s="102"/>
      <c r="J584" s="102"/>
      <c r="K584" s="102"/>
      <c r="L584" s="102"/>
      <c r="M584" s="102"/>
      <c r="N584" s="102"/>
      <c r="O584" s="102"/>
      <c r="P584" s="102"/>
      <c r="Q584" s="102"/>
      <c r="R584" s="102"/>
    </row>
    <row r="585" spans="1:18" ht="35.1" customHeight="1" x14ac:dyDescent="0.2">
      <c r="A585" s="99"/>
      <c r="B585" s="99"/>
      <c r="C585" s="102"/>
      <c r="D585" s="102"/>
      <c r="E585" s="102"/>
      <c r="F585" s="102"/>
      <c r="G585" s="102"/>
      <c r="H585" s="102"/>
      <c r="I585" s="102"/>
      <c r="J585" s="102"/>
      <c r="K585" s="102"/>
      <c r="L585" s="102"/>
      <c r="M585" s="102"/>
      <c r="N585" s="102"/>
      <c r="O585" s="102"/>
      <c r="P585" s="102"/>
      <c r="Q585" s="102"/>
      <c r="R585" s="102"/>
    </row>
    <row r="586" spans="1:18" ht="35.1" customHeight="1" x14ac:dyDescent="0.2">
      <c r="A586" s="99"/>
      <c r="B586" s="99"/>
      <c r="C586" s="102"/>
      <c r="D586" s="102"/>
      <c r="E586" s="102"/>
      <c r="F586" s="102"/>
      <c r="G586" s="102"/>
      <c r="H586" s="102"/>
      <c r="I586" s="102"/>
      <c r="J586" s="102"/>
      <c r="K586" s="102"/>
      <c r="L586" s="102"/>
      <c r="M586" s="102"/>
      <c r="N586" s="102"/>
      <c r="O586" s="102"/>
      <c r="P586" s="102"/>
      <c r="Q586" s="102"/>
      <c r="R586" s="102"/>
    </row>
    <row r="587" spans="1:18" ht="35.1" customHeight="1" x14ac:dyDescent="0.2">
      <c r="A587" s="99"/>
      <c r="B587" s="99"/>
      <c r="C587" s="102"/>
      <c r="D587" s="102"/>
      <c r="E587" s="102"/>
      <c r="F587" s="102"/>
      <c r="G587" s="102"/>
      <c r="H587" s="102"/>
      <c r="I587" s="102"/>
      <c r="J587" s="102"/>
      <c r="K587" s="102"/>
      <c r="L587" s="102"/>
      <c r="M587" s="102"/>
      <c r="N587" s="102"/>
      <c r="O587" s="102"/>
      <c r="P587" s="102"/>
      <c r="Q587" s="102"/>
      <c r="R587" s="102"/>
    </row>
    <row r="588" spans="1:18" ht="35.1" customHeight="1" x14ac:dyDescent="0.2">
      <c r="A588" s="99"/>
      <c r="B588" s="99"/>
      <c r="C588" s="102"/>
      <c r="D588" s="102"/>
      <c r="E588" s="102"/>
      <c r="F588" s="102"/>
      <c r="G588" s="102"/>
      <c r="H588" s="102"/>
      <c r="I588" s="102"/>
      <c r="J588" s="102"/>
      <c r="K588" s="102"/>
      <c r="L588" s="102"/>
      <c r="M588" s="102"/>
      <c r="N588" s="102"/>
      <c r="O588" s="102"/>
      <c r="P588" s="102"/>
      <c r="Q588" s="102"/>
      <c r="R588" s="102"/>
    </row>
    <row r="589" spans="1:18" ht="35.1" customHeight="1" x14ac:dyDescent="0.2">
      <c r="A589" s="99"/>
      <c r="B589" s="99"/>
      <c r="C589" s="102"/>
      <c r="D589" s="102"/>
      <c r="E589" s="102"/>
      <c r="F589" s="102"/>
      <c r="G589" s="102"/>
      <c r="H589" s="102"/>
      <c r="I589" s="102"/>
      <c r="J589" s="102"/>
      <c r="K589" s="102"/>
      <c r="L589" s="102"/>
      <c r="M589" s="102"/>
      <c r="N589" s="102"/>
      <c r="O589" s="102"/>
      <c r="P589" s="102"/>
      <c r="Q589" s="102"/>
      <c r="R589" s="102"/>
    </row>
    <row r="590" spans="1:18" ht="35.1" customHeight="1" x14ac:dyDescent="0.2">
      <c r="A590" s="99"/>
      <c r="B590" s="99"/>
      <c r="C590" s="102"/>
      <c r="D590" s="102"/>
      <c r="E590" s="102"/>
      <c r="F590" s="102"/>
      <c r="G590" s="102"/>
      <c r="H590" s="102"/>
      <c r="I590" s="102"/>
      <c r="J590" s="102"/>
      <c r="K590" s="102"/>
      <c r="L590" s="102"/>
      <c r="M590" s="102"/>
      <c r="N590" s="102"/>
      <c r="O590" s="102"/>
      <c r="P590" s="102"/>
      <c r="Q590" s="102"/>
      <c r="R590" s="102"/>
    </row>
    <row r="591" spans="1:18" ht="35.1" customHeight="1" x14ac:dyDescent="0.2">
      <c r="A591" s="99"/>
      <c r="B591" s="99"/>
      <c r="C591" s="102"/>
      <c r="D591" s="102"/>
      <c r="E591" s="102"/>
      <c r="F591" s="102"/>
      <c r="G591" s="102"/>
      <c r="H591" s="102"/>
      <c r="I591" s="102"/>
      <c r="J591" s="102"/>
      <c r="K591" s="102"/>
      <c r="L591" s="102"/>
      <c r="M591" s="102"/>
      <c r="N591" s="102"/>
      <c r="O591" s="102"/>
      <c r="P591" s="102"/>
      <c r="Q591" s="102"/>
      <c r="R591" s="102"/>
    </row>
    <row r="592" spans="1:18" ht="35.1" customHeight="1" x14ac:dyDescent="0.2">
      <c r="A592" s="99"/>
      <c r="B592" s="99"/>
      <c r="C592" s="102"/>
      <c r="D592" s="102"/>
      <c r="E592" s="102"/>
      <c r="F592" s="102"/>
      <c r="G592" s="102"/>
      <c r="H592" s="102"/>
      <c r="I592" s="102"/>
      <c r="J592" s="102"/>
      <c r="K592" s="102"/>
      <c r="L592" s="102"/>
      <c r="M592" s="102"/>
      <c r="N592" s="102"/>
      <c r="O592" s="102"/>
      <c r="P592" s="102"/>
      <c r="Q592" s="102"/>
      <c r="R592" s="102"/>
    </row>
    <row r="593" spans="1:18" ht="35.1" customHeight="1" x14ac:dyDescent="0.2">
      <c r="A593" s="99"/>
      <c r="B593" s="99"/>
      <c r="C593" s="102"/>
      <c r="D593" s="102"/>
      <c r="E593" s="102"/>
      <c r="F593" s="102"/>
      <c r="G593" s="102"/>
      <c r="H593" s="102"/>
      <c r="I593" s="102"/>
      <c r="J593" s="102"/>
      <c r="K593" s="102"/>
      <c r="L593" s="102"/>
      <c r="M593" s="102"/>
      <c r="N593" s="102"/>
      <c r="O593" s="102"/>
      <c r="P593" s="102"/>
      <c r="Q593" s="102"/>
      <c r="R593" s="102"/>
    </row>
    <row r="594" spans="1:18" ht="35.1" customHeight="1" x14ac:dyDescent="0.2">
      <c r="A594" s="99"/>
      <c r="B594" s="99"/>
      <c r="C594" s="102"/>
      <c r="D594" s="102"/>
      <c r="E594" s="102"/>
      <c r="F594" s="102"/>
      <c r="G594" s="102"/>
      <c r="H594" s="102"/>
      <c r="I594" s="102"/>
      <c r="J594" s="102"/>
      <c r="K594" s="102"/>
      <c r="L594" s="102"/>
      <c r="M594" s="102"/>
      <c r="N594" s="102"/>
      <c r="O594" s="102"/>
      <c r="P594" s="102"/>
      <c r="Q594" s="102"/>
      <c r="R594" s="102"/>
    </row>
    <row r="595" spans="1:18" ht="35.1" customHeight="1" x14ac:dyDescent="0.2">
      <c r="A595" s="99"/>
      <c r="B595" s="99"/>
      <c r="C595" s="102"/>
      <c r="D595" s="102"/>
      <c r="E595" s="102"/>
      <c r="F595" s="102"/>
      <c r="G595" s="102"/>
      <c r="H595" s="102"/>
      <c r="I595" s="102"/>
      <c r="J595" s="102"/>
      <c r="K595" s="102"/>
      <c r="L595" s="102"/>
      <c r="M595" s="102"/>
      <c r="N595" s="102"/>
      <c r="O595" s="102"/>
      <c r="P595" s="102"/>
      <c r="Q595" s="102"/>
      <c r="R595" s="102"/>
    </row>
    <row r="596" spans="1:18" ht="35.1" customHeight="1" x14ac:dyDescent="0.2">
      <c r="A596" s="99"/>
      <c r="B596" s="99"/>
      <c r="C596" s="102"/>
      <c r="D596" s="102"/>
      <c r="E596" s="102"/>
      <c r="F596" s="102"/>
      <c r="G596" s="102"/>
      <c r="H596" s="102"/>
      <c r="I596" s="102"/>
      <c r="J596" s="102"/>
      <c r="K596" s="102"/>
      <c r="L596" s="102"/>
      <c r="M596" s="102"/>
      <c r="N596" s="102"/>
      <c r="O596" s="102"/>
      <c r="P596" s="102"/>
      <c r="Q596" s="102"/>
      <c r="R596" s="102"/>
    </row>
    <row r="597" spans="1:18" ht="35.1" customHeight="1" x14ac:dyDescent="0.2">
      <c r="A597" s="99"/>
      <c r="B597" s="99"/>
      <c r="C597" s="102"/>
      <c r="D597" s="102"/>
      <c r="E597" s="102"/>
      <c r="F597" s="102"/>
      <c r="G597" s="102"/>
      <c r="H597" s="102"/>
      <c r="I597" s="102"/>
      <c r="J597" s="102"/>
      <c r="K597" s="102"/>
      <c r="L597" s="102"/>
      <c r="M597" s="102"/>
      <c r="N597" s="102"/>
      <c r="O597" s="102"/>
      <c r="P597" s="102"/>
      <c r="Q597" s="102"/>
      <c r="R597" s="102"/>
    </row>
    <row r="598" spans="1:18" ht="35.1" customHeight="1" x14ac:dyDescent="0.2">
      <c r="A598" s="99"/>
      <c r="B598" s="99"/>
      <c r="C598" s="102"/>
      <c r="D598" s="102"/>
      <c r="E598" s="102"/>
      <c r="F598" s="102"/>
      <c r="G598" s="102"/>
      <c r="H598" s="102"/>
      <c r="I598" s="102"/>
      <c r="J598" s="102"/>
      <c r="K598" s="102"/>
      <c r="L598" s="102"/>
      <c r="M598" s="102"/>
      <c r="N598" s="102"/>
      <c r="O598" s="102"/>
      <c r="P598" s="102"/>
      <c r="Q598" s="102"/>
      <c r="R598" s="102"/>
    </row>
    <row r="599" spans="1:18" ht="35.1" customHeight="1" x14ac:dyDescent="0.2">
      <c r="A599" s="99"/>
      <c r="B599" s="99"/>
      <c r="C599" s="102"/>
      <c r="D599" s="102"/>
      <c r="E599" s="102"/>
      <c r="F599" s="102"/>
      <c r="G599" s="102"/>
      <c r="H599" s="102"/>
      <c r="I599" s="102"/>
      <c r="J599" s="102"/>
      <c r="K599" s="102"/>
      <c r="L599" s="102"/>
      <c r="M599" s="102"/>
      <c r="N599" s="102"/>
      <c r="O599" s="102"/>
      <c r="P599" s="102"/>
      <c r="Q599" s="102"/>
      <c r="R599" s="102"/>
    </row>
    <row r="600" spans="1:18" ht="35.1" customHeight="1" x14ac:dyDescent="0.2">
      <c r="A600" s="99"/>
      <c r="B600" s="99"/>
      <c r="C600" s="102"/>
      <c r="D600" s="102"/>
      <c r="E600" s="102"/>
      <c r="F600" s="102"/>
      <c r="G600" s="102"/>
      <c r="H600" s="102"/>
      <c r="I600" s="102"/>
      <c r="J600" s="102"/>
      <c r="K600" s="102"/>
      <c r="L600" s="102"/>
      <c r="M600" s="102"/>
      <c r="N600" s="102"/>
      <c r="O600" s="102"/>
      <c r="P600" s="102"/>
      <c r="Q600" s="102"/>
      <c r="R600" s="102"/>
    </row>
    <row r="601" spans="1:18" ht="35.1" customHeight="1" x14ac:dyDescent="0.2">
      <c r="A601" s="99"/>
      <c r="B601" s="99"/>
      <c r="C601" s="102"/>
      <c r="D601" s="102"/>
      <c r="E601" s="102"/>
      <c r="F601" s="102"/>
      <c r="G601" s="102"/>
      <c r="H601" s="102"/>
      <c r="I601" s="102"/>
      <c r="J601" s="102"/>
      <c r="K601" s="102"/>
      <c r="L601" s="102"/>
      <c r="M601" s="102"/>
      <c r="N601" s="102"/>
      <c r="O601" s="102"/>
      <c r="P601" s="102"/>
      <c r="Q601" s="102"/>
      <c r="R601" s="102"/>
    </row>
    <row r="602" spans="1:18" ht="35.1" customHeight="1" x14ac:dyDescent="0.2">
      <c r="A602" s="99"/>
      <c r="B602" s="99"/>
      <c r="C602" s="102"/>
      <c r="D602" s="102"/>
      <c r="E602" s="102"/>
      <c r="F602" s="102"/>
      <c r="G602" s="102"/>
      <c r="H602" s="102"/>
      <c r="I602" s="102"/>
      <c r="J602" s="102"/>
      <c r="K602" s="102"/>
      <c r="L602" s="102"/>
      <c r="M602" s="102"/>
      <c r="N602" s="102"/>
      <c r="O602" s="102"/>
      <c r="P602" s="102"/>
      <c r="Q602" s="102"/>
      <c r="R602" s="102"/>
    </row>
    <row r="603" spans="1:18" ht="35.1" customHeight="1" x14ac:dyDescent="0.2">
      <c r="A603" s="99"/>
      <c r="B603" s="99"/>
      <c r="C603" s="102"/>
      <c r="D603" s="102"/>
      <c r="E603" s="102"/>
      <c r="F603" s="102"/>
      <c r="G603" s="102"/>
      <c r="H603" s="102"/>
      <c r="I603" s="102"/>
      <c r="J603" s="102"/>
      <c r="K603" s="102"/>
      <c r="L603" s="102"/>
      <c r="M603" s="102"/>
      <c r="N603" s="102"/>
      <c r="O603" s="102"/>
      <c r="P603" s="102"/>
      <c r="Q603" s="102"/>
      <c r="R603" s="102"/>
    </row>
    <row r="604" spans="1:18" ht="35.1" customHeight="1" x14ac:dyDescent="0.2">
      <c r="A604" s="99"/>
      <c r="B604" s="99"/>
      <c r="C604" s="102"/>
      <c r="D604" s="102"/>
      <c r="E604" s="102"/>
      <c r="F604" s="102"/>
      <c r="G604" s="102"/>
      <c r="H604" s="102"/>
      <c r="I604" s="102"/>
      <c r="J604" s="102"/>
      <c r="K604" s="102"/>
      <c r="L604" s="102"/>
      <c r="M604" s="102"/>
      <c r="N604" s="102"/>
      <c r="O604" s="102"/>
      <c r="P604" s="102"/>
      <c r="Q604" s="102"/>
      <c r="R604" s="102"/>
    </row>
    <row r="605" spans="1:18" ht="35.1" customHeight="1" x14ac:dyDescent="0.2">
      <c r="A605" s="99"/>
      <c r="B605" s="99"/>
      <c r="C605" s="102"/>
      <c r="D605" s="102"/>
      <c r="E605" s="102"/>
      <c r="F605" s="102"/>
      <c r="G605" s="102"/>
      <c r="H605" s="102"/>
      <c r="I605" s="102"/>
      <c r="J605" s="102"/>
      <c r="K605" s="102"/>
      <c r="L605" s="102"/>
      <c r="M605" s="102"/>
      <c r="N605" s="102"/>
      <c r="O605" s="102"/>
      <c r="P605" s="102"/>
      <c r="Q605" s="102"/>
      <c r="R605" s="102"/>
    </row>
    <row r="606" spans="1:18" ht="35.1" customHeight="1" x14ac:dyDescent="0.2">
      <c r="A606" s="99"/>
      <c r="B606" s="99"/>
      <c r="C606" s="102"/>
      <c r="D606" s="102"/>
      <c r="E606" s="102"/>
      <c r="F606" s="102"/>
      <c r="G606" s="102"/>
      <c r="H606" s="102"/>
      <c r="I606" s="102"/>
      <c r="J606" s="102"/>
      <c r="K606" s="102"/>
      <c r="L606" s="102"/>
      <c r="M606" s="102"/>
      <c r="N606" s="102"/>
      <c r="O606" s="102"/>
      <c r="P606" s="102"/>
      <c r="Q606" s="102"/>
      <c r="R606" s="102"/>
    </row>
    <row r="607" spans="1:18" ht="35.1" customHeight="1" x14ac:dyDescent="0.2">
      <c r="A607" s="99"/>
      <c r="B607" s="99"/>
      <c r="C607" s="102"/>
      <c r="D607" s="102"/>
      <c r="E607" s="102"/>
      <c r="F607" s="102"/>
      <c r="G607" s="102"/>
      <c r="H607" s="102"/>
      <c r="I607" s="102"/>
      <c r="J607" s="102"/>
      <c r="K607" s="102"/>
      <c r="L607" s="102"/>
      <c r="M607" s="102"/>
      <c r="N607" s="102"/>
      <c r="O607" s="102"/>
      <c r="P607" s="102"/>
      <c r="Q607" s="102"/>
      <c r="R607" s="102"/>
    </row>
    <row r="608" spans="1:18" ht="35.1" customHeight="1" x14ac:dyDescent="0.2">
      <c r="A608" s="99"/>
      <c r="B608" s="99"/>
      <c r="C608" s="102"/>
      <c r="D608" s="102"/>
      <c r="E608" s="102"/>
      <c r="F608" s="102"/>
      <c r="G608" s="102"/>
      <c r="H608" s="102"/>
      <c r="I608" s="102"/>
      <c r="J608" s="102"/>
      <c r="K608" s="102"/>
      <c r="L608" s="102"/>
      <c r="M608" s="102"/>
      <c r="N608" s="102"/>
      <c r="O608" s="102"/>
      <c r="P608" s="102"/>
      <c r="Q608" s="102"/>
      <c r="R608" s="102"/>
    </row>
    <row r="609" spans="1:18" ht="35.1" customHeight="1" x14ac:dyDescent="0.2">
      <c r="A609" s="99"/>
      <c r="B609" s="99"/>
      <c r="C609" s="102"/>
      <c r="D609" s="102"/>
      <c r="E609" s="102"/>
      <c r="F609" s="102"/>
      <c r="G609" s="102"/>
      <c r="H609" s="102"/>
      <c r="I609" s="102"/>
      <c r="J609" s="102"/>
      <c r="K609" s="102"/>
      <c r="L609" s="102"/>
      <c r="M609" s="102"/>
      <c r="N609" s="102"/>
      <c r="O609" s="102"/>
      <c r="P609" s="102"/>
      <c r="Q609" s="102"/>
      <c r="R609" s="102"/>
    </row>
    <row r="610" spans="1:18" ht="35.1" customHeight="1" x14ac:dyDescent="0.2">
      <c r="A610" s="99"/>
      <c r="B610" s="99"/>
      <c r="C610" s="102"/>
      <c r="D610" s="102"/>
      <c r="E610" s="102"/>
      <c r="F610" s="102"/>
      <c r="G610" s="102"/>
      <c r="H610" s="102"/>
      <c r="I610" s="102"/>
      <c r="J610" s="102"/>
      <c r="K610" s="102"/>
      <c r="L610" s="102"/>
      <c r="M610" s="102"/>
      <c r="N610" s="102"/>
      <c r="O610" s="102"/>
      <c r="P610" s="102"/>
      <c r="Q610" s="102"/>
      <c r="R610" s="102"/>
    </row>
    <row r="611" spans="1:18" ht="35.1" customHeight="1" x14ac:dyDescent="0.2">
      <c r="A611" s="99"/>
      <c r="B611" s="99"/>
      <c r="C611" s="102"/>
      <c r="D611" s="102"/>
      <c r="E611" s="102"/>
      <c r="F611" s="102"/>
      <c r="G611" s="102"/>
      <c r="H611" s="102"/>
      <c r="I611" s="102"/>
      <c r="J611" s="102"/>
      <c r="K611" s="102"/>
      <c r="L611" s="102"/>
      <c r="M611" s="102"/>
      <c r="N611" s="102"/>
      <c r="O611" s="102"/>
      <c r="P611" s="102"/>
      <c r="Q611" s="102"/>
      <c r="R611" s="102"/>
    </row>
    <row r="612" spans="1:18" ht="35.1" customHeight="1" x14ac:dyDescent="0.2">
      <c r="A612" s="99"/>
      <c r="B612" s="99"/>
      <c r="C612" s="102"/>
      <c r="D612" s="102"/>
      <c r="E612" s="102"/>
      <c r="F612" s="102"/>
      <c r="G612" s="102"/>
      <c r="H612" s="102"/>
      <c r="I612" s="102"/>
      <c r="J612" s="102"/>
      <c r="K612" s="102"/>
      <c r="L612" s="102"/>
      <c r="M612" s="102"/>
      <c r="N612" s="102"/>
      <c r="O612" s="102"/>
      <c r="P612" s="102"/>
      <c r="Q612" s="102"/>
      <c r="R612" s="102"/>
    </row>
    <row r="613" spans="1:18" ht="35.1" customHeight="1" x14ac:dyDescent="0.2">
      <c r="A613" s="99"/>
      <c r="B613" s="99"/>
      <c r="C613" s="102"/>
      <c r="D613" s="102"/>
      <c r="E613" s="102"/>
      <c r="F613" s="102"/>
      <c r="G613" s="102"/>
      <c r="H613" s="102"/>
      <c r="I613" s="102"/>
      <c r="J613" s="102"/>
      <c r="K613" s="102"/>
      <c r="L613" s="102"/>
      <c r="M613" s="102"/>
      <c r="N613" s="102"/>
      <c r="O613" s="102"/>
      <c r="P613" s="102"/>
      <c r="Q613" s="102"/>
      <c r="R613" s="102"/>
    </row>
    <row r="614" spans="1:18" ht="35.1" customHeight="1" x14ac:dyDescent="0.2">
      <c r="A614" s="99"/>
      <c r="B614" s="99"/>
      <c r="C614" s="102"/>
      <c r="D614" s="102"/>
      <c r="E614" s="102"/>
      <c r="F614" s="102"/>
      <c r="G614" s="102"/>
      <c r="H614" s="102"/>
      <c r="I614" s="102"/>
      <c r="J614" s="102"/>
      <c r="K614" s="102"/>
      <c r="L614" s="102"/>
      <c r="M614" s="102"/>
      <c r="N614" s="102"/>
      <c r="O614" s="102"/>
      <c r="P614" s="102"/>
      <c r="Q614" s="102"/>
      <c r="R614" s="102"/>
    </row>
    <row r="615" spans="1:18" ht="35.1" customHeight="1" x14ac:dyDescent="0.2">
      <c r="A615" s="99"/>
      <c r="B615" s="99"/>
      <c r="C615" s="102"/>
      <c r="D615" s="102"/>
      <c r="E615" s="102"/>
      <c r="F615" s="102"/>
      <c r="G615" s="102"/>
      <c r="H615" s="102"/>
      <c r="I615" s="102"/>
      <c r="J615" s="102"/>
      <c r="K615" s="102"/>
      <c r="L615" s="102"/>
      <c r="M615" s="102"/>
      <c r="N615" s="102"/>
      <c r="O615" s="102"/>
      <c r="P615" s="102"/>
      <c r="Q615" s="102"/>
      <c r="R615" s="102"/>
    </row>
    <row r="616" spans="1:18" ht="35.1" customHeight="1" x14ac:dyDescent="0.2">
      <c r="A616" s="99"/>
      <c r="B616" s="99"/>
      <c r="C616" s="102"/>
      <c r="D616" s="102"/>
      <c r="E616" s="102"/>
      <c r="F616" s="102"/>
      <c r="G616" s="102"/>
      <c r="H616" s="102"/>
      <c r="I616" s="102"/>
      <c r="J616" s="102"/>
      <c r="K616" s="102"/>
      <c r="L616" s="102"/>
      <c r="M616" s="102"/>
      <c r="N616" s="102"/>
      <c r="O616" s="102"/>
      <c r="P616" s="102"/>
      <c r="Q616" s="102"/>
      <c r="R616" s="102"/>
    </row>
    <row r="617" spans="1:18" ht="35.1" customHeight="1" x14ac:dyDescent="0.2">
      <c r="A617" s="99"/>
      <c r="B617" s="99"/>
      <c r="C617" s="102"/>
      <c r="D617" s="102"/>
      <c r="E617" s="102"/>
      <c r="F617" s="102"/>
      <c r="G617" s="102"/>
      <c r="H617" s="102"/>
      <c r="I617" s="102"/>
      <c r="J617" s="102"/>
      <c r="K617" s="102"/>
      <c r="L617" s="102"/>
      <c r="M617" s="102"/>
      <c r="N617" s="102"/>
      <c r="O617" s="102"/>
      <c r="P617" s="102"/>
      <c r="Q617" s="102"/>
      <c r="R617" s="102"/>
    </row>
    <row r="618" spans="1:18" ht="35.1" customHeight="1" x14ac:dyDescent="0.2">
      <c r="A618" s="99"/>
      <c r="B618" s="99"/>
      <c r="C618" s="102"/>
      <c r="D618" s="102"/>
      <c r="E618" s="102"/>
      <c r="F618" s="102"/>
      <c r="G618" s="102"/>
      <c r="H618" s="102"/>
      <c r="I618" s="102"/>
      <c r="J618" s="102"/>
      <c r="K618" s="102"/>
      <c r="L618" s="102"/>
      <c r="M618" s="102"/>
      <c r="N618" s="102"/>
      <c r="O618" s="102"/>
      <c r="P618" s="102"/>
      <c r="Q618" s="102"/>
      <c r="R618" s="102"/>
    </row>
    <row r="619" spans="1:18" ht="35.1" customHeight="1" x14ac:dyDescent="0.2">
      <c r="A619" s="99"/>
      <c r="B619" s="99"/>
      <c r="C619" s="102"/>
      <c r="D619" s="102"/>
      <c r="E619" s="102"/>
      <c r="F619" s="102"/>
      <c r="G619" s="102"/>
      <c r="H619" s="102"/>
      <c r="I619" s="102"/>
      <c r="J619" s="102"/>
      <c r="K619" s="102"/>
      <c r="L619" s="102"/>
      <c r="M619" s="102"/>
      <c r="N619" s="102"/>
      <c r="O619" s="102"/>
      <c r="P619" s="102"/>
      <c r="Q619" s="102"/>
      <c r="R619" s="102"/>
    </row>
    <row r="620" spans="1:18" ht="35.1" customHeight="1" x14ac:dyDescent="0.2">
      <c r="A620" s="99"/>
      <c r="B620" s="99"/>
      <c r="C620" s="102"/>
      <c r="D620" s="102"/>
      <c r="E620" s="102"/>
      <c r="F620" s="102"/>
      <c r="G620" s="102"/>
      <c r="H620" s="102"/>
      <c r="I620" s="102"/>
      <c r="J620" s="102"/>
      <c r="K620" s="102"/>
      <c r="L620" s="102"/>
      <c r="M620" s="102"/>
      <c r="N620" s="102"/>
      <c r="O620" s="102"/>
      <c r="P620" s="102"/>
      <c r="Q620" s="102"/>
      <c r="R620" s="102"/>
    </row>
    <row r="621" spans="1:18" ht="35.1" customHeight="1" x14ac:dyDescent="0.2">
      <c r="A621" s="99"/>
      <c r="B621" s="99"/>
      <c r="C621" s="102"/>
      <c r="D621" s="102"/>
      <c r="E621" s="102"/>
      <c r="F621" s="102"/>
      <c r="G621" s="102"/>
      <c r="H621" s="102"/>
      <c r="I621" s="102"/>
      <c r="J621" s="102"/>
      <c r="K621" s="102"/>
      <c r="L621" s="102"/>
      <c r="M621" s="102"/>
      <c r="N621" s="102"/>
      <c r="O621" s="102"/>
      <c r="P621" s="102"/>
      <c r="Q621" s="102"/>
      <c r="R621" s="102"/>
    </row>
    <row r="622" spans="1:18" ht="35.1" customHeight="1" x14ac:dyDescent="0.2">
      <c r="A622" s="99"/>
      <c r="B622" s="99"/>
      <c r="C622" s="102"/>
      <c r="D622" s="102"/>
      <c r="E622" s="102"/>
      <c r="F622" s="102"/>
      <c r="G622" s="102"/>
      <c r="H622" s="102"/>
      <c r="I622" s="102"/>
      <c r="J622" s="102"/>
      <c r="K622" s="102"/>
      <c r="L622" s="102"/>
      <c r="M622" s="102"/>
      <c r="N622" s="102"/>
      <c r="O622" s="102"/>
      <c r="P622" s="102"/>
      <c r="Q622" s="102"/>
      <c r="R622" s="102"/>
    </row>
    <row r="623" spans="1:18" ht="35.1" customHeight="1" x14ac:dyDescent="0.2">
      <c r="A623" s="99"/>
      <c r="B623" s="99"/>
      <c r="C623" s="102"/>
      <c r="D623" s="102"/>
      <c r="E623" s="102"/>
      <c r="F623" s="102"/>
      <c r="G623" s="102"/>
      <c r="H623" s="102"/>
      <c r="I623" s="102"/>
      <c r="J623" s="102"/>
      <c r="K623" s="102"/>
      <c r="L623" s="102"/>
      <c r="M623" s="102"/>
      <c r="N623" s="102"/>
      <c r="O623" s="102"/>
      <c r="P623" s="102"/>
      <c r="Q623" s="102"/>
      <c r="R623" s="102"/>
    </row>
    <row r="624" spans="1:18" ht="35.1" customHeight="1" x14ac:dyDescent="0.2">
      <c r="A624" s="99"/>
      <c r="B624" s="99"/>
      <c r="C624" s="102"/>
      <c r="D624" s="102"/>
      <c r="E624" s="102"/>
      <c r="F624" s="102"/>
      <c r="G624" s="102"/>
      <c r="H624" s="102"/>
      <c r="I624" s="102"/>
      <c r="J624" s="102"/>
      <c r="K624" s="102"/>
      <c r="L624" s="102"/>
      <c r="M624" s="102"/>
      <c r="N624" s="102"/>
      <c r="O624" s="102"/>
      <c r="P624" s="102"/>
      <c r="Q624" s="102"/>
      <c r="R624" s="102"/>
    </row>
    <row r="625" spans="1:18" ht="35.1" customHeight="1" x14ac:dyDescent="0.2">
      <c r="A625" s="99"/>
      <c r="B625" s="99"/>
      <c r="C625" s="102"/>
      <c r="D625" s="102"/>
      <c r="E625" s="102"/>
      <c r="F625" s="102"/>
      <c r="G625" s="102"/>
      <c r="H625" s="102"/>
      <c r="I625" s="102"/>
      <c r="J625" s="102"/>
      <c r="K625" s="102"/>
      <c r="L625" s="102"/>
      <c r="M625" s="102"/>
      <c r="N625" s="102"/>
      <c r="O625" s="102"/>
      <c r="P625" s="102"/>
      <c r="Q625" s="102"/>
      <c r="R625" s="102"/>
    </row>
    <row r="626" spans="1:18" ht="35.1" customHeight="1" x14ac:dyDescent="0.2">
      <c r="A626" s="99"/>
      <c r="B626" s="99"/>
      <c r="C626" s="102"/>
      <c r="D626" s="102"/>
      <c r="E626" s="102"/>
      <c r="F626" s="102"/>
      <c r="G626" s="102"/>
      <c r="H626" s="102"/>
      <c r="I626" s="102"/>
      <c r="J626" s="102"/>
      <c r="K626" s="102"/>
      <c r="L626" s="102"/>
      <c r="M626" s="102"/>
      <c r="N626" s="102"/>
      <c r="O626" s="102"/>
      <c r="P626" s="102"/>
      <c r="Q626" s="102"/>
      <c r="R626" s="102"/>
    </row>
    <row r="627" spans="1:18" ht="35.1" customHeight="1" x14ac:dyDescent="0.2">
      <c r="A627" s="99"/>
      <c r="B627" s="99"/>
      <c r="C627" s="102"/>
      <c r="D627" s="102"/>
      <c r="E627" s="102"/>
      <c r="F627" s="102"/>
      <c r="G627" s="102"/>
      <c r="H627" s="102"/>
      <c r="I627" s="102"/>
      <c r="J627" s="102"/>
      <c r="K627" s="102"/>
      <c r="L627" s="102"/>
      <c r="M627" s="102"/>
      <c r="N627" s="102"/>
      <c r="O627" s="102"/>
      <c r="P627" s="102"/>
      <c r="Q627" s="102"/>
      <c r="R627" s="102"/>
    </row>
    <row r="628" spans="1:18" ht="35.1" customHeight="1" x14ac:dyDescent="0.2">
      <c r="A628" s="99"/>
      <c r="B628" s="99"/>
      <c r="C628" s="102"/>
      <c r="D628" s="102"/>
      <c r="E628" s="102"/>
      <c r="F628" s="102"/>
      <c r="G628" s="102"/>
      <c r="H628" s="102"/>
      <c r="I628" s="102"/>
      <c r="J628" s="102"/>
      <c r="K628" s="102"/>
      <c r="L628" s="102"/>
      <c r="M628" s="102"/>
      <c r="N628" s="102"/>
      <c r="O628" s="102"/>
      <c r="P628" s="102"/>
      <c r="Q628" s="102"/>
      <c r="R628" s="102"/>
    </row>
    <row r="629" spans="1:18" ht="35.1" customHeight="1" x14ac:dyDescent="0.2">
      <c r="A629" s="99"/>
      <c r="B629" s="99"/>
      <c r="C629" s="102"/>
      <c r="D629" s="102"/>
      <c r="E629" s="102"/>
      <c r="F629" s="102"/>
      <c r="G629" s="102"/>
      <c r="H629" s="102"/>
      <c r="I629" s="102"/>
      <c r="J629" s="102"/>
      <c r="K629" s="102"/>
      <c r="L629" s="102"/>
      <c r="M629" s="102"/>
      <c r="N629" s="102"/>
      <c r="O629" s="102"/>
      <c r="P629" s="102"/>
      <c r="Q629" s="102"/>
      <c r="R629" s="102"/>
    </row>
    <row r="630" spans="1:18" ht="35.1" customHeight="1" x14ac:dyDescent="0.2">
      <c r="A630" s="99"/>
      <c r="B630" s="99"/>
      <c r="C630" s="102"/>
      <c r="D630" s="102"/>
      <c r="E630" s="102"/>
      <c r="F630" s="102"/>
      <c r="G630" s="102"/>
      <c r="H630" s="102"/>
      <c r="I630" s="102"/>
      <c r="J630" s="102"/>
      <c r="K630" s="102"/>
      <c r="L630" s="102"/>
      <c r="M630" s="102"/>
      <c r="N630" s="102"/>
      <c r="O630" s="102"/>
      <c r="P630" s="102"/>
      <c r="Q630" s="102"/>
      <c r="R630" s="102"/>
    </row>
    <row r="631" spans="1:18" ht="35.1" customHeight="1" x14ac:dyDescent="0.2">
      <c r="A631" s="99"/>
      <c r="B631" s="99"/>
      <c r="C631" s="102"/>
      <c r="D631" s="102"/>
      <c r="E631" s="102"/>
      <c r="F631" s="102"/>
      <c r="G631" s="102"/>
      <c r="H631" s="102"/>
      <c r="I631" s="102"/>
      <c r="J631" s="102"/>
      <c r="K631" s="102"/>
      <c r="L631" s="102"/>
      <c r="M631" s="102"/>
      <c r="N631" s="102"/>
      <c r="O631" s="102"/>
      <c r="P631" s="102"/>
      <c r="Q631" s="102"/>
      <c r="R631" s="102"/>
    </row>
    <row r="632" spans="1:18" ht="35.1" customHeight="1" x14ac:dyDescent="0.2">
      <c r="A632" s="99"/>
      <c r="B632" s="99"/>
      <c r="C632" s="102"/>
      <c r="D632" s="102"/>
      <c r="E632" s="102"/>
      <c r="F632" s="102"/>
      <c r="G632" s="102"/>
      <c r="H632" s="102"/>
      <c r="I632" s="102"/>
      <c r="J632" s="102"/>
      <c r="K632" s="102"/>
      <c r="L632" s="102"/>
      <c r="M632" s="102"/>
      <c r="N632" s="102"/>
      <c r="O632" s="102"/>
      <c r="P632" s="102"/>
      <c r="Q632" s="102"/>
      <c r="R632" s="102"/>
    </row>
    <row r="633" spans="1:18" ht="35.1" customHeight="1" x14ac:dyDescent="0.2">
      <c r="A633" s="99"/>
      <c r="B633" s="99"/>
      <c r="C633" s="102"/>
      <c r="D633" s="102"/>
      <c r="E633" s="102"/>
      <c r="F633" s="102"/>
      <c r="G633" s="102"/>
      <c r="H633" s="102"/>
      <c r="I633" s="102"/>
      <c r="J633" s="102"/>
      <c r="K633" s="102"/>
      <c r="L633" s="102"/>
      <c r="M633" s="102"/>
      <c r="N633" s="102"/>
      <c r="O633" s="102"/>
      <c r="P633" s="102"/>
      <c r="Q633" s="102"/>
      <c r="R633" s="102"/>
    </row>
    <row r="634" spans="1:18" ht="35.1" customHeight="1" x14ac:dyDescent="0.2">
      <c r="A634" s="99"/>
      <c r="B634" s="99"/>
      <c r="C634" s="102"/>
      <c r="D634" s="102"/>
      <c r="E634" s="102"/>
      <c r="F634" s="102"/>
      <c r="G634" s="102"/>
      <c r="H634" s="102"/>
      <c r="I634" s="102"/>
      <c r="J634" s="102"/>
      <c r="K634" s="102"/>
      <c r="L634" s="102"/>
      <c r="M634" s="102"/>
      <c r="N634" s="102"/>
      <c r="O634" s="102"/>
      <c r="P634" s="102"/>
      <c r="Q634" s="102"/>
      <c r="R634" s="102"/>
    </row>
    <row r="635" spans="1:18" ht="35.1" customHeight="1" x14ac:dyDescent="0.2">
      <c r="A635" s="99"/>
      <c r="B635" s="99"/>
      <c r="C635" s="102"/>
      <c r="D635" s="102"/>
      <c r="E635" s="102"/>
      <c r="F635" s="102"/>
      <c r="G635" s="102"/>
      <c r="H635" s="102"/>
      <c r="I635" s="102"/>
      <c r="J635" s="102"/>
      <c r="K635" s="102"/>
      <c r="L635" s="102"/>
      <c r="M635" s="102"/>
      <c r="N635" s="102"/>
      <c r="O635" s="102"/>
      <c r="P635" s="102"/>
      <c r="Q635" s="102"/>
      <c r="R635" s="102"/>
    </row>
    <row r="636" spans="1:18" ht="35.1" customHeight="1" x14ac:dyDescent="0.2">
      <c r="A636" s="99"/>
      <c r="B636" s="99"/>
      <c r="C636" s="102"/>
      <c r="D636" s="102"/>
      <c r="E636" s="102"/>
      <c r="F636" s="102"/>
      <c r="G636" s="102"/>
      <c r="H636" s="102"/>
      <c r="I636" s="102"/>
      <c r="J636" s="102"/>
      <c r="K636" s="102"/>
      <c r="L636" s="102"/>
      <c r="M636" s="102"/>
      <c r="N636" s="102"/>
      <c r="O636" s="102"/>
      <c r="P636" s="102"/>
      <c r="Q636" s="102"/>
      <c r="R636" s="102"/>
    </row>
    <row r="637" spans="1:18" ht="35.1" customHeight="1" x14ac:dyDescent="0.2">
      <c r="A637" s="99"/>
      <c r="B637" s="99"/>
      <c r="C637" s="102"/>
      <c r="D637" s="102"/>
      <c r="E637" s="102"/>
      <c r="F637" s="102"/>
      <c r="G637" s="102"/>
      <c r="H637" s="102"/>
      <c r="I637" s="102"/>
      <c r="J637" s="102"/>
      <c r="K637" s="102"/>
      <c r="L637" s="102"/>
      <c r="M637" s="102"/>
      <c r="N637" s="102"/>
      <c r="O637" s="102"/>
      <c r="P637" s="102"/>
      <c r="Q637" s="102"/>
      <c r="R637" s="102"/>
    </row>
    <row r="638" spans="1:18" ht="35.1" customHeight="1" x14ac:dyDescent="0.2">
      <c r="A638" s="99"/>
      <c r="B638" s="99"/>
      <c r="C638" s="102"/>
      <c r="D638" s="102"/>
      <c r="E638" s="102"/>
      <c r="F638" s="102"/>
      <c r="G638" s="102"/>
      <c r="H638" s="102"/>
      <c r="I638" s="102"/>
      <c r="J638" s="102"/>
      <c r="K638" s="102"/>
      <c r="L638" s="102"/>
      <c r="M638" s="102"/>
      <c r="N638" s="102"/>
      <c r="O638" s="102"/>
      <c r="P638" s="102"/>
      <c r="Q638" s="102"/>
      <c r="R638" s="102"/>
    </row>
    <row r="639" spans="1:18" ht="35.1" customHeight="1" x14ac:dyDescent="0.2">
      <c r="A639" s="99"/>
      <c r="B639" s="99"/>
      <c r="C639" s="102"/>
      <c r="D639" s="102"/>
      <c r="E639" s="102"/>
      <c r="F639" s="102"/>
      <c r="G639" s="102"/>
      <c r="H639" s="102"/>
      <c r="I639" s="102"/>
      <c r="J639" s="102"/>
      <c r="K639" s="102"/>
      <c r="L639" s="102"/>
      <c r="M639" s="102"/>
      <c r="N639" s="102"/>
      <c r="O639" s="102"/>
      <c r="P639" s="102"/>
      <c r="Q639" s="102"/>
      <c r="R639" s="102"/>
    </row>
    <row r="640" spans="1:18" ht="35.1" customHeight="1" x14ac:dyDescent="0.2">
      <c r="A640" s="99"/>
      <c r="B640" s="99"/>
      <c r="C640" s="102"/>
      <c r="D640" s="102"/>
      <c r="E640" s="102"/>
      <c r="F640" s="102"/>
      <c r="G640" s="102"/>
      <c r="H640" s="102"/>
      <c r="I640" s="102"/>
      <c r="J640" s="102"/>
      <c r="K640" s="102"/>
      <c r="L640" s="102"/>
      <c r="M640" s="102"/>
      <c r="N640" s="102"/>
      <c r="O640" s="102"/>
      <c r="P640" s="102"/>
      <c r="Q640" s="102"/>
      <c r="R640" s="102"/>
    </row>
    <row r="641" spans="1:18" ht="35.1" customHeight="1" x14ac:dyDescent="0.2">
      <c r="A641" s="99"/>
      <c r="B641" s="99"/>
      <c r="C641" s="102"/>
      <c r="D641" s="102"/>
      <c r="E641" s="102"/>
      <c r="F641" s="102"/>
      <c r="G641" s="102"/>
      <c r="H641" s="102"/>
      <c r="I641" s="102"/>
      <c r="J641" s="102"/>
      <c r="K641" s="102"/>
      <c r="L641" s="102"/>
      <c r="M641" s="102"/>
      <c r="N641" s="102"/>
      <c r="O641" s="102"/>
      <c r="P641" s="102"/>
      <c r="Q641" s="102"/>
      <c r="R641" s="102"/>
    </row>
    <row r="642" spans="1:18" ht="35.1" customHeight="1" x14ac:dyDescent="0.2">
      <c r="A642" s="99"/>
      <c r="B642" s="99"/>
      <c r="C642" s="102"/>
      <c r="D642" s="102"/>
      <c r="E642" s="102"/>
      <c r="F642" s="102"/>
      <c r="G642" s="102"/>
      <c r="H642" s="102"/>
      <c r="I642" s="102"/>
      <c r="J642" s="102"/>
      <c r="K642" s="102"/>
      <c r="L642" s="102"/>
      <c r="M642" s="102"/>
      <c r="N642" s="102"/>
      <c r="O642" s="102"/>
      <c r="P642" s="102"/>
      <c r="Q642" s="102"/>
      <c r="R642" s="102"/>
    </row>
    <row r="643" spans="1:18" ht="35.1" customHeight="1" x14ac:dyDescent="0.2">
      <c r="A643" s="99"/>
      <c r="B643" s="99"/>
      <c r="C643" s="102"/>
      <c r="D643" s="102"/>
      <c r="E643" s="102"/>
      <c r="F643" s="102"/>
      <c r="G643" s="102"/>
      <c r="H643" s="102"/>
      <c r="I643" s="102"/>
      <c r="J643" s="102"/>
      <c r="K643" s="102"/>
      <c r="L643" s="102"/>
      <c r="M643" s="102"/>
      <c r="N643" s="102"/>
      <c r="O643" s="102"/>
      <c r="P643" s="102"/>
      <c r="Q643" s="102"/>
      <c r="R643" s="102"/>
    </row>
    <row r="644" spans="1:18" ht="35.1" customHeight="1" x14ac:dyDescent="0.2">
      <c r="A644" s="99"/>
      <c r="B644" s="99"/>
      <c r="C644" s="102"/>
      <c r="D644" s="102"/>
      <c r="E644" s="102"/>
      <c r="F644" s="102"/>
      <c r="G644" s="102"/>
      <c r="H644" s="102"/>
      <c r="I644" s="102"/>
      <c r="J644" s="102"/>
      <c r="K644" s="102"/>
      <c r="L644" s="102"/>
      <c r="M644" s="102"/>
      <c r="N644" s="102"/>
      <c r="O644" s="102"/>
      <c r="P644" s="102"/>
      <c r="Q644" s="102"/>
      <c r="R644" s="102"/>
    </row>
    <row r="645" spans="1:18" ht="35.1" customHeight="1" x14ac:dyDescent="0.2">
      <c r="A645" s="99"/>
      <c r="B645" s="99"/>
      <c r="C645" s="102"/>
      <c r="D645" s="102"/>
      <c r="E645" s="102"/>
      <c r="F645" s="102"/>
      <c r="G645" s="102"/>
      <c r="H645" s="102"/>
      <c r="I645" s="102"/>
      <c r="J645" s="102"/>
      <c r="K645" s="102"/>
      <c r="L645" s="102"/>
      <c r="M645" s="102"/>
      <c r="N645" s="102"/>
      <c r="O645" s="102"/>
      <c r="P645" s="102"/>
      <c r="Q645" s="102"/>
      <c r="R645" s="102"/>
    </row>
    <row r="646" spans="1:18" ht="35.1" customHeight="1" x14ac:dyDescent="0.2">
      <c r="A646" s="99"/>
      <c r="B646" s="99"/>
      <c r="C646" s="102"/>
      <c r="D646" s="102"/>
      <c r="E646" s="102"/>
      <c r="F646" s="102"/>
      <c r="G646" s="102"/>
      <c r="H646" s="102"/>
      <c r="I646" s="102"/>
      <c r="J646" s="102"/>
      <c r="K646" s="102"/>
      <c r="L646" s="102"/>
      <c r="M646" s="102"/>
      <c r="N646" s="102"/>
      <c r="O646" s="102"/>
      <c r="P646" s="102"/>
      <c r="Q646" s="102"/>
      <c r="R646" s="102"/>
    </row>
    <row r="647" spans="1:18" ht="35.1" customHeight="1" x14ac:dyDescent="0.2">
      <c r="A647" s="99"/>
      <c r="B647" s="99"/>
      <c r="C647" s="102"/>
      <c r="D647" s="102"/>
      <c r="E647" s="102"/>
      <c r="F647" s="102"/>
      <c r="G647" s="102"/>
      <c r="H647" s="102"/>
      <c r="I647" s="102"/>
      <c r="J647" s="102"/>
      <c r="K647" s="102"/>
      <c r="L647" s="102"/>
      <c r="M647" s="102"/>
      <c r="N647" s="102"/>
      <c r="O647" s="102"/>
      <c r="P647" s="102"/>
      <c r="Q647" s="102"/>
      <c r="R647" s="102"/>
    </row>
    <row r="648" spans="1:18" ht="35.1" customHeight="1" x14ac:dyDescent="0.2">
      <c r="A648" s="99"/>
      <c r="B648" s="99"/>
      <c r="C648" s="102"/>
      <c r="D648" s="102"/>
      <c r="E648" s="102"/>
      <c r="F648" s="102"/>
      <c r="G648" s="102"/>
      <c r="H648" s="102"/>
      <c r="I648" s="102"/>
      <c r="J648" s="102"/>
      <c r="K648" s="102"/>
      <c r="L648" s="102"/>
      <c r="M648" s="102"/>
      <c r="N648" s="102"/>
      <c r="O648" s="102"/>
      <c r="P648" s="102"/>
      <c r="Q648" s="102"/>
      <c r="R648" s="102"/>
    </row>
    <row r="649" spans="1:18" ht="35.1" customHeight="1" x14ac:dyDescent="0.2">
      <c r="A649" s="99"/>
      <c r="B649" s="99"/>
      <c r="C649" s="102"/>
      <c r="D649" s="102"/>
      <c r="E649" s="102"/>
      <c r="F649" s="102"/>
      <c r="G649" s="102"/>
      <c r="H649" s="102"/>
      <c r="I649" s="102"/>
      <c r="J649" s="102"/>
      <c r="K649" s="102"/>
      <c r="L649" s="102"/>
      <c r="M649" s="102"/>
      <c r="N649" s="102"/>
      <c r="O649" s="102"/>
      <c r="P649" s="102"/>
      <c r="Q649" s="102"/>
      <c r="R649" s="102"/>
    </row>
    <row r="650" spans="1:18" ht="35.1" customHeight="1" x14ac:dyDescent="0.2">
      <c r="A650" s="99"/>
      <c r="B650" s="99"/>
      <c r="C650" s="102"/>
      <c r="D650" s="102"/>
      <c r="E650" s="102"/>
      <c r="F650" s="102"/>
      <c r="G650" s="102"/>
      <c r="H650" s="102"/>
      <c r="I650" s="102"/>
      <c r="J650" s="102"/>
      <c r="K650" s="102"/>
      <c r="L650" s="102"/>
      <c r="M650" s="102"/>
      <c r="N650" s="102"/>
      <c r="O650" s="102"/>
      <c r="P650" s="102"/>
      <c r="Q650" s="102"/>
      <c r="R650" s="102"/>
    </row>
    <row r="651" spans="1:18" ht="35.1" customHeight="1" x14ac:dyDescent="0.2">
      <c r="A651" s="99"/>
      <c r="B651" s="99"/>
      <c r="C651" s="102"/>
      <c r="D651" s="102"/>
      <c r="E651" s="102"/>
      <c r="F651" s="102"/>
      <c r="G651" s="102"/>
      <c r="H651" s="102"/>
      <c r="I651" s="102"/>
      <c r="J651" s="102"/>
      <c r="K651" s="102"/>
      <c r="L651" s="102"/>
      <c r="M651" s="102"/>
      <c r="N651" s="102"/>
      <c r="O651" s="102"/>
      <c r="P651" s="102"/>
      <c r="Q651" s="102"/>
      <c r="R651" s="102"/>
    </row>
    <row r="652" spans="1:18" ht="35.1" customHeight="1" x14ac:dyDescent="0.2">
      <c r="A652" s="99"/>
      <c r="B652" s="99"/>
      <c r="C652" s="102"/>
      <c r="D652" s="102"/>
      <c r="E652" s="102"/>
      <c r="F652" s="102"/>
      <c r="G652" s="102"/>
      <c r="H652" s="102"/>
      <c r="I652" s="102"/>
      <c r="J652" s="102"/>
      <c r="K652" s="102"/>
      <c r="L652" s="102"/>
      <c r="M652" s="102"/>
      <c r="N652" s="102"/>
      <c r="O652" s="102"/>
      <c r="P652" s="102"/>
      <c r="Q652" s="102"/>
      <c r="R652" s="102"/>
    </row>
    <row r="653" spans="1:18" ht="35.1" customHeight="1" x14ac:dyDescent="0.2">
      <c r="A653" s="99"/>
      <c r="B653" s="99"/>
      <c r="C653" s="102"/>
      <c r="D653" s="102"/>
      <c r="E653" s="102"/>
      <c r="F653" s="102"/>
      <c r="G653" s="102"/>
      <c r="H653" s="102"/>
      <c r="I653" s="102"/>
      <c r="J653" s="102"/>
      <c r="K653" s="102"/>
      <c r="L653" s="102"/>
      <c r="M653" s="102"/>
      <c r="N653" s="102"/>
      <c r="O653" s="102"/>
      <c r="P653" s="102"/>
      <c r="Q653" s="102"/>
      <c r="R653" s="102"/>
    </row>
    <row r="654" spans="1:18" ht="35.1" customHeight="1" x14ac:dyDescent="0.2">
      <c r="A654" s="99"/>
      <c r="B654" s="99"/>
      <c r="C654" s="102"/>
      <c r="D654" s="102"/>
      <c r="E654" s="102"/>
      <c r="F654" s="102"/>
      <c r="G654" s="102"/>
      <c r="H654" s="102"/>
      <c r="I654" s="102"/>
      <c r="J654" s="102"/>
      <c r="K654" s="102"/>
      <c r="L654" s="102"/>
      <c r="M654" s="102"/>
      <c r="N654" s="102"/>
      <c r="O654" s="102"/>
      <c r="P654" s="102"/>
      <c r="Q654" s="102"/>
      <c r="R654" s="102"/>
    </row>
    <row r="655" spans="1:18" ht="35.1" customHeight="1" x14ac:dyDescent="0.2">
      <c r="A655" s="99"/>
      <c r="B655" s="99"/>
      <c r="C655" s="102"/>
      <c r="D655" s="102"/>
      <c r="E655" s="102"/>
      <c r="F655" s="102"/>
      <c r="G655" s="102"/>
      <c r="H655" s="102"/>
      <c r="I655" s="102"/>
      <c r="J655" s="102"/>
      <c r="K655" s="102"/>
      <c r="L655" s="102"/>
      <c r="M655" s="102"/>
      <c r="N655" s="102"/>
      <c r="O655" s="102"/>
      <c r="P655" s="102"/>
      <c r="Q655" s="102"/>
      <c r="R655" s="102"/>
    </row>
    <row r="656" spans="1:18" ht="35.1" customHeight="1" x14ac:dyDescent="0.2">
      <c r="A656" s="99"/>
      <c r="B656" s="99"/>
      <c r="C656" s="102"/>
      <c r="D656" s="102"/>
      <c r="E656" s="102"/>
      <c r="F656" s="102"/>
      <c r="G656" s="102"/>
      <c r="H656" s="102"/>
      <c r="I656" s="102"/>
      <c r="J656" s="102"/>
      <c r="K656" s="102"/>
      <c r="L656" s="102"/>
      <c r="M656" s="102"/>
      <c r="N656" s="102"/>
      <c r="O656" s="102"/>
      <c r="P656" s="102"/>
      <c r="Q656" s="102"/>
      <c r="R656" s="102"/>
    </row>
    <row r="657" spans="1:18" ht="35.1" customHeight="1" x14ac:dyDescent="0.2">
      <c r="A657" s="99"/>
      <c r="B657" s="99"/>
      <c r="C657" s="102"/>
      <c r="D657" s="102"/>
      <c r="E657" s="102"/>
      <c r="F657" s="102"/>
      <c r="G657" s="102"/>
      <c r="H657" s="102"/>
      <c r="I657" s="102"/>
      <c r="J657" s="102"/>
      <c r="K657" s="102"/>
      <c r="L657" s="102"/>
      <c r="M657" s="102"/>
      <c r="N657" s="102"/>
      <c r="O657" s="102"/>
      <c r="P657" s="102"/>
      <c r="Q657" s="102"/>
      <c r="R657" s="102"/>
    </row>
    <row r="658" spans="1:18" ht="35.1" customHeight="1" x14ac:dyDescent="0.2">
      <c r="A658" s="99"/>
      <c r="B658" s="99"/>
      <c r="C658" s="102"/>
      <c r="D658" s="102"/>
      <c r="E658" s="102"/>
      <c r="F658" s="102"/>
      <c r="G658" s="102"/>
      <c r="H658" s="102"/>
      <c r="I658" s="102"/>
      <c r="J658" s="102"/>
      <c r="K658" s="102"/>
      <c r="L658" s="102"/>
      <c r="M658" s="102"/>
      <c r="N658" s="102"/>
      <c r="O658" s="102"/>
      <c r="P658" s="102"/>
      <c r="Q658" s="102"/>
      <c r="R658" s="102"/>
    </row>
    <row r="659" spans="1:18" ht="35.1" customHeight="1" x14ac:dyDescent="0.2">
      <c r="A659" s="99"/>
      <c r="B659" s="99"/>
      <c r="C659" s="102"/>
      <c r="D659" s="102"/>
      <c r="E659" s="102"/>
      <c r="F659" s="102"/>
      <c r="G659" s="102"/>
      <c r="H659" s="102"/>
      <c r="I659" s="102"/>
      <c r="J659" s="102"/>
      <c r="K659" s="102"/>
      <c r="L659" s="102"/>
      <c r="M659" s="102"/>
      <c r="N659" s="102"/>
      <c r="O659" s="102"/>
      <c r="P659" s="102"/>
      <c r="Q659" s="102"/>
      <c r="R659" s="102"/>
    </row>
    <row r="660" spans="1:18" ht="35.1" customHeight="1" x14ac:dyDescent="0.2">
      <c r="A660" s="99"/>
      <c r="B660" s="99"/>
      <c r="C660" s="102"/>
      <c r="D660" s="102"/>
      <c r="E660" s="102"/>
      <c r="F660" s="102"/>
      <c r="G660" s="102"/>
      <c r="H660" s="102"/>
      <c r="I660" s="102"/>
      <c r="J660" s="102"/>
      <c r="K660" s="102"/>
      <c r="L660" s="102"/>
      <c r="M660" s="102"/>
      <c r="N660" s="102"/>
      <c r="O660" s="102"/>
      <c r="P660" s="102"/>
      <c r="Q660" s="102"/>
      <c r="R660" s="102"/>
    </row>
    <row r="661" spans="1:18" ht="35.1" customHeight="1" x14ac:dyDescent="0.2">
      <c r="A661" s="99"/>
      <c r="B661" s="99"/>
      <c r="C661" s="102"/>
      <c r="D661" s="102"/>
      <c r="E661" s="102"/>
      <c r="F661" s="102"/>
      <c r="G661" s="102"/>
      <c r="H661" s="102"/>
      <c r="I661" s="102"/>
      <c r="J661" s="102"/>
      <c r="K661" s="102"/>
      <c r="L661" s="102"/>
      <c r="M661" s="102"/>
      <c r="N661" s="102"/>
      <c r="O661" s="102"/>
      <c r="P661" s="102"/>
      <c r="Q661" s="102"/>
      <c r="R661" s="102"/>
    </row>
    <row r="662" spans="1:18" ht="35.1" customHeight="1" x14ac:dyDescent="0.2">
      <c r="A662" s="99"/>
      <c r="B662" s="99"/>
      <c r="C662" s="102"/>
      <c r="D662" s="102"/>
      <c r="E662" s="102"/>
      <c r="F662" s="102"/>
      <c r="G662" s="102"/>
      <c r="H662" s="102"/>
      <c r="I662" s="102"/>
      <c r="J662" s="102"/>
      <c r="K662" s="102"/>
      <c r="L662" s="102"/>
      <c r="M662" s="102"/>
      <c r="N662" s="102"/>
      <c r="O662" s="102"/>
      <c r="P662" s="102"/>
      <c r="Q662" s="102"/>
      <c r="R662" s="102"/>
    </row>
    <row r="663" spans="1:18" ht="35.1" customHeight="1" x14ac:dyDescent="0.2">
      <c r="A663" s="99"/>
      <c r="B663" s="99"/>
      <c r="C663" s="102"/>
      <c r="D663" s="102"/>
      <c r="E663" s="102"/>
      <c r="F663" s="102"/>
      <c r="G663" s="102"/>
      <c r="H663" s="102"/>
      <c r="I663" s="102"/>
      <c r="J663" s="102"/>
      <c r="K663" s="102"/>
      <c r="L663" s="102"/>
      <c r="M663" s="102"/>
      <c r="N663" s="102"/>
      <c r="O663" s="102"/>
      <c r="P663" s="102"/>
      <c r="Q663" s="102"/>
      <c r="R663" s="102"/>
    </row>
    <row r="664" spans="1:18" ht="35.1" customHeight="1" x14ac:dyDescent="0.2">
      <c r="A664" s="99"/>
      <c r="B664" s="99"/>
      <c r="C664" s="102"/>
      <c r="D664" s="102"/>
      <c r="E664" s="102"/>
      <c r="F664" s="102"/>
      <c r="G664" s="102"/>
      <c r="H664" s="102"/>
      <c r="I664" s="102"/>
      <c r="J664" s="102"/>
      <c r="K664" s="102"/>
      <c r="L664" s="102"/>
      <c r="M664" s="102"/>
      <c r="N664" s="102"/>
      <c r="O664" s="102"/>
      <c r="P664" s="102"/>
      <c r="Q664" s="102"/>
      <c r="R664" s="102"/>
    </row>
    <row r="665" spans="1:18" ht="35.1" customHeight="1" x14ac:dyDescent="0.2">
      <c r="A665" s="99"/>
      <c r="B665" s="99"/>
      <c r="C665" s="102"/>
      <c r="D665" s="102"/>
      <c r="E665" s="102"/>
      <c r="F665" s="102"/>
      <c r="G665" s="102"/>
      <c r="H665" s="102"/>
      <c r="I665" s="102"/>
      <c r="J665" s="102"/>
      <c r="K665" s="102"/>
      <c r="L665" s="102"/>
      <c r="M665" s="102"/>
      <c r="N665" s="102"/>
      <c r="O665" s="102"/>
      <c r="P665" s="102"/>
      <c r="Q665" s="102"/>
      <c r="R665" s="102"/>
    </row>
    <row r="666" spans="1:18" ht="35.1" customHeight="1" x14ac:dyDescent="0.2">
      <c r="A666" s="99"/>
      <c r="B666" s="99"/>
      <c r="C666" s="102"/>
      <c r="D666" s="102"/>
      <c r="E666" s="102"/>
      <c r="F666" s="102"/>
      <c r="G666" s="102"/>
      <c r="H666" s="102"/>
      <c r="I666" s="102"/>
      <c r="J666" s="102"/>
      <c r="K666" s="102"/>
      <c r="L666" s="102"/>
      <c r="M666" s="102"/>
      <c r="N666" s="102"/>
      <c r="O666" s="102"/>
      <c r="P666" s="102"/>
      <c r="Q666" s="102"/>
      <c r="R666" s="102"/>
    </row>
    <row r="667" spans="1:18" ht="35.1" customHeight="1" x14ac:dyDescent="0.2">
      <c r="A667" s="99"/>
      <c r="B667" s="99"/>
      <c r="C667" s="102"/>
      <c r="D667" s="102"/>
      <c r="E667" s="102"/>
      <c r="F667" s="102"/>
      <c r="G667" s="102"/>
      <c r="H667" s="102"/>
      <c r="I667" s="102"/>
      <c r="J667" s="102"/>
      <c r="K667" s="102"/>
      <c r="L667" s="102"/>
      <c r="M667" s="102"/>
      <c r="N667" s="102"/>
      <c r="O667" s="102"/>
      <c r="P667" s="102"/>
      <c r="Q667" s="102"/>
      <c r="R667" s="102"/>
    </row>
    <row r="668" spans="1:18" ht="35.1" customHeight="1" x14ac:dyDescent="0.2">
      <c r="A668" s="99"/>
      <c r="B668" s="99"/>
      <c r="C668" s="102"/>
      <c r="D668" s="102"/>
      <c r="E668" s="102"/>
      <c r="F668" s="102"/>
      <c r="G668" s="102"/>
      <c r="H668" s="102"/>
      <c r="I668" s="102"/>
      <c r="J668" s="102"/>
      <c r="K668" s="102"/>
      <c r="L668" s="102"/>
      <c r="M668" s="102"/>
      <c r="N668" s="102"/>
      <c r="O668" s="102"/>
      <c r="P668" s="102"/>
      <c r="Q668" s="102"/>
      <c r="R668" s="102"/>
    </row>
    <row r="669" spans="1:18" ht="35.1" customHeight="1" x14ac:dyDescent="0.2">
      <c r="A669" s="99"/>
      <c r="B669" s="99"/>
      <c r="C669" s="102"/>
      <c r="D669" s="102"/>
      <c r="E669" s="102"/>
      <c r="F669" s="102"/>
      <c r="G669" s="102"/>
      <c r="H669" s="102"/>
      <c r="I669" s="102"/>
      <c r="J669" s="102"/>
      <c r="K669" s="102"/>
      <c r="L669" s="102"/>
      <c r="M669" s="102"/>
      <c r="N669" s="102"/>
      <c r="O669" s="102"/>
      <c r="P669" s="102"/>
      <c r="Q669" s="102"/>
      <c r="R669" s="102"/>
    </row>
    <row r="670" spans="1:18" ht="35.1" customHeight="1" x14ac:dyDescent="0.2">
      <c r="A670" s="99"/>
      <c r="B670" s="99"/>
      <c r="C670" s="102"/>
      <c r="D670" s="102"/>
      <c r="E670" s="102"/>
      <c r="F670" s="102"/>
      <c r="G670" s="102"/>
      <c r="H670" s="102"/>
      <c r="I670" s="102"/>
      <c r="J670" s="102"/>
      <c r="K670" s="102"/>
      <c r="L670" s="102"/>
      <c r="M670" s="102"/>
      <c r="N670" s="102"/>
      <c r="O670" s="102"/>
      <c r="P670" s="102"/>
      <c r="Q670" s="102"/>
      <c r="R670" s="102"/>
    </row>
    <row r="671" spans="1:18" ht="35.1" customHeight="1" x14ac:dyDescent="0.2">
      <c r="A671" s="99"/>
      <c r="B671" s="99"/>
      <c r="C671" s="102"/>
      <c r="D671" s="102"/>
      <c r="E671" s="102"/>
      <c r="F671" s="102"/>
      <c r="G671" s="102"/>
      <c r="H671" s="102"/>
      <c r="I671" s="102"/>
      <c r="J671" s="102"/>
      <c r="K671" s="102"/>
      <c r="L671" s="102"/>
      <c r="M671" s="102"/>
      <c r="N671" s="102"/>
      <c r="O671" s="102"/>
      <c r="P671" s="102"/>
      <c r="Q671" s="102"/>
      <c r="R671" s="102"/>
    </row>
    <row r="672" spans="1:18" ht="35.1" customHeight="1" x14ac:dyDescent="0.2">
      <c r="A672" s="99"/>
      <c r="B672" s="99"/>
      <c r="C672" s="102"/>
      <c r="D672" s="102"/>
      <c r="E672" s="102"/>
      <c r="F672" s="102"/>
      <c r="G672" s="102"/>
      <c r="H672" s="102"/>
      <c r="I672" s="102"/>
      <c r="J672" s="102"/>
      <c r="K672" s="102"/>
      <c r="L672" s="102"/>
      <c r="M672" s="102"/>
      <c r="N672" s="102"/>
      <c r="O672" s="102"/>
      <c r="P672" s="102"/>
      <c r="Q672" s="102"/>
      <c r="R672" s="102"/>
    </row>
    <row r="673" spans="1:18" ht="35.1" customHeight="1" x14ac:dyDescent="0.2">
      <c r="A673" s="99"/>
      <c r="B673" s="99"/>
      <c r="C673" s="102"/>
      <c r="D673" s="102"/>
      <c r="E673" s="102"/>
      <c r="F673" s="102"/>
      <c r="G673" s="102"/>
      <c r="H673" s="102"/>
      <c r="I673" s="102"/>
      <c r="J673" s="102"/>
      <c r="K673" s="102"/>
      <c r="L673" s="102"/>
      <c r="M673" s="102"/>
      <c r="N673" s="102"/>
      <c r="O673" s="102"/>
      <c r="P673" s="102"/>
      <c r="Q673" s="102"/>
      <c r="R673" s="102"/>
    </row>
    <row r="674" spans="1:18" ht="35.1" customHeight="1" x14ac:dyDescent="0.2">
      <c r="A674" s="99"/>
      <c r="B674" s="99"/>
      <c r="C674" s="102"/>
      <c r="D674" s="102"/>
      <c r="E674" s="102"/>
      <c r="F674" s="102"/>
      <c r="G674" s="102"/>
      <c r="H674" s="102"/>
      <c r="I674" s="102"/>
      <c r="J674" s="102"/>
      <c r="K674" s="102"/>
      <c r="L674" s="102"/>
      <c r="M674" s="102"/>
      <c r="N674" s="102"/>
      <c r="O674" s="102"/>
      <c r="P674" s="102"/>
      <c r="Q674" s="102"/>
      <c r="R674" s="102"/>
    </row>
    <row r="675" spans="1:18" ht="35.1" customHeight="1" x14ac:dyDescent="0.2">
      <c r="A675" s="99"/>
      <c r="B675" s="99"/>
      <c r="C675" s="102"/>
      <c r="D675" s="102"/>
      <c r="E675" s="102"/>
      <c r="F675" s="102"/>
      <c r="G675" s="102"/>
      <c r="H675" s="102"/>
      <c r="I675" s="102"/>
      <c r="J675" s="102"/>
      <c r="K675" s="102"/>
      <c r="L675" s="102"/>
      <c r="M675" s="102"/>
      <c r="N675" s="102"/>
      <c r="O675" s="102"/>
      <c r="P675" s="102"/>
      <c r="Q675" s="102"/>
      <c r="R675" s="102"/>
    </row>
    <row r="676" spans="1:18" ht="35.1" customHeight="1" x14ac:dyDescent="0.2">
      <c r="A676" s="99"/>
      <c r="B676" s="99"/>
      <c r="C676" s="102"/>
      <c r="D676" s="102"/>
      <c r="E676" s="102"/>
      <c r="F676" s="102"/>
      <c r="G676" s="102"/>
      <c r="H676" s="102"/>
      <c r="I676" s="102"/>
      <c r="J676" s="102"/>
      <c r="K676" s="102"/>
      <c r="L676" s="102"/>
      <c r="M676" s="102"/>
      <c r="N676" s="102"/>
      <c r="O676" s="102"/>
      <c r="P676" s="102"/>
      <c r="Q676" s="102"/>
      <c r="R676" s="102"/>
    </row>
    <row r="677" spans="1:18" ht="35.1" customHeight="1" x14ac:dyDescent="0.2">
      <c r="A677" s="99"/>
      <c r="B677" s="99"/>
      <c r="C677" s="102"/>
      <c r="D677" s="102"/>
      <c r="E677" s="102"/>
      <c r="F677" s="102"/>
      <c r="G677" s="102"/>
      <c r="H677" s="102"/>
      <c r="I677" s="102"/>
      <c r="J677" s="102"/>
      <c r="K677" s="102"/>
      <c r="L677" s="102"/>
      <c r="M677" s="102"/>
      <c r="N677" s="102"/>
      <c r="O677" s="102"/>
      <c r="P677" s="102"/>
      <c r="Q677" s="102"/>
      <c r="R677" s="102"/>
    </row>
    <row r="678" spans="1:18" ht="35.1" customHeight="1" x14ac:dyDescent="0.2">
      <c r="A678" s="99"/>
      <c r="B678" s="99"/>
      <c r="C678" s="102"/>
      <c r="D678" s="102"/>
      <c r="E678" s="102"/>
      <c r="F678" s="102"/>
      <c r="G678" s="102"/>
      <c r="H678" s="102"/>
      <c r="I678" s="102"/>
      <c r="J678" s="102"/>
      <c r="K678" s="102"/>
      <c r="L678" s="102"/>
      <c r="M678" s="102"/>
      <c r="N678" s="102"/>
      <c r="O678" s="102"/>
      <c r="P678" s="102"/>
      <c r="Q678" s="102"/>
      <c r="R678" s="102"/>
    </row>
    <row r="679" spans="1:18" ht="35.1" customHeight="1" x14ac:dyDescent="0.2">
      <c r="A679" s="99"/>
      <c r="B679" s="99"/>
      <c r="C679" s="102"/>
      <c r="D679" s="102"/>
      <c r="E679" s="102"/>
      <c r="F679" s="102"/>
      <c r="G679" s="102"/>
      <c r="H679" s="102"/>
      <c r="I679" s="102"/>
      <c r="J679" s="102"/>
      <c r="K679" s="102"/>
      <c r="L679" s="102"/>
      <c r="M679" s="102"/>
      <c r="N679" s="102"/>
      <c r="O679" s="102"/>
      <c r="P679" s="102"/>
      <c r="Q679" s="102"/>
      <c r="R679" s="102"/>
    </row>
    <row r="680" spans="1:18" ht="35.1" customHeight="1" x14ac:dyDescent="0.2">
      <c r="A680" s="99"/>
      <c r="B680" s="99"/>
      <c r="C680" s="102"/>
      <c r="D680" s="102"/>
      <c r="E680" s="102"/>
      <c r="F680" s="102"/>
      <c r="G680" s="102"/>
      <c r="H680" s="102"/>
      <c r="I680" s="102"/>
      <c r="J680" s="102"/>
      <c r="K680" s="102"/>
      <c r="L680" s="102"/>
      <c r="M680" s="102"/>
      <c r="N680" s="102"/>
      <c r="O680" s="102"/>
      <c r="P680" s="102"/>
      <c r="Q680" s="102"/>
      <c r="R680" s="102"/>
    </row>
    <row r="681" spans="1:18" ht="35.1" customHeight="1" x14ac:dyDescent="0.2">
      <c r="A681" s="99"/>
      <c r="B681" s="99"/>
      <c r="C681" s="102"/>
      <c r="D681" s="102"/>
      <c r="E681" s="102"/>
      <c r="F681" s="102"/>
      <c r="G681" s="102"/>
      <c r="H681" s="102"/>
      <c r="I681" s="102"/>
      <c r="J681" s="102"/>
      <c r="K681" s="102"/>
      <c r="L681" s="102"/>
      <c r="M681" s="102"/>
      <c r="N681" s="102"/>
      <c r="O681" s="102"/>
      <c r="P681" s="102"/>
      <c r="Q681" s="102"/>
      <c r="R681" s="102"/>
    </row>
    <row r="682" spans="1:18" ht="35.1" customHeight="1" x14ac:dyDescent="0.2">
      <c r="A682" s="99"/>
      <c r="B682" s="99"/>
      <c r="C682" s="102"/>
      <c r="D682" s="102"/>
      <c r="E682" s="102"/>
      <c r="F682" s="102"/>
      <c r="G682" s="102"/>
      <c r="H682" s="102"/>
      <c r="I682" s="102"/>
      <c r="J682" s="102"/>
      <c r="K682" s="102"/>
      <c r="L682" s="102"/>
      <c r="M682" s="102"/>
      <c r="N682" s="102"/>
      <c r="O682" s="102"/>
      <c r="P682" s="102"/>
      <c r="Q682" s="102"/>
      <c r="R682" s="102"/>
    </row>
    <row r="683" spans="1:18" ht="35.1" customHeight="1" x14ac:dyDescent="0.2">
      <c r="A683" s="99"/>
      <c r="B683" s="99"/>
      <c r="C683" s="102"/>
      <c r="D683" s="102"/>
      <c r="E683" s="102"/>
      <c r="F683" s="102"/>
      <c r="G683" s="102"/>
      <c r="H683" s="102"/>
      <c r="I683" s="102"/>
      <c r="J683" s="102"/>
      <c r="K683" s="102"/>
      <c r="L683" s="102"/>
      <c r="M683" s="102"/>
      <c r="N683" s="102"/>
      <c r="O683" s="102"/>
      <c r="P683" s="102"/>
      <c r="Q683" s="102"/>
      <c r="R683" s="102"/>
    </row>
    <row r="684" spans="1:18" ht="35.1" customHeight="1" x14ac:dyDescent="0.2">
      <c r="A684" s="99"/>
      <c r="B684" s="99"/>
      <c r="C684" s="102"/>
      <c r="D684" s="102"/>
      <c r="E684" s="102"/>
      <c r="F684" s="102"/>
      <c r="G684" s="102"/>
      <c r="H684" s="102"/>
      <c r="I684" s="102"/>
      <c r="J684" s="102"/>
      <c r="K684" s="102"/>
      <c r="L684" s="102"/>
      <c r="M684" s="102"/>
      <c r="N684" s="102"/>
      <c r="O684" s="102"/>
      <c r="P684" s="102"/>
      <c r="Q684" s="102"/>
      <c r="R684" s="102"/>
    </row>
    <row r="685" spans="1:18" ht="35.1" customHeight="1" x14ac:dyDescent="0.2">
      <c r="A685" s="99"/>
      <c r="B685" s="99"/>
      <c r="C685" s="102"/>
      <c r="D685" s="102"/>
      <c r="E685" s="102"/>
      <c r="F685" s="102"/>
      <c r="G685" s="102"/>
      <c r="H685" s="102"/>
      <c r="I685" s="102"/>
      <c r="J685" s="102"/>
      <c r="K685" s="102"/>
      <c r="L685" s="102"/>
      <c r="M685" s="102"/>
      <c r="N685" s="102"/>
      <c r="O685" s="102"/>
      <c r="P685" s="102"/>
      <c r="Q685" s="102"/>
      <c r="R685" s="102"/>
    </row>
    <row r="686" spans="1:18" ht="35.1" customHeight="1" x14ac:dyDescent="0.2">
      <c r="A686" s="99"/>
      <c r="B686" s="99"/>
      <c r="C686" s="102"/>
      <c r="D686" s="102"/>
      <c r="E686" s="102"/>
      <c r="F686" s="102"/>
      <c r="G686" s="102"/>
      <c r="H686" s="102"/>
      <c r="I686" s="102"/>
      <c r="J686" s="102"/>
      <c r="K686" s="102"/>
      <c r="L686" s="102"/>
      <c r="M686" s="102"/>
      <c r="N686" s="102"/>
      <c r="O686" s="102"/>
      <c r="P686" s="102"/>
      <c r="Q686" s="102"/>
      <c r="R686" s="102"/>
    </row>
    <row r="687" spans="1:18" ht="35.1" customHeight="1" x14ac:dyDescent="0.2">
      <c r="A687" s="99"/>
      <c r="B687" s="99"/>
      <c r="C687" s="102"/>
      <c r="D687" s="102"/>
      <c r="E687" s="102"/>
      <c r="F687" s="102"/>
      <c r="G687" s="102"/>
      <c r="H687" s="102"/>
      <c r="I687" s="102"/>
      <c r="J687" s="102"/>
      <c r="K687" s="102"/>
      <c r="L687" s="102"/>
      <c r="M687" s="102"/>
      <c r="N687" s="102"/>
      <c r="O687" s="102"/>
      <c r="P687" s="102"/>
      <c r="Q687" s="102"/>
      <c r="R687" s="102"/>
    </row>
    <row r="688" spans="1:18" ht="35.1" customHeight="1" x14ac:dyDescent="0.2">
      <c r="A688" s="99"/>
      <c r="B688" s="99"/>
      <c r="C688" s="102"/>
      <c r="D688" s="102"/>
      <c r="E688" s="102"/>
      <c r="F688" s="102"/>
      <c r="G688" s="102"/>
      <c r="H688" s="102"/>
      <c r="I688" s="102"/>
      <c r="J688" s="102"/>
      <c r="K688" s="102"/>
      <c r="L688" s="102"/>
      <c r="M688" s="102"/>
      <c r="N688" s="102"/>
      <c r="O688" s="102"/>
      <c r="P688" s="102"/>
      <c r="Q688" s="102"/>
      <c r="R688" s="102"/>
    </row>
    <row r="689" spans="1:18" ht="35.1" customHeight="1" x14ac:dyDescent="0.2">
      <c r="A689" s="99"/>
      <c r="B689" s="99"/>
      <c r="C689" s="102"/>
      <c r="D689" s="102"/>
      <c r="E689" s="102"/>
      <c r="F689" s="102"/>
      <c r="G689" s="102"/>
      <c r="H689" s="102"/>
      <c r="I689" s="102"/>
      <c r="J689" s="102"/>
      <c r="K689" s="102"/>
      <c r="L689" s="102"/>
      <c r="M689" s="102"/>
      <c r="N689" s="102"/>
      <c r="O689" s="102"/>
      <c r="P689" s="102"/>
      <c r="Q689" s="102"/>
      <c r="R689" s="102"/>
    </row>
    <row r="690" spans="1:18" ht="35.1" customHeight="1" x14ac:dyDescent="0.2">
      <c r="A690" s="99"/>
      <c r="B690" s="99"/>
      <c r="C690" s="102"/>
      <c r="D690" s="102"/>
      <c r="E690" s="102"/>
      <c r="F690" s="102"/>
      <c r="G690" s="102"/>
      <c r="H690" s="102"/>
      <c r="I690" s="102"/>
      <c r="J690" s="102"/>
      <c r="K690" s="102"/>
      <c r="L690" s="102"/>
      <c r="M690" s="102"/>
      <c r="N690" s="102"/>
      <c r="O690" s="102"/>
      <c r="P690" s="102"/>
      <c r="Q690" s="102"/>
      <c r="R690" s="102"/>
    </row>
    <row r="691" spans="1:18" ht="35.1" customHeight="1" x14ac:dyDescent="0.2">
      <c r="A691" s="99"/>
      <c r="B691" s="99"/>
      <c r="C691" s="102"/>
      <c r="D691" s="102"/>
      <c r="E691" s="102"/>
      <c r="F691" s="102"/>
      <c r="G691" s="102"/>
      <c r="H691" s="102"/>
      <c r="I691" s="102"/>
      <c r="J691" s="102"/>
      <c r="K691" s="102"/>
      <c r="L691" s="102"/>
      <c r="M691" s="102"/>
      <c r="N691" s="102"/>
      <c r="O691" s="102"/>
      <c r="P691" s="102"/>
      <c r="Q691" s="102"/>
      <c r="R691" s="102"/>
    </row>
    <row r="692" spans="1:18" ht="35.1" customHeight="1" x14ac:dyDescent="0.2">
      <c r="A692" s="99"/>
      <c r="B692" s="99"/>
      <c r="C692" s="102"/>
      <c r="D692" s="102"/>
      <c r="E692" s="102"/>
      <c r="F692" s="102"/>
      <c r="G692" s="102"/>
      <c r="H692" s="102"/>
      <c r="I692" s="102"/>
      <c r="J692" s="102"/>
      <c r="K692" s="102"/>
      <c r="L692" s="102"/>
      <c r="M692" s="102"/>
      <c r="N692" s="102"/>
      <c r="O692" s="102"/>
      <c r="P692" s="102"/>
      <c r="Q692" s="102"/>
      <c r="R692" s="102"/>
    </row>
    <row r="693" spans="1:18" ht="35.1" customHeight="1" x14ac:dyDescent="0.2">
      <c r="A693" s="99"/>
      <c r="B693" s="99"/>
      <c r="C693" s="102"/>
      <c r="D693" s="102"/>
      <c r="E693" s="102"/>
      <c r="F693" s="102"/>
      <c r="G693" s="102"/>
      <c r="H693" s="102"/>
      <c r="I693" s="102"/>
      <c r="J693" s="102"/>
      <c r="K693" s="102"/>
      <c r="L693" s="102"/>
      <c r="M693" s="102"/>
      <c r="N693" s="102"/>
      <c r="O693" s="102"/>
      <c r="P693" s="102"/>
      <c r="Q693" s="102"/>
      <c r="R693" s="102"/>
    </row>
    <row r="694" spans="1:18" ht="35.1" customHeight="1" x14ac:dyDescent="0.2">
      <c r="A694" s="99"/>
      <c r="B694" s="99"/>
      <c r="C694" s="102"/>
      <c r="D694" s="102"/>
      <c r="E694" s="102"/>
      <c r="F694" s="102"/>
      <c r="G694" s="102"/>
      <c r="H694" s="102"/>
      <c r="I694" s="102"/>
      <c r="J694" s="102"/>
      <c r="K694" s="102"/>
      <c r="L694" s="102"/>
      <c r="M694" s="102"/>
      <c r="N694" s="102"/>
      <c r="O694" s="102"/>
      <c r="P694" s="102"/>
      <c r="Q694" s="102"/>
      <c r="R694" s="102"/>
    </row>
    <row r="695" spans="1:18" ht="35.1" customHeight="1" x14ac:dyDescent="0.2">
      <c r="A695" s="99"/>
      <c r="B695" s="99"/>
      <c r="C695" s="102"/>
      <c r="D695" s="102"/>
      <c r="E695" s="102"/>
      <c r="F695" s="102"/>
      <c r="G695" s="102"/>
      <c r="H695" s="102"/>
      <c r="I695" s="102"/>
      <c r="J695" s="102"/>
      <c r="K695" s="102"/>
      <c r="L695" s="102"/>
      <c r="M695" s="102"/>
      <c r="N695" s="102"/>
      <c r="O695" s="102"/>
      <c r="P695" s="102"/>
      <c r="Q695" s="102"/>
      <c r="R695" s="102"/>
    </row>
    <row r="696" spans="1:18" ht="35.1" customHeight="1" x14ac:dyDescent="0.2">
      <c r="A696" s="99"/>
      <c r="B696" s="99"/>
      <c r="C696" s="102"/>
      <c r="D696" s="102"/>
      <c r="E696" s="102"/>
      <c r="F696" s="102"/>
      <c r="G696" s="102"/>
      <c r="H696" s="102"/>
      <c r="I696" s="102"/>
      <c r="J696" s="102"/>
      <c r="K696" s="102"/>
      <c r="L696" s="102"/>
      <c r="M696" s="102"/>
      <c r="N696" s="102"/>
      <c r="O696" s="102"/>
      <c r="P696" s="102"/>
      <c r="Q696" s="102"/>
      <c r="R696" s="102"/>
    </row>
    <row r="697" spans="1:18" ht="35.1" customHeight="1" x14ac:dyDescent="0.2">
      <c r="A697" s="99"/>
      <c r="B697" s="99"/>
      <c r="C697" s="102"/>
      <c r="D697" s="102"/>
      <c r="E697" s="102"/>
      <c r="F697" s="102"/>
      <c r="G697" s="102"/>
      <c r="H697" s="102"/>
      <c r="I697" s="102"/>
      <c r="J697" s="102"/>
      <c r="K697" s="102"/>
      <c r="L697" s="102"/>
      <c r="M697" s="102"/>
      <c r="N697" s="102"/>
      <c r="O697" s="102"/>
      <c r="P697" s="102"/>
      <c r="Q697" s="102"/>
      <c r="R697" s="102"/>
    </row>
    <row r="698" spans="1:18" ht="35.1" customHeight="1" x14ac:dyDescent="0.2">
      <c r="A698" s="99"/>
      <c r="B698" s="99"/>
      <c r="C698" s="102"/>
      <c r="D698" s="102"/>
      <c r="E698" s="102"/>
      <c r="F698" s="102"/>
      <c r="G698" s="102"/>
      <c r="H698" s="102"/>
      <c r="I698" s="102"/>
      <c r="J698" s="102"/>
      <c r="K698" s="102"/>
      <c r="L698" s="102"/>
      <c r="M698" s="102"/>
      <c r="N698" s="102"/>
      <c r="O698" s="102"/>
      <c r="P698" s="102"/>
      <c r="Q698" s="102"/>
      <c r="R698" s="102"/>
    </row>
    <row r="699" spans="1:18" ht="35.1" customHeight="1" x14ac:dyDescent="0.2">
      <c r="A699" s="99"/>
      <c r="B699" s="99"/>
      <c r="C699" s="102"/>
      <c r="D699" s="102"/>
      <c r="E699" s="102"/>
      <c r="F699" s="102"/>
      <c r="G699" s="102"/>
      <c r="H699" s="102"/>
      <c r="I699" s="102"/>
      <c r="J699" s="102"/>
      <c r="K699" s="102"/>
      <c r="L699" s="102"/>
      <c r="M699" s="102"/>
      <c r="N699" s="102"/>
      <c r="O699" s="102"/>
      <c r="P699" s="102"/>
      <c r="Q699" s="102"/>
      <c r="R699" s="102"/>
    </row>
    <row r="700" spans="1:18" ht="35.1" customHeight="1" x14ac:dyDescent="0.2">
      <c r="A700" s="99"/>
      <c r="B700" s="99"/>
      <c r="C700" s="102"/>
      <c r="D700" s="102"/>
      <c r="E700" s="102"/>
      <c r="F700" s="102"/>
      <c r="G700" s="102"/>
      <c r="H700" s="102"/>
      <c r="I700" s="102"/>
      <c r="J700" s="102"/>
      <c r="K700" s="102"/>
      <c r="L700" s="102"/>
      <c r="M700" s="102"/>
      <c r="N700" s="102"/>
      <c r="O700" s="102"/>
      <c r="P700" s="102"/>
      <c r="Q700" s="102"/>
      <c r="R700" s="102"/>
    </row>
    <row r="701" spans="1:18" ht="35.1" customHeight="1" x14ac:dyDescent="0.2">
      <c r="A701" s="99"/>
      <c r="B701" s="99"/>
      <c r="C701" s="102"/>
      <c r="D701" s="102"/>
      <c r="E701" s="102"/>
      <c r="F701" s="102"/>
      <c r="G701" s="102"/>
      <c r="H701" s="102"/>
      <c r="I701" s="102"/>
      <c r="J701" s="102"/>
      <c r="K701" s="102"/>
      <c r="L701" s="102"/>
      <c r="M701" s="102"/>
      <c r="N701" s="102"/>
      <c r="O701" s="102"/>
      <c r="P701" s="102"/>
      <c r="Q701" s="102"/>
      <c r="R701" s="102"/>
    </row>
    <row r="702" spans="1:18" ht="35.1" customHeight="1" x14ac:dyDescent="0.2">
      <c r="A702" s="99"/>
      <c r="B702" s="99"/>
      <c r="C702" s="102"/>
      <c r="D702" s="102"/>
      <c r="E702" s="102"/>
      <c r="F702" s="102"/>
      <c r="G702" s="102"/>
      <c r="H702" s="102"/>
      <c r="I702" s="102"/>
      <c r="J702" s="102"/>
      <c r="K702" s="102"/>
      <c r="L702" s="102"/>
      <c r="M702" s="102"/>
      <c r="N702" s="102"/>
      <c r="O702" s="102"/>
      <c r="P702" s="102"/>
      <c r="Q702" s="102"/>
      <c r="R702" s="102"/>
    </row>
    <row r="703" spans="1:18" ht="35.1" customHeight="1" x14ac:dyDescent="0.2">
      <c r="A703" s="99"/>
      <c r="B703" s="99"/>
      <c r="C703" s="102"/>
      <c r="D703" s="102"/>
      <c r="E703" s="102"/>
      <c r="F703" s="102"/>
      <c r="G703" s="102"/>
      <c r="H703" s="102"/>
      <c r="I703" s="102"/>
      <c r="J703" s="102"/>
      <c r="K703" s="102"/>
      <c r="L703" s="102"/>
      <c r="M703" s="102"/>
      <c r="N703" s="102"/>
      <c r="O703" s="102"/>
      <c r="P703" s="102"/>
      <c r="Q703" s="102"/>
      <c r="R703" s="102"/>
    </row>
    <row r="704" spans="1:18" ht="35.1" customHeight="1" x14ac:dyDescent="0.2">
      <c r="A704" s="99"/>
      <c r="B704" s="99"/>
      <c r="C704" s="102"/>
      <c r="D704" s="102"/>
      <c r="E704" s="102"/>
      <c r="F704" s="102"/>
      <c r="G704" s="102"/>
      <c r="H704" s="102"/>
      <c r="I704" s="102"/>
      <c r="J704" s="102"/>
      <c r="K704" s="102"/>
      <c r="L704" s="102"/>
      <c r="M704" s="102"/>
      <c r="N704" s="102"/>
      <c r="O704" s="102"/>
      <c r="P704" s="102"/>
      <c r="Q704" s="102"/>
      <c r="R704" s="102"/>
    </row>
    <row r="705" spans="1:18" ht="35.1" customHeight="1" x14ac:dyDescent="0.2">
      <c r="A705" s="99"/>
      <c r="B705" s="99"/>
      <c r="C705" s="102"/>
      <c r="D705" s="102"/>
      <c r="E705" s="102"/>
      <c r="F705" s="102"/>
      <c r="G705" s="102"/>
      <c r="H705" s="102"/>
      <c r="I705" s="102"/>
      <c r="J705" s="102"/>
      <c r="K705" s="102"/>
      <c r="L705" s="102"/>
      <c r="M705" s="102"/>
      <c r="N705" s="102"/>
      <c r="O705" s="102"/>
      <c r="P705" s="102"/>
      <c r="Q705" s="102"/>
      <c r="R705" s="102"/>
    </row>
    <row r="706" spans="1:18" ht="35.1" customHeight="1" x14ac:dyDescent="0.2">
      <c r="A706" s="99"/>
      <c r="B706" s="99"/>
      <c r="C706" s="102"/>
      <c r="D706" s="102"/>
      <c r="E706" s="102"/>
      <c r="F706" s="102"/>
      <c r="G706" s="102"/>
      <c r="H706" s="102"/>
      <c r="I706" s="102"/>
      <c r="J706" s="102"/>
      <c r="K706" s="102"/>
      <c r="L706" s="102"/>
      <c r="M706" s="102"/>
      <c r="N706" s="102"/>
      <c r="O706" s="102"/>
      <c r="P706" s="102"/>
      <c r="Q706" s="102"/>
      <c r="R706" s="102"/>
    </row>
    <row r="707" spans="1:18" ht="35.1" customHeight="1" x14ac:dyDescent="0.2">
      <c r="A707" s="99"/>
      <c r="B707" s="99"/>
      <c r="C707" s="102"/>
      <c r="D707" s="102"/>
      <c r="E707" s="102"/>
      <c r="F707" s="102"/>
      <c r="G707" s="102"/>
      <c r="H707" s="102"/>
      <c r="I707" s="102"/>
      <c r="J707" s="102"/>
      <c r="K707" s="102"/>
      <c r="L707" s="102"/>
      <c r="M707" s="102"/>
      <c r="N707" s="102"/>
      <c r="O707" s="102"/>
      <c r="P707" s="102"/>
      <c r="Q707" s="102"/>
      <c r="R707" s="102"/>
    </row>
    <row r="708" spans="1:18" ht="35.1" customHeight="1" x14ac:dyDescent="0.2">
      <c r="A708" s="99"/>
      <c r="B708" s="99"/>
      <c r="C708" s="102"/>
      <c r="D708" s="102"/>
      <c r="E708" s="102"/>
      <c r="F708" s="102"/>
      <c r="G708" s="102"/>
      <c r="H708" s="102"/>
      <c r="I708" s="102"/>
      <c r="J708" s="102"/>
      <c r="K708" s="102"/>
      <c r="L708" s="102"/>
      <c r="M708" s="102"/>
      <c r="N708" s="102"/>
      <c r="O708" s="102"/>
      <c r="P708" s="102"/>
      <c r="Q708" s="102"/>
      <c r="R708" s="102"/>
    </row>
    <row r="709" spans="1:18" ht="35.1" customHeight="1" x14ac:dyDescent="0.2">
      <c r="A709" s="99"/>
      <c r="B709" s="99"/>
      <c r="C709" s="102"/>
      <c r="D709" s="102"/>
      <c r="E709" s="102"/>
      <c r="F709" s="102"/>
      <c r="G709" s="102"/>
      <c r="H709" s="102"/>
      <c r="I709" s="102"/>
      <c r="J709" s="102"/>
      <c r="K709" s="102"/>
      <c r="L709" s="102"/>
      <c r="M709" s="102"/>
      <c r="N709" s="102"/>
      <c r="O709" s="102"/>
      <c r="P709" s="102"/>
      <c r="Q709" s="102"/>
      <c r="R709" s="102"/>
    </row>
    <row r="710" spans="1:18" ht="35.1" customHeight="1" x14ac:dyDescent="0.2">
      <c r="A710" s="99"/>
      <c r="B710" s="99"/>
      <c r="C710" s="102"/>
      <c r="D710" s="102"/>
      <c r="E710" s="102"/>
      <c r="F710" s="102"/>
      <c r="G710" s="102"/>
      <c r="H710" s="102"/>
      <c r="I710" s="102"/>
      <c r="J710" s="102"/>
      <c r="K710" s="102"/>
      <c r="L710" s="102"/>
      <c r="M710" s="102"/>
      <c r="N710" s="102"/>
      <c r="O710" s="102"/>
      <c r="P710" s="102"/>
      <c r="Q710" s="102"/>
      <c r="R710" s="102"/>
    </row>
    <row r="711" spans="1:18" ht="35.1" customHeight="1" x14ac:dyDescent="0.2">
      <c r="A711" s="99"/>
      <c r="B711" s="99"/>
      <c r="C711" s="102"/>
      <c r="D711" s="102"/>
      <c r="E711" s="102"/>
      <c r="F711" s="102"/>
      <c r="G711" s="102"/>
      <c r="H711" s="102"/>
      <c r="I711" s="102"/>
      <c r="J711" s="102"/>
      <c r="K711" s="102"/>
      <c r="L711" s="102"/>
      <c r="M711" s="102"/>
      <c r="N711" s="102"/>
      <c r="O711" s="102"/>
      <c r="P711" s="102"/>
      <c r="Q711" s="102"/>
      <c r="R711" s="102"/>
    </row>
    <row r="712" spans="1:18" ht="35.1" customHeight="1" x14ac:dyDescent="0.2">
      <c r="A712" s="99"/>
      <c r="B712" s="99"/>
      <c r="C712" s="102"/>
      <c r="D712" s="102"/>
      <c r="E712" s="102"/>
      <c r="F712" s="102"/>
      <c r="G712" s="102"/>
      <c r="H712" s="102"/>
      <c r="I712" s="102"/>
      <c r="J712" s="102"/>
      <c r="K712" s="102"/>
      <c r="L712" s="102"/>
      <c r="M712" s="102"/>
      <c r="N712" s="102"/>
      <c r="O712" s="102"/>
      <c r="P712" s="102"/>
      <c r="Q712" s="102"/>
      <c r="R712" s="102"/>
    </row>
    <row r="713" spans="1:18" ht="35.1" customHeight="1" x14ac:dyDescent="0.2">
      <c r="A713" s="99"/>
      <c r="B713" s="99"/>
      <c r="C713" s="102"/>
      <c r="D713" s="102"/>
      <c r="E713" s="102"/>
      <c r="F713" s="102"/>
      <c r="G713" s="102"/>
      <c r="H713" s="102"/>
      <c r="I713" s="102"/>
      <c r="J713" s="102"/>
      <c r="K713" s="102"/>
      <c r="L713" s="102"/>
      <c r="M713" s="102"/>
      <c r="N713" s="102"/>
      <c r="O713" s="102"/>
      <c r="P713" s="102"/>
      <c r="Q713" s="102"/>
      <c r="R713" s="102"/>
    </row>
    <row r="714" spans="1:18" ht="35.1" customHeight="1" x14ac:dyDescent="0.2">
      <c r="A714" s="99"/>
      <c r="B714" s="99"/>
      <c r="C714" s="102"/>
      <c r="D714" s="102"/>
      <c r="E714" s="102"/>
      <c r="F714" s="102"/>
      <c r="G714" s="102"/>
      <c r="H714" s="102"/>
      <c r="I714" s="102"/>
      <c r="J714" s="102"/>
      <c r="K714" s="102"/>
      <c r="L714" s="102"/>
      <c r="M714" s="102"/>
      <c r="N714" s="102"/>
      <c r="O714" s="102"/>
      <c r="P714" s="102"/>
      <c r="Q714" s="102"/>
      <c r="R714" s="102"/>
    </row>
    <row r="715" spans="1:18" ht="35.1" customHeight="1" x14ac:dyDescent="0.2">
      <c r="A715" s="99"/>
      <c r="B715" s="99"/>
      <c r="C715" s="102"/>
      <c r="D715" s="102"/>
      <c r="E715" s="102"/>
      <c r="F715" s="102"/>
      <c r="G715" s="102"/>
      <c r="H715" s="102"/>
      <c r="I715" s="102"/>
      <c r="J715" s="102"/>
      <c r="K715" s="102"/>
      <c r="L715" s="102"/>
      <c r="M715" s="102"/>
      <c r="N715" s="102"/>
      <c r="O715" s="102"/>
      <c r="P715" s="102"/>
      <c r="Q715" s="102"/>
      <c r="R715" s="102"/>
    </row>
    <row r="716" spans="1:18" ht="35.1" customHeight="1" x14ac:dyDescent="0.2">
      <c r="A716" s="99"/>
      <c r="B716" s="99"/>
      <c r="C716" s="102"/>
      <c r="D716" s="102"/>
      <c r="E716" s="102"/>
      <c r="F716" s="102"/>
      <c r="G716" s="102"/>
      <c r="H716" s="102"/>
      <c r="I716" s="102"/>
      <c r="J716" s="102"/>
      <c r="K716" s="102"/>
      <c r="L716" s="102"/>
      <c r="M716" s="102"/>
      <c r="N716" s="102"/>
      <c r="O716" s="102"/>
      <c r="P716" s="102"/>
      <c r="Q716" s="102"/>
      <c r="R716" s="102"/>
    </row>
    <row r="717" spans="1:18" ht="35.1" customHeight="1" x14ac:dyDescent="0.2">
      <c r="A717" s="99"/>
      <c r="B717" s="99"/>
      <c r="C717" s="102"/>
      <c r="D717" s="102"/>
      <c r="E717" s="102"/>
      <c r="F717" s="102"/>
      <c r="G717" s="102"/>
      <c r="H717" s="102"/>
      <c r="I717" s="102"/>
      <c r="J717" s="102"/>
      <c r="K717" s="102"/>
      <c r="L717" s="102"/>
      <c r="M717" s="102"/>
      <c r="N717" s="102"/>
      <c r="O717" s="102"/>
      <c r="P717" s="102"/>
      <c r="Q717" s="102"/>
      <c r="R717" s="102"/>
    </row>
    <row r="718" spans="1:18" ht="35.1" customHeight="1" x14ac:dyDescent="0.2">
      <c r="A718" s="99"/>
      <c r="B718" s="99"/>
      <c r="C718" s="102"/>
      <c r="D718" s="102"/>
      <c r="E718" s="102"/>
      <c r="F718" s="102"/>
      <c r="G718" s="102"/>
      <c r="H718" s="102"/>
      <c r="I718" s="102"/>
      <c r="J718" s="102"/>
      <c r="K718" s="102"/>
      <c r="L718" s="102"/>
      <c r="M718" s="102"/>
      <c r="N718" s="102"/>
      <c r="O718" s="102"/>
      <c r="P718" s="102"/>
      <c r="Q718" s="102"/>
      <c r="R718" s="102"/>
    </row>
    <row r="719" spans="1:18" ht="35.1" customHeight="1" x14ac:dyDescent="0.2">
      <c r="A719" s="99"/>
      <c r="B719" s="99"/>
      <c r="C719" s="102"/>
      <c r="D719" s="102"/>
      <c r="E719" s="102"/>
      <c r="F719" s="102"/>
      <c r="G719" s="102"/>
      <c r="H719" s="102"/>
      <c r="I719" s="102"/>
      <c r="J719" s="102"/>
      <c r="K719" s="102"/>
      <c r="L719" s="102"/>
      <c r="M719" s="102"/>
      <c r="N719" s="102"/>
      <c r="O719" s="102"/>
      <c r="P719" s="102"/>
      <c r="Q719" s="102"/>
      <c r="R719" s="102"/>
    </row>
    <row r="720" spans="1:18" ht="35.1" customHeight="1" x14ac:dyDescent="0.2">
      <c r="A720" s="99"/>
      <c r="B720" s="99"/>
      <c r="C720" s="102"/>
      <c r="D720" s="102"/>
      <c r="E720" s="102"/>
      <c r="F720" s="102"/>
      <c r="G720" s="102"/>
      <c r="H720" s="102"/>
      <c r="I720" s="102"/>
      <c r="J720" s="102"/>
      <c r="K720" s="102"/>
      <c r="L720" s="102"/>
      <c r="M720" s="102"/>
      <c r="N720" s="102"/>
      <c r="O720" s="102"/>
      <c r="P720" s="102"/>
      <c r="Q720" s="102"/>
      <c r="R720" s="102"/>
    </row>
    <row r="721" spans="1:18" ht="35.1" customHeight="1" x14ac:dyDescent="0.2">
      <c r="A721" s="99"/>
      <c r="B721" s="99"/>
      <c r="C721" s="102"/>
      <c r="D721" s="102"/>
      <c r="E721" s="102"/>
      <c r="F721" s="102"/>
      <c r="G721" s="102"/>
      <c r="H721" s="102"/>
      <c r="I721" s="102"/>
      <c r="J721" s="102"/>
      <c r="K721" s="102"/>
      <c r="L721" s="102"/>
      <c r="M721" s="102"/>
      <c r="N721" s="102"/>
      <c r="O721" s="102"/>
      <c r="P721" s="102"/>
      <c r="Q721" s="102"/>
      <c r="R721" s="102"/>
    </row>
    <row r="722" spans="1:18" ht="35.1" customHeight="1" x14ac:dyDescent="0.2">
      <c r="A722" s="99"/>
      <c r="B722" s="99"/>
      <c r="C722" s="102"/>
      <c r="D722" s="102"/>
      <c r="E722" s="102"/>
      <c r="F722" s="102"/>
      <c r="G722" s="102"/>
      <c r="H722" s="102"/>
      <c r="I722" s="102"/>
      <c r="J722" s="102"/>
      <c r="K722" s="102"/>
      <c r="L722" s="102"/>
      <c r="M722" s="102"/>
      <c r="N722" s="102"/>
      <c r="O722" s="102"/>
      <c r="P722" s="102"/>
      <c r="Q722" s="102"/>
      <c r="R722" s="102"/>
    </row>
    <row r="723" spans="1:18" ht="35.1" customHeight="1" x14ac:dyDescent="0.2">
      <c r="A723" s="99"/>
      <c r="B723" s="99"/>
      <c r="C723" s="102"/>
      <c r="D723" s="102"/>
      <c r="E723" s="102"/>
      <c r="F723" s="102"/>
      <c r="G723" s="102"/>
      <c r="H723" s="102"/>
      <c r="I723" s="102"/>
      <c r="J723" s="102"/>
      <c r="K723" s="102"/>
      <c r="L723" s="102"/>
      <c r="M723" s="102"/>
      <c r="N723" s="102"/>
      <c r="O723" s="102"/>
      <c r="P723" s="102"/>
      <c r="Q723" s="102"/>
      <c r="R723" s="102"/>
    </row>
    <row r="724" spans="1:18" ht="35.1" customHeight="1" x14ac:dyDescent="0.2">
      <c r="A724" s="99"/>
      <c r="B724" s="99"/>
      <c r="C724" s="102"/>
      <c r="D724" s="102"/>
      <c r="E724" s="102"/>
      <c r="F724" s="102"/>
      <c r="G724" s="102"/>
      <c r="H724" s="102"/>
      <c r="I724" s="102"/>
      <c r="J724" s="102"/>
      <c r="K724" s="102"/>
      <c r="L724" s="102"/>
      <c r="M724" s="102"/>
      <c r="N724" s="102"/>
      <c r="O724" s="102"/>
      <c r="P724" s="102"/>
      <c r="Q724" s="102"/>
      <c r="R724" s="102"/>
    </row>
    <row r="725" spans="1:18" ht="35.1" customHeight="1" x14ac:dyDescent="0.2">
      <c r="A725" s="99"/>
      <c r="B725" s="99"/>
      <c r="C725" s="102"/>
      <c r="D725" s="102"/>
      <c r="E725" s="102"/>
      <c r="F725" s="102"/>
      <c r="G725" s="102"/>
      <c r="H725" s="102"/>
      <c r="I725" s="102"/>
      <c r="J725" s="102"/>
      <c r="K725" s="102"/>
      <c r="L725" s="102"/>
      <c r="M725" s="102"/>
      <c r="N725" s="102"/>
      <c r="O725" s="102"/>
      <c r="P725" s="102"/>
      <c r="Q725" s="102"/>
      <c r="R725" s="102"/>
    </row>
    <row r="726" spans="1:18" ht="35.1" customHeight="1" x14ac:dyDescent="0.2">
      <c r="A726" s="99"/>
      <c r="B726" s="99"/>
      <c r="C726" s="102"/>
      <c r="D726" s="102"/>
      <c r="E726" s="102"/>
      <c r="F726" s="102"/>
      <c r="G726" s="102"/>
      <c r="H726" s="102"/>
      <c r="I726" s="102"/>
      <c r="J726" s="102"/>
      <c r="K726" s="102"/>
      <c r="L726" s="102"/>
      <c r="M726" s="102"/>
      <c r="N726" s="102"/>
      <c r="O726" s="102"/>
      <c r="P726" s="102"/>
      <c r="Q726" s="102"/>
      <c r="R726" s="102"/>
    </row>
    <row r="727" spans="1:18" ht="35.1" customHeight="1" x14ac:dyDescent="0.2">
      <c r="A727" s="99"/>
      <c r="B727" s="99"/>
      <c r="C727" s="102"/>
      <c r="D727" s="102"/>
      <c r="E727" s="102"/>
      <c r="F727" s="102"/>
      <c r="G727" s="102"/>
      <c r="H727" s="102"/>
      <c r="I727" s="102"/>
      <c r="J727" s="102"/>
      <c r="K727" s="102"/>
      <c r="L727" s="102"/>
      <c r="M727" s="102"/>
      <c r="N727" s="102"/>
      <c r="O727" s="102"/>
      <c r="P727" s="102"/>
      <c r="Q727" s="102"/>
      <c r="R727" s="102"/>
    </row>
    <row r="728" spans="1:18" ht="35.1" customHeight="1" x14ac:dyDescent="0.2">
      <c r="A728" s="99"/>
      <c r="B728" s="99"/>
      <c r="C728" s="102"/>
      <c r="D728" s="102"/>
      <c r="E728" s="102"/>
      <c r="F728" s="102"/>
      <c r="G728" s="102"/>
      <c r="H728" s="102"/>
      <c r="I728" s="102"/>
      <c r="J728" s="102"/>
      <c r="K728" s="102"/>
      <c r="L728" s="102"/>
      <c r="M728" s="102"/>
      <c r="N728" s="102"/>
      <c r="O728" s="102"/>
      <c r="P728" s="102"/>
      <c r="Q728" s="102"/>
      <c r="R728" s="102"/>
    </row>
    <row r="729" spans="1:18" ht="35.1" customHeight="1" x14ac:dyDescent="0.2">
      <c r="A729" s="99"/>
      <c r="B729" s="99"/>
      <c r="C729" s="102"/>
      <c r="D729" s="102"/>
      <c r="E729" s="102"/>
      <c r="F729" s="102"/>
      <c r="G729" s="102"/>
      <c r="H729" s="102"/>
      <c r="I729" s="102"/>
      <c r="J729" s="102"/>
      <c r="K729" s="102"/>
      <c r="L729" s="102"/>
      <c r="M729" s="102"/>
      <c r="N729" s="102"/>
      <c r="O729" s="102"/>
      <c r="P729" s="102"/>
      <c r="Q729" s="102"/>
      <c r="R729" s="102"/>
    </row>
    <row r="730" spans="1:18" ht="35.1" customHeight="1" x14ac:dyDescent="0.2">
      <c r="A730" s="99"/>
      <c r="B730" s="99"/>
      <c r="C730" s="102"/>
      <c r="D730" s="102"/>
      <c r="E730" s="102"/>
      <c r="F730" s="102"/>
      <c r="G730" s="102"/>
      <c r="H730" s="102"/>
      <c r="I730" s="102"/>
      <c r="J730" s="102"/>
      <c r="K730" s="102"/>
      <c r="L730" s="102"/>
      <c r="M730" s="102"/>
      <c r="N730" s="102"/>
      <c r="O730" s="102"/>
      <c r="P730" s="102"/>
      <c r="Q730" s="102"/>
      <c r="R730" s="102"/>
    </row>
    <row r="731" spans="1:18" ht="35.1" customHeight="1" x14ac:dyDescent="0.2">
      <c r="A731" s="99"/>
      <c r="B731" s="99"/>
      <c r="C731" s="102"/>
      <c r="D731" s="102"/>
      <c r="E731" s="102"/>
      <c r="F731" s="102"/>
      <c r="G731" s="102"/>
      <c r="H731" s="102"/>
      <c r="I731" s="102"/>
      <c r="J731" s="102"/>
      <c r="K731" s="102"/>
      <c r="L731" s="102"/>
      <c r="M731" s="102"/>
      <c r="N731" s="102"/>
      <c r="O731" s="102"/>
      <c r="P731" s="102"/>
      <c r="Q731" s="102"/>
      <c r="R731" s="102"/>
    </row>
    <row r="732" spans="1:18" ht="35.1" customHeight="1" x14ac:dyDescent="0.2">
      <c r="A732" s="99"/>
      <c r="B732" s="99"/>
      <c r="C732" s="102"/>
      <c r="D732" s="102"/>
      <c r="E732" s="102"/>
      <c r="F732" s="102"/>
      <c r="G732" s="102"/>
      <c r="H732" s="102"/>
      <c r="I732" s="102"/>
      <c r="J732" s="102"/>
      <c r="K732" s="102"/>
      <c r="L732" s="102"/>
      <c r="M732" s="102"/>
      <c r="N732" s="102"/>
      <c r="O732" s="102"/>
      <c r="P732" s="102"/>
      <c r="Q732" s="102"/>
      <c r="R732" s="102"/>
    </row>
    <row r="733" spans="1:18" ht="35.1" customHeight="1" x14ac:dyDescent="0.2">
      <c r="A733" s="99"/>
      <c r="B733" s="99"/>
      <c r="C733" s="102"/>
      <c r="D733" s="102"/>
      <c r="E733" s="102"/>
      <c r="F733" s="102"/>
      <c r="G733" s="102"/>
      <c r="H733" s="102"/>
      <c r="I733" s="102"/>
      <c r="J733" s="102"/>
      <c r="K733" s="102"/>
      <c r="L733" s="102"/>
      <c r="M733" s="102"/>
      <c r="N733" s="102"/>
      <c r="O733" s="102"/>
      <c r="P733" s="102"/>
      <c r="Q733" s="102"/>
      <c r="R733" s="102"/>
    </row>
    <row r="734" spans="1:18" ht="35.1" customHeight="1" x14ac:dyDescent="0.2">
      <c r="A734" s="99"/>
      <c r="B734" s="99"/>
      <c r="C734" s="102"/>
      <c r="D734" s="102"/>
      <c r="E734" s="102"/>
      <c r="F734" s="102"/>
      <c r="G734" s="102"/>
      <c r="H734" s="102"/>
      <c r="I734" s="102"/>
      <c r="J734" s="102"/>
      <c r="K734" s="102"/>
      <c r="L734" s="102"/>
      <c r="M734" s="102"/>
      <c r="N734" s="102"/>
      <c r="O734" s="102"/>
      <c r="P734" s="102"/>
      <c r="Q734" s="102"/>
      <c r="R734" s="102"/>
    </row>
    <row r="735" spans="1:18" ht="35.1" customHeight="1" x14ac:dyDescent="0.2">
      <c r="A735" s="99"/>
      <c r="B735" s="99"/>
      <c r="C735" s="102"/>
      <c r="D735" s="102"/>
      <c r="E735" s="102"/>
      <c r="F735" s="102"/>
      <c r="G735" s="102"/>
      <c r="H735" s="102"/>
      <c r="I735" s="102"/>
      <c r="J735" s="102"/>
      <c r="K735" s="102"/>
      <c r="L735" s="102"/>
      <c r="M735" s="102"/>
      <c r="N735" s="102"/>
      <c r="O735" s="102"/>
      <c r="P735" s="102"/>
      <c r="Q735" s="102"/>
      <c r="R735" s="102"/>
    </row>
    <row r="736" spans="1:18" ht="35.1" customHeight="1" x14ac:dyDescent="0.2">
      <c r="A736" s="99"/>
      <c r="B736" s="99"/>
      <c r="C736" s="102"/>
      <c r="D736" s="102"/>
      <c r="E736" s="102"/>
      <c r="F736" s="102"/>
      <c r="G736" s="102"/>
      <c r="H736" s="102"/>
      <c r="I736" s="102"/>
      <c r="J736" s="102"/>
      <c r="K736" s="102"/>
      <c r="L736" s="102"/>
      <c r="M736" s="102"/>
      <c r="N736" s="102"/>
      <c r="O736" s="102"/>
      <c r="P736" s="102"/>
      <c r="Q736" s="102"/>
      <c r="R736" s="102"/>
    </row>
    <row r="737" spans="1:18" ht="35.1" customHeight="1" x14ac:dyDescent="0.2">
      <c r="A737" s="99"/>
      <c r="B737" s="99"/>
      <c r="C737" s="102"/>
      <c r="D737" s="102"/>
      <c r="E737" s="102"/>
      <c r="F737" s="102"/>
      <c r="G737" s="102"/>
      <c r="H737" s="102"/>
      <c r="I737" s="102"/>
      <c r="J737" s="102"/>
      <c r="K737" s="102"/>
      <c r="L737" s="102"/>
      <c r="M737" s="102"/>
      <c r="N737" s="102"/>
      <c r="O737" s="102"/>
      <c r="P737" s="102"/>
      <c r="Q737" s="102"/>
      <c r="R737" s="102"/>
    </row>
    <row r="738" spans="1:18" ht="35.1" customHeight="1" x14ac:dyDescent="0.2">
      <c r="A738" s="99"/>
      <c r="B738" s="99"/>
      <c r="C738" s="102"/>
      <c r="D738" s="102"/>
      <c r="E738" s="102"/>
      <c r="F738" s="102"/>
      <c r="G738" s="102"/>
      <c r="H738" s="102"/>
      <c r="I738" s="102"/>
      <c r="J738" s="102"/>
      <c r="K738" s="102"/>
      <c r="L738" s="102"/>
      <c r="M738" s="102"/>
      <c r="N738" s="102"/>
      <c r="O738" s="102"/>
      <c r="P738" s="102"/>
      <c r="Q738" s="102"/>
      <c r="R738" s="102"/>
    </row>
    <row r="739" spans="1:18" ht="35.1" customHeight="1" x14ac:dyDescent="0.2">
      <c r="A739" s="99"/>
      <c r="B739" s="99"/>
      <c r="C739" s="102"/>
      <c r="D739" s="102"/>
      <c r="E739" s="102"/>
      <c r="F739" s="102"/>
      <c r="G739" s="102"/>
      <c r="H739" s="102"/>
      <c r="I739" s="102"/>
      <c r="J739" s="102"/>
      <c r="K739" s="102"/>
      <c r="L739" s="102"/>
      <c r="M739" s="102"/>
      <c r="N739" s="102"/>
      <c r="O739" s="102"/>
      <c r="P739" s="102"/>
      <c r="Q739" s="102"/>
      <c r="R739" s="102"/>
    </row>
    <row r="740" spans="1:18" ht="35.1" customHeight="1" x14ac:dyDescent="0.2">
      <c r="A740" s="99"/>
      <c r="B740" s="99"/>
      <c r="C740" s="102"/>
      <c r="D740" s="102"/>
      <c r="E740" s="102"/>
      <c r="F740" s="102"/>
      <c r="G740" s="102"/>
      <c r="H740" s="102"/>
      <c r="I740" s="102"/>
      <c r="J740" s="102"/>
      <c r="K740" s="102"/>
      <c r="L740" s="102"/>
      <c r="M740" s="102"/>
      <c r="N740" s="102"/>
      <c r="O740" s="102"/>
      <c r="P740" s="102"/>
      <c r="Q740" s="102"/>
      <c r="R740" s="102"/>
    </row>
    <row r="741" spans="1:18" ht="35.1" customHeight="1" x14ac:dyDescent="0.2">
      <c r="A741" s="99"/>
      <c r="B741" s="99"/>
      <c r="C741" s="102"/>
      <c r="D741" s="102"/>
      <c r="E741" s="102"/>
      <c r="F741" s="102"/>
      <c r="G741" s="102"/>
      <c r="H741" s="102"/>
      <c r="I741" s="102"/>
      <c r="J741" s="102"/>
      <c r="K741" s="102"/>
      <c r="L741" s="102"/>
      <c r="M741" s="102"/>
      <c r="N741" s="102"/>
      <c r="O741" s="102"/>
      <c r="P741" s="102"/>
      <c r="Q741" s="102"/>
      <c r="R741" s="102"/>
    </row>
    <row r="742" spans="1:18" ht="35.1" customHeight="1" x14ac:dyDescent="0.2">
      <c r="A742" s="99"/>
      <c r="B742" s="99"/>
      <c r="C742" s="102"/>
      <c r="D742" s="102"/>
      <c r="E742" s="102"/>
      <c r="F742" s="102"/>
      <c r="G742" s="102"/>
      <c r="H742" s="102"/>
      <c r="I742" s="102"/>
      <c r="J742" s="102"/>
      <c r="K742" s="102"/>
      <c r="L742" s="102"/>
      <c r="M742" s="102"/>
      <c r="N742" s="102"/>
      <c r="O742" s="102"/>
      <c r="P742" s="102"/>
      <c r="Q742" s="102"/>
      <c r="R742" s="102"/>
    </row>
    <row r="743" spans="1:18" ht="35.1" customHeight="1" x14ac:dyDescent="0.2">
      <c r="A743" s="99"/>
      <c r="B743" s="99"/>
      <c r="C743" s="102"/>
      <c r="D743" s="102"/>
      <c r="E743" s="102"/>
      <c r="F743" s="102"/>
      <c r="G743" s="102"/>
      <c r="H743" s="102"/>
      <c r="I743" s="102"/>
      <c r="J743" s="102"/>
      <c r="K743" s="102"/>
      <c r="L743" s="102"/>
      <c r="M743" s="102"/>
      <c r="N743" s="102"/>
      <c r="O743" s="102"/>
      <c r="P743" s="102"/>
      <c r="Q743" s="102"/>
      <c r="R743" s="102"/>
    </row>
    <row r="744" spans="1:18" ht="35.1" customHeight="1" x14ac:dyDescent="0.2">
      <c r="A744" s="99"/>
      <c r="B744" s="99"/>
      <c r="C744" s="102"/>
      <c r="D744" s="102"/>
      <c r="E744" s="102"/>
      <c r="F744" s="102"/>
      <c r="G744" s="102"/>
      <c r="H744" s="102"/>
      <c r="I744" s="102"/>
      <c r="J744" s="102"/>
      <c r="K744" s="102"/>
      <c r="L744" s="102"/>
      <c r="M744" s="102"/>
      <c r="N744" s="102"/>
      <c r="O744" s="102"/>
      <c r="P744" s="102"/>
      <c r="Q744" s="102"/>
      <c r="R744" s="102"/>
    </row>
    <row r="745" spans="1:18" ht="35.1" customHeight="1" x14ac:dyDescent="0.2">
      <c r="A745" s="99"/>
      <c r="B745" s="99"/>
      <c r="C745" s="102"/>
      <c r="D745" s="102"/>
      <c r="E745" s="102"/>
      <c r="F745" s="102"/>
      <c r="G745" s="102"/>
      <c r="H745" s="102"/>
      <c r="I745" s="102"/>
      <c r="J745" s="102"/>
      <c r="K745" s="102"/>
      <c r="L745" s="102"/>
      <c r="M745" s="102"/>
      <c r="N745" s="102"/>
      <c r="O745" s="102"/>
      <c r="P745" s="102"/>
      <c r="Q745" s="102"/>
      <c r="R745" s="102"/>
    </row>
    <row r="746" spans="1:18" ht="35.1" customHeight="1" x14ac:dyDescent="0.2">
      <c r="A746" s="99"/>
      <c r="B746" s="99"/>
      <c r="C746" s="102"/>
      <c r="D746" s="102"/>
      <c r="E746" s="102"/>
      <c r="F746" s="102"/>
      <c r="G746" s="102"/>
      <c r="H746" s="102"/>
      <c r="I746" s="102"/>
      <c r="J746" s="102"/>
      <c r="K746" s="102"/>
      <c r="L746" s="102"/>
      <c r="M746" s="102"/>
      <c r="N746" s="102"/>
      <c r="O746" s="102"/>
      <c r="P746" s="102"/>
      <c r="Q746" s="102"/>
      <c r="R746" s="102"/>
    </row>
    <row r="747" spans="1:18" ht="35.1" customHeight="1" x14ac:dyDescent="0.2">
      <c r="A747" s="99"/>
      <c r="B747" s="99"/>
      <c r="C747" s="102"/>
      <c r="D747" s="102"/>
      <c r="E747" s="102"/>
      <c r="F747" s="102"/>
      <c r="G747" s="102"/>
      <c r="H747" s="102"/>
      <c r="I747" s="102"/>
      <c r="J747" s="102"/>
      <c r="K747" s="102"/>
      <c r="L747" s="102"/>
      <c r="M747" s="102"/>
      <c r="N747" s="102"/>
      <c r="O747" s="102"/>
      <c r="P747" s="102"/>
      <c r="Q747" s="102"/>
      <c r="R747" s="102"/>
    </row>
    <row r="748" spans="1:18" ht="35.1" customHeight="1" x14ac:dyDescent="0.2">
      <c r="A748" s="99"/>
      <c r="B748" s="99"/>
      <c r="C748" s="102"/>
      <c r="D748" s="102"/>
      <c r="E748" s="102"/>
      <c r="F748" s="102"/>
      <c r="G748" s="102"/>
      <c r="H748" s="102"/>
      <c r="I748" s="102"/>
      <c r="J748" s="102"/>
      <c r="K748" s="102"/>
      <c r="L748" s="102"/>
      <c r="M748" s="102"/>
      <c r="N748" s="102"/>
      <c r="O748" s="102"/>
      <c r="P748" s="102"/>
      <c r="Q748" s="102"/>
      <c r="R748" s="102"/>
    </row>
    <row r="749" spans="1:18" ht="35.1" customHeight="1" x14ac:dyDescent="0.2">
      <c r="A749" s="99"/>
      <c r="B749" s="99"/>
      <c r="C749" s="102"/>
      <c r="D749" s="102"/>
      <c r="E749" s="102"/>
      <c r="F749" s="102"/>
      <c r="G749" s="102"/>
      <c r="H749" s="102"/>
      <c r="I749" s="102"/>
      <c r="J749" s="102"/>
      <c r="K749" s="102"/>
      <c r="L749" s="102"/>
      <c r="M749" s="102"/>
      <c r="N749" s="102"/>
      <c r="O749" s="102"/>
      <c r="P749" s="102"/>
      <c r="Q749" s="102"/>
      <c r="R749" s="102"/>
    </row>
    <row r="750" spans="1:18" ht="35.1" customHeight="1" x14ac:dyDescent="0.2">
      <c r="A750" s="99"/>
      <c r="B750" s="99"/>
      <c r="C750" s="102"/>
      <c r="D750" s="102"/>
      <c r="E750" s="102"/>
      <c r="F750" s="102"/>
      <c r="G750" s="102"/>
      <c r="H750" s="102"/>
      <c r="I750" s="102"/>
      <c r="J750" s="102"/>
      <c r="K750" s="102"/>
      <c r="L750" s="102"/>
      <c r="M750" s="102"/>
      <c r="N750" s="102"/>
      <c r="O750" s="102"/>
      <c r="P750" s="102"/>
      <c r="Q750" s="102"/>
      <c r="R750" s="102"/>
    </row>
    <row r="751" spans="1:18" ht="35.1" customHeight="1" x14ac:dyDescent="0.2">
      <c r="A751" s="99"/>
      <c r="B751" s="99"/>
      <c r="C751" s="102"/>
      <c r="D751" s="102"/>
      <c r="E751" s="102"/>
      <c r="F751" s="102"/>
      <c r="G751" s="102"/>
      <c r="H751" s="102"/>
      <c r="I751" s="102"/>
      <c r="J751" s="102"/>
      <c r="K751" s="102"/>
      <c r="L751" s="102"/>
      <c r="M751" s="102"/>
      <c r="N751" s="102"/>
      <c r="O751" s="102"/>
      <c r="P751" s="102"/>
      <c r="Q751" s="102"/>
      <c r="R751" s="102"/>
    </row>
    <row r="752" spans="1:18" ht="35.1" customHeight="1" x14ac:dyDescent="0.2">
      <c r="A752" s="99"/>
      <c r="B752" s="99"/>
      <c r="C752" s="102"/>
      <c r="D752" s="102"/>
      <c r="E752" s="102"/>
      <c r="F752" s="102"/>
      <c r="G752" s="102"/>
      <c r="H752" s="102"/>
      <c r="I752" s="102"/>
      <c r="J752" s="102"/>
      <c r="K752" s="102"/>
      <c r="L752" s="102"/>
      <c r="M752" s="102"/>
      <c r="N752" s="102"/>
      <c r="O752" s="102"/>
      <c r="P752" s="102"/>
      <c r="Q752" s="102"/>
      <c r="R752" s="102"/>
    </row>
    <row r="753" spans="1:18" ht="35.1" customHeight="1" x14ac:dyDescent="0.2">
      <c r="A753" s="99"/>
      <c r="B753" s="99"/>
      <c r="C753" s="102"/>
      <c r="D753" s="102"/>
      <c r="E753" s="102"/>
      <c r="F753" s="102"/>
      <c r="G753" s="102"/>
      <c r="H753" s="102"/>
      <c r="I753" s="102"/>
      <c r="J753" s="102"/>
      <c r="K753" s="102"/>
      <c r="L753" s="102"/>
      <c r="M753" s="102"/>
      <c r="N753" s="102"/>
      <c r="O753" s="102"/>
      <c r="P753" s="102"/>
      <c r="Q753" s="102"/>
      <c r="R753" s="102"/>
    </row>
    <row r="754" spans="1:18" ht="35.1" customHeight="1" x14ac:dyDescent="0.2">
      <c r="A754" s="99"/>
      <c r="B754" s="99"/>
      <c r="C754" s="102"/>
      <c r="D754" s="102"/>
      <c r="E754" s="102"/>
      <c r="F754" s="102"/>
      <c r="G754" s="102"/>
      <c r="H754" s="102"/>
      <c r="I754" s="102"/>
      <c r="J754" s="102"/>
      <c r="K754" s="102"/>
      <c r="L754" s="102"/>
      <c r="M754" s="102"/>
      <c r="N754" s="102"/>
      <c r="O754" s="102"/>
      <c r="P754" s="102"/>
      <c r="Q754" s="102"/>
      <c r="R754" s="102"/>
    </row>
    <row r="755" spans="1:18" ht="35.1" customHeight="1" x14ac:dyDescent="0.2">
      <c r="A755" s="99"/>
      <c r="B755" s="99"/>
      <c r="C755" s="102"/>
      <c r="D755" s="102"/>
      <c r="E755" s="102"/>
      <c r="F755" s="102"/>
      <c r="G755" s="102"/>
      <c r="H755" s="102"/>
      <c r="I755" s="102"/>
      <c r="J755" s="102"/>
      <c r="K755" s="102"/>
      <c r="L755" s="102"/>
      <c r="M755" s="102"/>
      <c r="N755" s="102"/>
      <c r="O755" s="102"/>
      <c r="P755" s="102"/>
      <c r="Q755" s="102"/>
      <c r="R755" s="102"/>
    </row>
    <row r="756" spans="1:18" ht="35.1" customHeight="1" x14ac:dyDescent="0.2">
      <c r="A756" s="99"/>
      <c r="B756" s="99"/>
      <c r="C756" s="102"/>
      <c r="D756" s="102"/>
      <c r="E756" s="102"/>
      <c r="F756" s="102"/>
      <c r="G756" s="102"/>
      <c r="H756" s="102"/>
      <c r="I756" s="102"/>
      <c r="J756" s="102"/>
      <c r="K756" s="102"/>
      <c r="L756" s="102"/>
      <c r="M756" s="102"/>
      <c r="N756" s="102"/>
      <c r="O756" s="102"/>
      <c r="P756" s="102"/>
      <c r="Q756" s="102"/>
      <c r="R756" s="102"/>
    </row>
    <row r="757" spans="1:18" ht="35.1" customHeight="1" x14ac:dyDescent="0.2">
      <c r="A757" s="99"/>
      <c r="B757" s="99"/>
      <c r="C757" s="102"/>
      <c r="D757" s="102"/>
      <c r="E757" s="102"/>
      <c r="F757" s="102"/>
      <c r="G757" s="102"/>
      <c r="H757" s="102"/>
      <c r="I757" s="102"/>
      <c r="J757" s="102"/>
      <c r="K757" s="102"/>
      <c r="L757" s="102"/>
      <c r="M757" s="102"/>
      <c r="N757" s="102"/>
      <c r="O757" s="102"/>
      <c r="P757" s="102"/>
      <c r="Q757" s="102"/>
      <c r="R757" s="102"/>
    </row>
    <row r="758" spans="1:18" ht="35.1" customHeight="1" x14ac:dyDescent="0.2">
      <c r="A758" s="99"/>
      <c r="B758" s="99"/>
      <c r="C758" s="102"/>
      <c r="D758" s="102"/>
      <c r="E758" s="102"/>
      <c r="F758" s="102"/>
      <c r="G758" s="102"/>
      <c r="H758" s="102"/>
      <c r="I758" s="102"/>
      <c r="J758" s="102"/>
      <c r="K758" s="102"/>
      <c r="L758" s="102"/>
      <c r="M758" s="102"/>
      <c r="N758" s="102"/>
      <c r="O758" s="102"/>
      <c r="P758" s="102"/>
      <c r="Q758" s="102"/>
      <c r="R758" s="102"/>
    </row>
    <row r="759" spans="1:18" ht="35.1" customHeight="1" x14ac:dyDescent="0.2">
      <c r="A759" s="99"/>
      <c r="B759" s="99"/>
      <c r="C759" s="102"/>
      <c r="D759" s="102"/>
      <c r="E759" s="102"/>
      <c r="F759" s="102"/>
      <c r="G759" s="102"/>
      <c r="H759" s="102"/>
      <c r="I759" s="102"/>
      <c r="J759" s="102"/>
      <c r="K759" s="102"/>
      <c r="L759" s="102"/>
      <c r="M759" s="102"/>
      <c r="N759" s="102"/>
      <c r="O759" s="102"/>
      <c r="P759" s="102"/>
      <c r="Q759" s="102"/>
      <c r="R759" s="102"/>
    </row>
    <row r="760" spans="1:18" ht="35.1" customHeight="1" x14ac:dyDescent="0.2">
      <c r="A760" s="99"/>
      <c r="B760" s="99"/>
      <c r="C760" s="102"/>
      <c r="D760" s="102"/>
      <c r="E760" s="102"/>
      <c r="F760" s="102"/>
      <c r="G760" s="102"/>
      <c r="H760" s="102"/>
      <c r="I760" s="102"/>
      <c r="J760" s="102"/>
      <c r="K760" s="102"/>
      <c r="L760" s="102"/>
      <c r="M760" s="102"/>
      <c r="N760" s="102"/>
      <c r="O760" s="102"/>
      <c r="P760" s="102"/>
      <c r="Q760" s="102"/>
      <c r="R760" s="102"/>
    </row>
    <row r="761" spans="1:18" ht="35.1" customHeight="1" x14ac:dyDescent="0.2">
      <c r="A761" s="99"/>
      <c r="B761" s="99"/>
      <c r="C761" s="102"/>
      <c r="D761" s="102"/>
      <c r="E761" s="102"/>
      <c r="F761" s="102"/>
      <c r="G761" s="102"/>
      <c r="H761" s="102"/>
      <c r="I761" s="102"/>
      <c r="J761" s="102"/>
      <c r="K761" s="102"/>
      <c r="L761" s="102"/>
      <c r="M761" s="102"/>
      <c r="N761" s="102"/>
      <c r="O761" s="102"/>
      <c r="P761" s="102"/>
      <c r="Q761" s="102"/>
      <c r="R761" s="102"/>
    </row>
    <row r="762" spans="1:18" ht="35.1" customHeight="1" x14ac:dyDescent="0.2">
      <c r="A762" s="99"/>
      <c r="B762" s="99"/>
      <c r="C762" s="102"/>
      <c r="D762" s="102"/>
      <c r="E762" s="102"/>
      <c r="F762" s="102"/>
      <c r="G762" s="102"/>
      <c r="H762" s="102"/>
      <c r="I762" s="102"/>
      <c r="J762" s="102"/>
      <c r="K762" s="102"/>
      <c r="L762" s="102"/>
      <c r="M762" s="102"/>
      <c r="N762" s="102"/>
      <c r="O762" s="102"/>
      <c r="P762" s="102"/>
      <c r="Q762" s="102"/>
      <c r="R762" s="102"/>
    </row>
    <row r="763" spans="1:18" ht="35.1" customHeight="1" x14ac:dyDescent="0.2">
      <c r="A763" s="99"/>
      <c r="B763" s="99"/>
      <c r="C763" s="102"/>
      <c r="D763" s="102"/>
      <c r="E763" s="102"/>
      <c r="F763" s="102"/>
      <c r="G763" s="102"/>
      <c r="H763" s="102"/>
      <c r="I763" s="102"/>
      <c r="J763" s="102"/>
      <c r="K763" s="102"/>
      <c r="L763" s="102"/>
      <c r="M763" s="102"/>
      <c r="N763" s="102"/>
      <c r="O763" s="102"/>
      <c r="P763" s="102"/>
      <c r="Q763" s="102"/>
      <c r="R763" s="102"/>
    </row>
    <row r="764" spans="1:18" ht="35.1" customHeight="1" x14ac:dyDescent="0.2">
      <c r="A764" s="99"/>
      <c r="B764" s="99"/>
      <c r="C764" s="102"/>
      <c r="D764" s="102"/>
      <c r="E764" s="102"/>
      <c r="F764" s="102"/>
      <c r="G764" s="102"/>
      <c r="H764" s="102"/>
      <c r="I764" s="102"/>
      <c r="J764" s="102"/>
      <c r="K764" s="102"/>
      <c r="L764" s="102"/>
      <c r="M764" s="102"/>
      <c r="N764" s="102"/>
      <c r="O764" s="102"/>
      <c r="P764" s="102"/>
      <c r="Q764" s="102"/>
      <c r="R764" s="102"/>
    </row>
    <row r="765" spans="1:18" ht="35.1" customHeight="1" x14ac:dyDescent="0.2">
      <c r="A765" s="99"/>
      <c r="B765" s="99"/>
      <c r="C765" s="102"/>
      <c r="D765" s="102"/>
      <c r="E765" s="102"/>
      <c r="F765" s="102"/>
      <c r="G765" s="102"/>
      <c r="H765" s="102"/>
      <c r="I765" s="102"/>
      <c r="J765" s="102"/>
      <c r="K765" s="102"/>
      <c r="L765" s="102"/>
      <c r="M765" s="102"/>
      <c r="N765" s="102"/>
      <c r="O765" s="102"/>
      <c r="P765" s="102"/>
      <c r="Q765" s="102"/>
      <c r="R765" s="102"/>
    </row>
    <row r="766" spans="1:18" ht="35.1" customHeight="1" x14ac:dyDescent="0.2">
      <c r="A766" s="99"/>
      <c r="B766" s="99"/>
      <c r="C766" s="102"/>
      <c r="D766" s="102"/>
      <c r="E766" s="102"/>
      <c r="F766" s="102"/>
      <c r="G766" s="102"/>
      <c r="H766" s="102"/>
      <c r="I766" s="102"/>
      <c r="J766" s="102"/>
      <c r="K766" s="102"/>
      <c r="L766" s="102"/>
      <c r="M766" s="102"/>
      <c r="N766" s="102"/>
      <c r="O766" s="102"/>
      <c r="P766" s="102"/>
      <c r="Q766" s="102"/>
      <c r="R766" s="102"/>
    </row>
    <row r="767" spans="1:18" ht="35.1" customHeight="1" x14ac:dyDescent="0.2">
      <c r="A767" s="99"/>
      <c r="B767" s="99"/>
      <c r="C767" s="102"/>
      <c r="D767" s="102"/>
      <c r="E767" s="102"/>
      <c r="F767" s="102"/>
      <c r="G767" s="102"/>
      <c r="H767" s="102"/>
      <c r="I767" s="102"/>
      <c r="J767" s="102"/>
      <c r="K767" s="102"/>
      <c r="L767" s="102"/>
      <c r="M767" s="102"/>
      <c r="N767" s="102"/>
      <c r="O767" s="102"/>
      <c r="P767" s="102"/>
      <c r="Q767" s="102"/>
      <c r="R767" s="102"/>
    </row>
    <row r="768" spans="1:18" ht="35.1" customHeight="1" x14ac:dyDescent="0.2">
      <c r="A768" s="99"/>
      <c r="B768" s="99"/>
      <c r="C768" s="102"/>
      <c r="D768" s="102"/>
      <c r="E768" s="102"/>
      <c r="F768" s="102"/>
      <c r="G768" s="102"/>
      <c r="H768" s="102"/>
      <c r="I768" s="102"/>
      <c r="J768" s="102"/>
      <c r="K768" s="102"/>
      <c r="L768" s="102"/>
      <c r="M768" s="102"/>
      <c r="N768" s="102"/>
      <c r="O768" s="102"/>
      <c r="P768" s="102"/>
      <c r="Q768" s="102"/>
      <c r="R768" s="102"/>
    </row>
    <row r="769" spans="1:18" ht="35.1" customHeight="1" x14ac:dyDescent="0.2">
      <c r="A769" s="99"/>
      <c r="B769" s="99"/>
      <c r="C769" s="102"/>
      <c r="D769" s="102"/>
      <c r="E769" s="102"/>
      <c r="F769" s="102"/>
      <c r="G769" s="102"/>
      <c r="H769" s="102"/>
      <c r="I769" s="102"/>
      <c r="J769" s="102"/>
      <c r="K769" s="102"/>
      <c r="L769" s="102"/>
      <c r="M769" s="102"/>
      <c r="N769" s="102"/>
      <c r="O769" s="102"/>
      <c r="P769" s="102"/>
      <c r="Q769" s="102"/>
      <c r="R769" s="102"/>
    </row>
    <row r="770" spans="1:18" ht="35.1" customHeight="1" x14ac:dyDescent="0.2">
      <c r="A770" s="99"/>
      <c r="B770" s="99"/>
      <c r="C770" s="102"/>
      <c r="D770" s="102"/>
      <c r="E770" s="102"/>
      <c r="F770" s="102"/>
      <c r="G770" s="102"/>
      <c r="H770" s="102"/>
      <c r="I770" s="102"/>
      <c r="J770" s="102"/>
      <c r="K770" s="102"/>
      <c r="L770" s="102"/>
      <c r="M770" s="102"/>
      <c r="N770" s="102"/>
      <c r="O770" s="102"/>
      <c r="P770" s="102"/>
      <c r="Q770" s="102"/>
      <c r="R770" s="102"/>
    </row>
    <row r="771" spans="1:18" ht="35.1" customHeight="1" x14ac:dyDescent="0.2">
      <c r="A771" s="99"/>
      <c r="B771" s="99"/>
      <c r="C771" s="102"/>
      <c r="D771" s="102"/>
      <c r="E771" s="102"/>
      <c r="F771" s="102"/>
      <c r="G771" s="102"/>
      <c r="H771" s="102"/>
      <c r="I771" s="102"/>
      <c r="J771" s="102"/>
      <c r="K771" s="102"/>
      <c r="L771" s="102"/>
      <c r="M771" s="102"/>
      <c r="N771" s="102"/>
      <c r="O771" s="102"/>
      <c r="P771" s="102"/>
      <c r="Q771" s="102"/>
      <c r="R771" s="102"/>
    </row>
    <row r="772" spans="1:18" ht="35.1" customHeight="1" x14ac:dyDescent="0.2">
      <c r="A772" s="99"/>
      <c r="B772" s="99"/>
      <c r="C772" s="102"/>
      <c r="D772" s="102"/>
      <c r="E772" s="102"/>
      <c r="F772" s="102"/>
      <c r="G772" s="102"/>
      <c r="H772" s="102"/>
      <c r="I772" s="102"/>
      <c r="J772" s="102"/>
      <c r="K772" s="102"/>
      <c r="L772" s="102"/>
      <c r="M772" s="102"/>
      <c r="N772" s="102"/>
      <c r="O772" s="102"/>
      <c r="P772" s="102"/>
      <c r="Q772" s="102"/>
      <c r="R772" s="102"/>
    </row>
    <row r="773" spans="1:18" ht="35.1" customHeight="1" x14ac:dyDescent="0.2">
      <c r="A773" s="99"/>
      <c r="B773" s="99"/>
      <c r="C773" s="102"/>
      <c r="D773" s="102"/>
      <c r="E773" s="102"/>
      <c r="F773" s="102"/>
      <c r="G773" s="102"/>
      <c r="H773" s="102"/>
      <c r="I773" s="102"/>
      <c r="J773" s="102"/>
      <c r="K773" s="102"/>
      <c r="L773" s="102"/>
      <c r="M773" s="102"/>
      <c r="N773" s="102"/>
      <c r="O773" s="102"/>
      <c r="P773" s="102"/>
      <c r="Q773" s="102"/>
      <c r="R773" s="102"/>
    </row>
    <row r="774" spans="1:18" ht="35.1" customHeight="1" x14ac:dyDescent="0.2">
      <c r="A774" s="99"/>
      <c r="B774" s="99"/>
      <c r="C774" s="102"/>
      <c r="D774" s="102"/>
      <c r="E774" s="102"/>
      <c r="F774" s="102"/>
      <c r="G774" s="102"/>
      <c r="H774" s="102"/>
      <c r="I774" s="102"/>
      <c r="J774" s="102"/>
      <c r="K774" s="102"/>
      <c r="L774" s="102"/>
      <c r="M774" s="102"/>
      <c r="N774" s="102"/>
      <c r="O774" s="102"/>
      <c r="P774" s="102"/>
      <c r="Q774" s="102"/>
      <c r="R774" s="102"/>
    </row>
    <row r="775" spans="1:18" ht="35.1" customHeight="1" x14ac:dyDescent="0.2">
      <c r="A775" s="99"/>
      <c r="B775" s="99"/>
      <c r="C775" s="102"/>
      <c r="D775" s="102"/>
      <c r="E775" s="102"/>
      <c r="F775" s="102"/>
      <c r="G775" s="102"/>
      <c r="H775" s="102"/>
      <c r="I775" s="102"/>
      <c r="J775" s="102"/>
      <c r="K775" s="102"/>
      <c r="L775" s="102"/>
      <c r="M775" s="102"/>
      <c r="N775" s="102"/>
      <c r="O775" s="102"/>
      <c r="P775" s="102"/>
      <c r="Q775" s="102"/>
      <c r="R775" s="102"/>
    </row>
    <row r="776" spans="1:18" ht="35.1" customHeight="1" x14ac:dyDescent="0.2">
      <c r="A776" s="99"/>
      <c r="B776" s="99"/>
      <c r="C776" s="102"/>
      <c r="D776" s="102"/>
      <c r="E776" s="102"/>
      <c r="F776" s="102"/>
      <c r="G776" s="102"/>
      <c r="H776" s="102"/>
      <c r="I776" s="102"/>
      <c r="J776" s="102"/>
      <c r="K776" s="102"/>
      <c r="L776" s="102"/>
      <c r="M776" s="102"/>
      <c r="N776" s="102"/>
      <c r="O776" s="102"/>
      <c r="P776" s="102"/>
      <c r="Q776" s="102"/>
      <c r="R776" s="102"/>
    </row>
    <row r="777" spans="1:18" ht="35.1" customHeight="1" x14ac:dyDescent="0.2">
      <c r="A777" s="99"/>
      <c r="B777" s="99"/>
      <c r="C777" s="102"/>
      <c r="D777" s="102"/>
      <c r="E777" s="102"/>
      <c r="F777" s="102"/>
      <c r="G777" s="102"/>
      <c r="H777" s="102"/>
      <c r="I777" s="102"/>
      <c r="J777" s="102"/>
      <c r="K777" s="102"/>
      <c r="L777" s="102"/>
      <c r="M777" s="102"/>
      <c r="N777" s="102"/>
      <c r="O777" s="102"/>
      <c r="P777" s="102"/>
      <c r="Q777" s="102"/>
      <c r="R777" s="102"/>
    </row>
    <row r="778" spans="1:18" ht="35.1" customHeight="1" x14ac:dyDescent="0.2">
      <c r="A778" s="99"/>
      <c r="B778" s="99"/>
      <c r="C778" s="102"/>
      <c r="D778" s="102"/>
      <c r="E778" s="102"/>
      <c r="F778" s="102"/>
      <c r="G778" s="102"/>
      <c r="H778" s="102"/>
      <c r="I778" s="102"/>
      <c r="J778" s="102"/>
      <c r="K778" s="102"/>
      <c r="L778" s="102"/>
      <c r="M778" s="102"/>
      <c r="N778" s="102"/>
      <c r="O778" s="102"/>
      <c r="P778" s="102"/>
      <c r="Q778" s="102"/>
      <c r="R778" s="102"/>
    </row>
    <row r="779" spans="1:18" ht="35.1" customHeight="1" x14ac:dyDescent="0.2">
      <c r="A779" s="99"/>
      <c r="B779" s="99"/>
      <c r="C779" s="102"/>
      <c r="D779" s="102"/>
      <c r="E779" s="102"/>
      <c r="F779" s="102"/>
      <c r="G779" s="102"/>
      <c r="H779" s="102"/>
      <c r="I779" s="102"/>
      <c r="J779" s="102"/>
      <c r="K779" s="102"/>
      <c r="L779" s="102"/>
      <c r="M779" s="102"/>
      <c r="N779" s="102"/>
      <c r="O779" s="102"/>
      <c r="P779" s="102"/>
      <c r="Q779" s="102"/>
      <c r="R779" s="102"/>
    </row>
    <row r="780" spans="1:18" ht="35.1" customHeight="1" x14ac:dyDescent="0.2">
      <c r="A780" s="99"/>
      <c r="B780" s="99"/>
      <c r="C780" s="102"/>
      <c r="D780" s="102"/>
      <c r="E780" s="102"/>
      <c r="F780" s="102"/>
      <c r="G780" s="102"/>
      <c r="H780" s="102"/>
      <c r="I780" s="102"/>
      <c r="J780" s="102"/>
      <c r="K780" s="102"/>
      <c r="L780" s="102"/>
      <c r="M780" s="102"/>
      <c r="N780" s="102"/>
      <c r="O780" s="102"/>
      <c r="P780" s="102"/>
      <c r="Q780" s="102"/>
      <c r="R780" s="102"/>
    </row>
    <row r="781" spans="1:18" ht="35.1" customHeight="1" x14ac:dyDescent="0.2">
      <c r="A781" s="99"/>
      <c r="B781" s="99"/>
      <c r="C781" s="102"/>
      <c r="D781" s="102"/>
      <c r="E781" s="102"/>
      <c r="F781" s="102"/>
      <c r="G781" s="102"/>
      <c r="H781" s="102"/>
      <c r="I781" s="102"/>
      <c r="J781" s="102"/>
      <c r="K781" s="102"/>
      <c r="L781" s="102"/>
      <c r="M781" s="102"/>
      <c r="N781" s="102"/>
      <c r="O781" s="102"/>
      <c r="P781" s="102"/>
      <c r="Q781" s="102"/>
      <c r="R781" s="102"/>
    </row>
    <row r="782" spans="1:18" ht="35.1" customHeight="1" x14ac:dyDescent="0.2">
      <c r="A782" s="99"/>
      <c r="B782" s="99"/>
      <c r="C782" s="102"/>
      <c r="D782" s="102"/>
      <c r="E782" s="102"/>
      <c r="F782" s="102"/>
      <c r="G782" s="102"/>
      <c r="H782" s="102"/>
      <c r="I782" s="102"/>
      <c r="J782" s="102"/>
      <c r="K782" s="102"/>
      <c r="L782" s="102"/>
      <c r="M782" s="102"/>
      <c r="N782" s="102"/>
      <c r="O782" s="102"/>
      <c r="P782" s="102"/>
      <c r="Q782" s="102"/>
      <c r="R782" s="102"/>
    </row>
    <row r="783" spans="1:18" ht="35.1" customHeight="1" x14ac:dyDescent="0.2">
      <c r="A783" s="99"/>
      <c r="B783" s="99"/>
      <c r="C783" s="102"/>
      <c r="D783" s="102"/>
      <c r="E783" s="102"/>
      <c r="F783" s="102"/>
      <c r="G783" s="102"/>
      <c r="H783" s="102"/>
      <c r="I783" s="102"/>
      <c r="J783" s="102"/>
      <c r="K783" s="102"/>
      <c r="L783" s="102"/>
      <c r="M783" s="102"/>
      <c r="N783" s="102"/>
      <c r="O783" s="102"/>
      <c r="P783" s="102"/>
      <c r="Q783" s="102"/>
      <c r="R783" s="102"/>
    </row>
    <row r="784" spans="1:18" ht="35.1" customHeight="1" x14ac:dyDescent="0.2">
      <c r="A784" s="99"/>
      <c r="B784" s="99"/>
      <c r="C784" s="102"/>
      <c r="D784" s="102"/>
      <c r="E784" s="102"/>
      <c r="F784" s="102"/>
      <c r="G784" s="102"/>
      <c r="H784" s="102"/>
      <c r="I784" s="102"/>
      <c r="J784" s="102"/>
      <c r="K784" s="102"/>
      <c r="L784" s="102"/>
      <c r="M784" s="102"/>
      <c r="N784" s="102"/>
      <c r="O784" s="102"/>
      <c r="P784" s="102"/>
      <c r="Q784" s="102"/>
      <c r="R784" s="102"/>
    </row>
    <row r="785" spans="1:18" ht="35.1" customHeight="1" x14ac:dyDescent="0.2">
      <c r="A785" s="99"/>
      <c r="B785" s="99"/>
      <c r="C785" s="102"/>
      <c r="D785" s="102"/>
      <c r="E785" s="102"/>
      <c r="F785" s="102"/>
      <c r="G785" s="102"/>
      <c r="H785" s="102"/>
      <c r="I785" s="102"/>
      <c r="J785" s="102"/>
      <c r="K785" s="102"/>
      <c r="L785" s="102"/>
      <c r="M785" s="102"/>
      <c r="N785" s="102"/>
      <c r="O785" s="102"/>
      <c r="P785" s="102"/>
      <c r="Q785" s="102"/>
      <c r="R785" s="102"/>
    </row>
    <row r="786" spans="1:18" ht="35.1" customHeight="1" x14ac:dyDescent="0.2">
      <c r="A786" s="99"/>
      <c r="B786" s="99"/>
      <c r="C786" s="102"/>
      <c r="D786" s="102"/>
      <c r="E786" s="102"/>
      <c r="F786" s="102"/>
      <c r="G786" s="102"/>
      <c r="H786" s="102"/>
      <c r="I786" s="102"/>
      <c r="J786" s="102"/>
      <c r="K786" s="102"/>
      <c r="L786" s="102"/>
      <c r="M786" s="102"/>
      <c r="N786" s="102"/>
      <c r="O786" s="102"/>
      <c r="P786" s="102"/>
      <c r="Q786" s="102"/>
      <c r="R786" s="102"/>
    </row>
    <row r="787" spans="1:18" ht="35.1" customHeight="1" x14ac:dyDescent="0.2">
      <c r="A787" s="99"/>
      <c r="B787" s="99"/>
      <c r="C787" s="102"/>
      <c r="D787" s="102"/>
      <c r="E787" s="102"/>
      <c r="F787" s="102"/>
      <c r="G787" s="102"/>
      <c r="H787" s="102"/>
      <c r="I787" s="102"/>
      <c r="J787" s="102"/>
      <c r="K787" s="102"/>
      <c r="L787" s="102"/>
      <c r="M787" s="102"/>
      <c r="N787" s="102"/>
      <c r="O787" s="102"/>
      <c r="P787" s="102"/>
      <c r="Q787" s="102"/>
      <c r="R787" s="102"/>
    </row>
    <row r="788" spans="1:18" ht="35.1" customHeight="1" x14ac:dyDescent="0.2">
      <c r="A788" s="99"/>
      <c r="B788" s="99"/>
      <c r="C788" s="102"/>
      <c r="D788" s="102"/>
      <c r="E788" s="102"/>
      <c r="F788" s="102"/>
      <c r="G788" s="102"/>
      <c r="H788" s="102"/>
      <c r="I788" s="102"/>
      <c r="J788" s="102"/>
      <c r="K788" s="102"/>
      <c r="L788" s="102"/>
      <c r="M788" s="102"/>
      <c r="N788" s="102"/>
      <c r="O788" s="102"/>
      <c r="P788" s="102"/>
      <c r="Q788" s="102"/>
      <c r="R788" s="102"/>
    </row>
    <row r="789" spans="1:18" ht="35.1" customHeight="1" x14ac:dyDescent="0.2">
      <c r="A789" s="99"/>
      <c r="B789" s="99"/>
      <c r="C789" s="102"/>
      <c r="D789" s="102"/>
      <c r="E789" s="102"/>
      <c r="F789" s="102"/>
      <c r="G789" s="102"/>
      <c r="H789" s="102"/>
      <c r="I789" s="102"/>
      <c r="J789" s="102"/>
      <c r="K789" s="102"/>
      <c r="L789" s="102"/>
      <c r="M789" s="102"/>
      <c r="N789" s="102"/>
      <c r="O789" s="102"/>
      <c r="P789" s="102"/>
      <c r="Q789" s="102"/>
      <c r="R789" s="102"/>
    </row>
    <row r="790" spans="1:18" ht="35.1" customHeight="1" x14ac:dyDescent="0.2">
      <c r="A790" s="99"/>
      <c r="B790" s="99"/>
      <c r="C790" s="102"/>
      <c r="D790" s="102"/>
      <c r="E790" s="102"/>
      <c r="F790" s="102"/>
      <c r="G790" s="102"/>
      <c r="H790" s="102"/>
      <c r="I790" s="102"/>
      <c r="J790" s="102"/>
      <c r="K790" s="102"/>
      <c r="L790" s="102"/>
      <c r="M790" s="102"/>
      <c r="N790" s="102"/>
      <c r="O790" s="102"/>
      <c r="P790" s="102"/>
      <c r="Q790" s="102"/>
      <c r="R790" s="102"/>
    </row>
    <row r="791" spans="1:18" ht="35.1" customHeight="1" x14ac:dyDescent="0.2">
      <c r="A791" s="99"/>
      <c r="B791" s="99"/>
      <c r="C791" s="102"/>
      <c r="D791" s="102"/>
      <c r="E791" s="102"/>
      <c r="F791" s="102"/>
      <c r="G791" s="102"/>
      <c r="H791" s="102"/>
      <c r="I791" s="102"/>
      <c r="J791" s="102"/>
      <c r="K791" s="102"/>
      <c r="L791" s="102"/>
      <c r="M791" s="102"/>
      <c r="N791" s="102"/>
      <c r="O791" s="102"/>
      <c r="P791" s="102"/>
      <c r="Q791" s="102"/>
      <c r="R791" s="102"/>
    </row>
    <row r="792" spans="1:18" ht="35.1" customHeight="1" x14ac:dyDescent="0.2">
      <c r="A792" s="99"/>
      <c r="B792" s="99"/>
      <c r="C792" s="102"/>
      <c r="D792" s="102"/>
      <c r="E792" s="102"/>
      <c r="F792" s="102"/>
      <c r="G792" s="102"/>
      <c r="H792" s="102"/>
      <c r="I792" s="102"/>
      <c r="J792" s="102"/>
      <c r="K792" s="102"/>
      <c r="L792" s="102"/>
      <c r="M792" s="102"/>
      <c r="N792" s="102"/>
      <c r="O792" s="102"/>
      <c r="P792" s="102"/>
      <c r="Q792" s="102"/>
      <c r="R792" s="102"/>
    </row>
    <row r="793" spans="1:18" ht="35.1" customHeight="1" x14ac:dyDescent="0.2">
      <c r="A793" s="99"/>
      <c r="B793" s="99"/>
      <c r="C793" s="102"/>
      <c r="D793" s="102"/>
      <c r="E793" s="102"/>
      <c r="F793" s="102"/>
      <c r="G793" s="102"/>
      <c r="H793" s="102"/>
      <c r="I793" s="102"/>
      <c r="J793" s="102"/>
      <c r="K793" s="102"/>
      <c r="L793" s="102"/>
      <c r="M793" s="102"/>
      <c r="N793" s="102"/>
      <c r="O793" s="102"/>
      <c r="P793" s="102"/>
      <c r="Q793" s="102"/>
      <c r="R793" s="102"/>
    </row>
    <row r="794" spans="1:18" ht="35.1" customHeight="1" x14ac:dyDescent="0.2">
      <c r="A794" s="99"/>
      <c r="B794" s="99"/>
      <c r="C794" s="102"/>
      <c r="D794" s="102"/>
      <c r="E794" s="102"/>
      <c r="F794" s="102"/>
      <c r="G794" s="102"/>
      <c r="H794" s="102"/>
      <c r="I794" s="102"/>
      <c r="J794" s="102"/>
      <c r="K794" s="102"/>
      <c r="L794" s="102"/>
      <c r="M794" s="102"/>
      <c r="N794" s="102"/>
      <c r="O794" s="102"/>
      <c r="P794" s="102"/>
      <c r="Q794" s="102"/>
      <c r="R794" s="102"/>
    </row>
    <row r="795" spans="1:18" ht="35.1" customHeight="1" x14ac:dyDescent="0.2">
      <c r="A795" s="99"/>
      <c r="B795" s="99"/>
      <c r="C795" s="102"/>
      <c r="D795" s="102"/>
      <c r="E795" s="102"/>
      <c r="F795" s="102"/>
      <c r="G795" s="102"/>
      <c r="H795" s="102"/>
      <c r="I795" s="102"/>
      <c r="J795" s="102"/>
      <c r="K795" s="102"/>
      <c r="L795" s="102"/>
      <c r="M795" s="102"/>
      <c r="N795" s="102"/>
      <c r="O795" s="102"/>
      <c r="P795" s="102"/>
      <c r="Q795" s="102"/>
      <c r="R795" s="102"/>
    </row>
    <row r="796" spans="1:18" ht="35.1" customHeight="1" x14ac:dyDescent="0.2">
      <c r="A796" s="99"/>
      <c r="B796" s="99"/>
      <c r="C796" s="102"/>
      <c r="D796" s="102"/>
      <c r="E796" s="102"/>
      <c r="F796" s="102"/>
      <c r="G796" s="102"/>
      <c r="H796" s="102"/>
      <c r="I796" s="102"/>
      <c r="J796" s="102"/>
      <c r="K796" s="102"/>
      <c r="L796" s="102"/>
      <c r="M796" s="102"/>
      <c r="N796" s="102"/>
      <c r="O796" s="102"/>
      <c r="P796" s="102"/>
      <c r="Q796" s="102"/>
      <c r="R796" s="102"/>
    </row>
    <row r="797" spans="1:18" ht="35.1" customHeight="1" x14ac:dyDescent="0.2">
      <c r="A797" s="99"/>
      <c r="B797" s="99"/>
      <c r="C797" s="102"/>
      <c r="D797" s="102"/>
      <c r="E797" s="102"/>
      <c r="F797" s="102"/>
      <c r="G797" s="102"/>
      <c r="H797" s="102"/>
      <c r="I797" s="102"/>
      <c r="J797" s="102"/>
      <c r="K797" s="102"/>
      <c r="L797" s="102"/>
      <c r="M797" s="102"/>
      <c r="N797" s="102"/>
      <c r="O797" s="102"/>
      <c r="P797" s="102"/>
      <c r="Q797" s="102"/>
      <c r="R797" s="102"/>
    </row>
    <row r="798" spans="1:18" ht="35.1" customHeight="1" x14ac:dyDescent="0.2">
      <c r="A798" s="99"/>
      <c r="B798" s="99"/>
      <c r="C798" s="102"/>
      <c r="D798" s="102"/>
      <c r="E798" s="102"/>
      <c r="F798" s="102"/>
      <c r="G798" s="102"/>
      <c r="H798" s="102"/>
      <c r="I798" s="102"/>
      <c r="J798" s="102"/>
      <c r="K798" s="102"/>
      <c r="L798" s="102"/>
      <c r="M798" s="102"/>
      <c r="N798" s="102"/>
      <c r="O798" s="102"/>
      <c r="P798" s="102"/>
      <c r="Q798" s="102"/>
      <c r="R798" s="102"/>
    </row>
    <row r="799" spans="1:18" ht="35.1" customHeight="1" x14ac:dyDescent="0.2">
      <c r="A799" s="99"/>
      <c r="B799" s="99"/>
      <c r="C799" s="102"/>
      <c r="D799" s="102"/>
      <c r="E799" s="102"/>
      <c r="F799" s="102"/>
      <c r="G799" s="102"/>
      <c r="H799" s="102"/>
      <c r="I799" s="102"/>
      <c r="J799" s="102"/>
      <c r="K799" s="102"/>
      <c r="L799" s="102"/>
      <c r="M799" s="102"/>
      <c r="N799" s="102"/>
      <c r="O799" s="102"/>
      <c r="P799" s="102"/>
      <c r="Q799" s="102"/>
      <c r="R799" s="102"/>
    </row>
    <row r="800" spans="1:18" ht="35.1" customHeight="1" x14ac:dyDescent="0.2">
      <c r="A800" s="99"/>
      <c r="B800" s="99"/>
      <c r="C800" s="102"/>
      <c r="D800" s="102"/>
      <c r="E800" s="102"/>
      <c r="F800" s="102"/>
      <c r="G800" s="102"/>
      <c r="H800" s="102"/>
      <c r="I800" s="102"/>
      <c r="J800" s="102"/>
      <c r="K800" s="102"/>
      <c r="L800" s="102"/>
      <c r="M800" s="102"/>
      <c r="N800" s="102"/>
      <c r="O800" s="102"/>
      <c r="P800" s="102"/>
      <c r="Q800" s="102"/>
      <c r="R800" s="102"/>
    </row>
    <row r="801" spans="1:18" ht="35.1" customHeight="1" x14ac:dyDescent="0.2">
      <c r="A801" s="99"/>
      <c r="B801" s="99"/>
      <c r="C801" s="102"/>
      <c r="D801" s="102"/>
      <c r="E801" s="102"/>
      <c r="F801" s="102"/>
      <c r="G801" s="102"/>
      <c r="H801" s="102"/>
      <c r="I801" s="102"/>
      <c r="J801" s="102"/>
      <c r="K801" s="102"/>
      <c r="L801" s="102"/>
      <c r="M801" s="102"/>
      <c r="N801" s="102"/>
      <c r="O801" s="102"/>
      <c r="P801" s="102"/>
      <c r="Q801" s="102"/>
      <c r="R801" s="102"/>
    </row>
    <row r="802" spans="1:18" ht="35.1" customHeight="1" x14ac:dyDescent="0.2">
      <c r="A802" s="99"/>
      <c r="B802" s="99"/>
      <c r="C802" s="102"/>
      <c r="D802" s="102"/>
      <c r="E802" s="102"/>
      <c r="F802" s="102"/>
      <c r="G802" s="102"/>
      <c r="H802" s="102"/>
      <c r="I802" s="102"/>
      <c r="J802" s="102"/>
      <c r="K802" s="102"/>
      <c r="L802" s="102"/>
      <c r="M802" s="102"/>
      <c r="N802" s="102"/>
      <c r="O802" s="102"/>
      <c r="P802" s="102"/>
      <c r="Q802" s="102"/>
      <c r="R802" s="102"/>
    </row>
    <row r="803" spans="1:18" ht="35.1" customHeight="1" x14ac:dyDescent="0.2">
      <c r="A803" s="99"/>
      <c r="B803" s="99"/>
      <c r="C803" s="102"/>
      <c r="D803" s="102"/>
      <c r="E803" s="102"/>
      <c r="F803" s="102"/>
      <c r="G803" s="102"/>
      <c r="H803" s="102"/>
      <c r="I803" s="102"/>
      <c r="J803" s="102"/>
      <c r="K803" s="102"/>
      <c r="L803" s="102"/>
      <c r="M803" s="102"/>
      <c r="N803" s="102"/>
      <c r="O803" s="102"/>
      <c r="P803" s="102"/>
      <c r="Q803" s="102"/>
      <c r="R803" s="102"/>
    </row>
    <row r="804" spans="1:18" ht="35.1" customHeight="1" x14ac:dyDescent="0.2">
      <c r="A804" s="99"/>
      <c r="B804" s="99"/>
      <c r="C804" s="102"/>
      <c r="D804" s="102"/>
      <c r="E804" s="102"/>
      <c r="F804" s="102"/>
      <c r="G804" s="102"/>
      <c r="H804" s="102"/>
      <c r="I804" s="102"/>
      <c r="J804" s="102"/>
      <c r="K804" s="102"/>
      <c r="L804" s="102"/>
      <c r="M804" s="102"/>
      <c r="N804" s="102"/>
      <c r="O804" s="102"/>
      <c r="P804" s="102"/>
      <c r="Q804" s="102"/>
      <c r="R804" s="102"/>
    </row>
    <row r="805" spans="1:18" ht="35.1" customHeight="1" x14ac:dyDescent="0.2">
      <c r="A805" s="99"/>
      <c r="B805" s="99"/>
      <c r="C805" s="102"/>
      <c r="D805" s="102"/>
      <c r="E805" s="102"/>
      <c r="F805" s="102"/>
      <c r="G805" s="102"/>
      <c r="H805" s="102"/>
      <c r="I805" s="102"/>
      <c r="J805" s="102"/>
      <c r="K805" s="102"/>
      <c r="L805" s="102"/>
      <c r="M805" s="102"/>
      <c r="N805" s="102"/>
      <c r="O805" s="102"/>
      <c r="P805" s="102"/>
      <c r="Q805" s="102"/>
      <c r="R805" s="102"/>
    </row>
    <row r="806" spans="1:18" ht="35.1" customHeight="1" x14ac:dyDescent="0.2">
      <c r="A806" s="99"/>
      <c r="B806" s="99"/>
      <c r="C806" s="102"/>
      <c r="D806" s="102"/>
      <c r="E806" s="102"/>
      <c r="F806" s="102"/>
      <c r="G806" s="102"/>
      <c r="H806" s="102"/>
      <c r="I806" s="102"/>
      <c r="J806" s="102"/>
      <c r="K806" s="102"/>
      <c r="L806" s="102"/>
      <c r="M806" s="102"/>
      <c r="N806" s="102"/>
      <c r="O806" s="102"/>
      <c r="P806" s="102"/>
      <c r="Q806" s="102"/>
      <c r="R806" s="102"/>
    </row>
    <row r="807" spans="1:18" ht="35.1" customHeight="1" x14ac:dyDescent="0.2">
      <c r="A807" s="99"/>
      <c r="B807" s="99"/>
      <c r="C807" s="102"/>
      <c r="D807" s="102"/>
      <c r="E807" s="102"/>
      <c r="F807" s="102"/>
      <c r="G807" s="102"/>
      <c r="H807" s="102"/>
      <c r="I807" s="102"/>
      <c r="J807" s="102"/>
      <c r="K807" s="102"/>
      <c r="L807" s="102"/>
      <c r="M807" s="102"/>
      <c r="N807" s="102"/>
      <c r="O807" s="102"/>
      <c r="P807" s="102"/>
      <c r="Q807" s="102"/>
      <c r="R807" s="102"/>
    </row>
    <row r="808" spans="1:18" ht="35.1" customHeight="1" x14ac:dyDescent="0.2">
      <c r="A808" s="99"/>
      <c r="B808" s="99"/>
      <c r="C808" s="102"/>
      <c r="D808" s="102"/>
      <c r="E808" s="102"/>
      <c r="F808" s="102"/>
      <c r="G808" s="102"/>
      <c r="H808" s="102"/>
      <c r="I808" s="102"/>
      <c r="J808" s="102"/>
      <c r="K808" s="102"/>
      <c r="L808" s="102"/>
      <c r="M808" s="102"/>
      <c r="N808" s="102"/>
      <c r="O808" s="102"/>
      <c r="P808" s="102"/>
      <c r="Q808" s="102"/>
      <c r="R808" s="102"/>
    </row>
    <row r="809" spans="1:18" ht="35.1" customHeight="1" x14ac:dyDescent="0.2">
      <c r="A809" s="99"/>
      <c r="B809" s="99"/>
      <c r="C809" s="102"/>
      <c r="D809" s="102"/>
      <c r="E809" s="102"/>
      <c r="F809" s="102"/>
      <c r="G809" s="102"/>
      <c r="H809" s="102"/>
      <c r="I809" s="102"/>
      <c r="J809" s="102"/>
      <c r="K809" s="102"/>
      <c r="L809" s="102"/>
      <c r="M809" s="102"/>
      <c r="N809" s="102"/>
      <c r="O809" s="102"/>
      <c r="P809" s="102"/>
      <c r="Q809" s="102"/>
      <c r="R809" s="102"/>
    </row>
    <row r="810" spans="1:18" ht="35.1" customHeight="1" x14ac:dyDescent="0.2">
      <c r="A810" s="99"/>
      <c r="B810" s="99"/>
      <c r="C810" s="102"/>
      <c r="D810" s="102"/>
      <c r="E810" s="102"/>
      <c r="F810" s="102"/>
      <c r="G810" s="102"/>
      <c r="H810" s="102"/>
      <c r="I810" s="102"/>
      <c r="J810" s="102"/>
      <c r="K810" s="102"/>
      <c r="L810" s="102"/>
      <c r="M810" s="102"/>
      <c r="N810" s="102"/>
      <c r="O810" s="102"/>
      <c r="P810" s="102"/>
      <c r="Q810" s="102"/>
      <c r="R810" s="102"/>
    </row>
    <row r="811" spans="1:18" ht="35.1" customHeight="1" x14ac:dyDescent="0.2">
      <c r="A811" s="99"/>
      <c r="B811" s="99"/>
      <c r="C811" s="102"/>
      <c r="D811" s="102"/>
      <c r="E811" s="102"/>
      <c r="F811" s="102"/>
      <c r="G811" s="102"/>
      <c r="H811" s="102"/>
      <c r="I811" s="102"/>
      <c r="J811" s="102"/>
      <c r="K811" s="102"/>
      <c r="L811" s="102"/>
      <c r="M811" s="102"/>
      <c r="N811" s="102"/>
      <c r="O811" s="102"/>
      <c r="P811" s="102"/>
      <c r="Q811" s="102"/>
      <c r="R811" s="102"/>
    </row>
    <row r="812" spans="1:18" ht="35.1" customHeight="1" x14ac:dyDescent="0.2">
      <c r="A812" s="99"/>
      <c r="B812" s="99"/>
      <c r="C812" s="102"/>
      <c r="D812" s="102"/>
      <c r="E812" s="102"/>
      <c r="F812" s="102"/>
      <c r="G812" s="102"/>
      <c r="H812" s="102"/>
      <c r="I812" s="102"/>
      <c r="J812" s="102"/>
      <c r="K812" s="102"/>
      <c r="L812" s="102"/>
      <c r="M812" s="102"/>
      <c r="N812" s="102"/>
      <c r="O812" s="102"/>
      <c r="P812" s="102"/>
      <c r="Q812" s="102"/>
      <c r="R812" s="102"/>
    </row>
    <row r="813" spans="1:18" ht="35.1" customHeight="1" x14ac:dyDescent="0.2">
      <c r="A813" s="99"/>
      <c r="B813" s="99"/>
      <c r="C813" s="102"/>
      <c r="D813" s="102"/>
      <c r="E813" s="102"/>
      <c r="F813" s="102"/>
      <c r="G813" s="102"/>
      <c r="H813" s="102"/>
      <c r="I813" s="102"/>
      <c r="J813" s="102"/>
      <c r="K813" s="102"/>
      <c r="L813" s="102"/>
      <c r="M813" s="102"/>
      <c r="N813" s="102"/>
      <c r="O813" s="102"/>
      <c r="P813" s="102"/>
      <c r="Q813" s="102"/>
      <c r="R813" s="102"/>
    </row>
    <row r="814" spans="1:18" ht="35.1" customHeight="1" x14ac:dyDescent="0.2">
      <c r="A814" s="99"/>
      <c r="B814" s="99"/>
      <c r="C814" s="102"/>
      <c r="D814" s="102"/>
      <c r="E814" s="102"/>
      <c r="F814" s="102"/>
      <c r="G814" s="102"/>
      <c r="H814" s="102"/>
      <c r="I814" s="102"/>
      <c r="J814" s="102"/>
      <c r="K814" s="102"/>
      <c r="L814" s="102"/>
      <c r="M814" s="102"/>
      <c r="N814" s="102"/>
      <c r="O814" s="102"/>
      <c r="P814" s="102"/>
      <c r="Q814" s="102"/>
      <c r="R814" s="102"/>
    </row>
    <row r="815" spans="1:18" ht="35.1" customHeight="1" x14ac:dyDescent="0.2">
      <c r="A815" s="99"/>
      <c r="B815" s="99"/>
      <c r="C815" s="102"/>
      <c r="D815" s="102"/>
      <c r="E815" s="102"/>
      <c r="F815" s="102"/>
      <c r="G815" s="102"/>
      <c r="H815" s="102"/>
      <c r="I815" s="102"/>
      <c r="J815" s="102"/>
      <c r="K815" s="102"/>
      <c r="L815" s="102"/>
      <c r="M815" s="102"/>
      <c r="N815" s="102"/>
      <c r="O815" s="102"/>
      <c r="P815" s="102"/>
      <c r="Q815" s="102"/>
      <c r="R815" s="102"/>
    </row>
    <row r="816" spans="1:18" ht="35.1" customHeight="1" x14ac:dyDescent="0.2">
      <c r="A816" s="99"/>
      <c r="B816" s="99"/>
      <c r="C816" s="102"/>
      <c r="D816" s="102"/>
      <c r="E816" s="102"/>
      <c r="F816" s="102"/>
      <c r="G816" s="102"/>
      <c r="H816" s="102"/>
      <c r="I816" s="102"/>
      <c r="J816" s="102"/>
      <c r="K816" s="102"/>
      <c r="L816" s="102"/>
      <c r="M816" s="102"/>
      <c r="N816" s="102"/>
      <c r="O816" s="102"/>
      <c r="P816" s="102"/>
      <c r="Q816" s="102"/>
      <c r="R816" s="102"/>
    </row>
    <row r="817" spans="1:18" ht="35.1" customHeight="1" x14ac:dyDescent="0.2">
      <c r="A817" s="99"/>
      <c r="B817" s="99"/>
      <c r="C817" s="102"/>
      <c r="D817" s="102"/>
      <c r="E817" s="102"/>
      <c r="F817" s="102"/>
      <c r="G817" s="102"/>
      <c r="H817" s="102"/>
      <c r="I817" s="102"/>
      <c r="J817" s="102"/>
      <c r="K817" s="102"/>
      <c r="L817" s="102"/>
      <c r="M817" s="102"/>
      <c r="N817" s="102"/>
      <c r="O817" s="102"/>
      <c r="P817" s="102"/>
      <c r="Q817" s="102"/>
      <c r="R817" s="102"/>
    </row>
    <row r="818" spans="1:18" ht="35.1" customHeight="1" x14ac:dyDescent="0.2">
      <c r="A818" s="99"/>
      <c r="B818" s="99"/>
      <c r="C818" s="102"/>
      <c r="D818" s="102"/>
      <c r="E818" s="102"/>
      <c r="F818" s="102"/>
      <c r="G818" s="102"/>
      <c r="H818" s="102"/>
      <c r="I818" s="102"/>
      <c r="J818" s="102"/>
      <c r="K818" s="102"/>
      <c r="L818" s="102"/>
      <c r="M818" s="102"/>
      <c r="N818" s="102"/>
      <c r="O818" s="102"/>
      <c r="P818" s="102"/>
      <c r="Q818" s="102"/>
      <c r="R818" s="102"/>
    </row>
    <row r="819" spans="1:18" ht="35.1" customHeight="1" x14ac:dyDescent="0.2">
      <c r="A819" s="99"/>
      <c r="B819" s="99"/>
      <c r="C819" s="102"/>
      <c r="D819" s="102"/>
      <c r="E819" s="102"/>
      <c r="F819" s="102"/>
      <c r="G819" s="102"/>
      <c r="H819" s="102"/>
      <c r="I819" s="102"/>
      <c r="J819" s="102"/>
      <c r="K819" s="102"/>
      <c r="L819" s="102"/>
      <c r="M819" s="102"/>
      <c r="N819" s="102"/>
      <c r="O819" s="102"/>
      <c r="P819" s="102"/>
      <c r="Q819" s="102"/>
      <c r="R819" s="102"/>
    </row>
    <row r="820" spans="1:18" ht="35.1" customHeight="1" x14ac:dyDescent="0.2">
      <c r="A820" s="99"/>
      <c r="B820" s="99"/>
      <c r="C820" s="102"/>
      <c r="D820" s="102"/>
      <c r="E820" s="102"/>
      <c r="F820" s="102"/>
      <c r="G820" s="102"/>
      <c r="H820" s="102"/>
      <c r="I820" s="102"/>
      <c r="J820" s="102"/>
      <c r="K820" s="102"/>
      <c r="L820" s="102"/>
      <c r="M820" s="102"/>
      <c r="N820" s="102"/>
      <c r="O820" s="102"/>
      <c r="P820" s="102"/>
      <c r="Q820" s="102"/>
      <c r="R820" s="102"/>
    </row>
    <row r="821" spans="1:18" ht="35.1" customHeight="1" x14ac:dyDescent="0.2">
      <c r="A821" s="99"/>
      <c r="B821" s="99"/>
      <c r="C821" s="102"/>
      <c r="D821" s="102"/>
      <c r="E821" s="102"/>
      <c r="F821" s="102"/>
      <c r="G821" s="102"/>
      <c r="H821" s="102"/>
      <c r="I821" s="102"/>
      <c r="J821" s="102"/>
      <c r="K821" s="102"/>
      <c r="L821" s="102"/>
      <c r="M821" s="102"/>
      <c r="N821" s="102"/>
      <c r="O821" s="102"/>
      <c r="P821" s="102"/>
      <c r="Q821" s="102"/>
      <c r="R821" s="102"/>
    </row>
    <row r="822" spans="1:18" ht="35.1" customHeight="1" x14ac:dyDescent="0.2">
      <c r="A822" s="99"/>
      <c r="B822" s="99"/>
      <c r="C822" s="102"/>
      <c r="D822" s="102"/>
      <c r="E822" s="102"/>
      <c r="F822" s="102"/>
      <c r="G822" s="102"/>
      <c r="H822" s="102"/>
      <c r="I822" s="102"/>
      <c r="J822" s="102"/>
      <c r="K822" s="102"/>
      <c r="L822" s="102"/>
      <c r="M822" s="102"/>
      <c r="N822" s="102"/>
      <c r="O822" s="102"/>
      <c r="P822" s="102"/>
      <c r="Q822" s="102"/>
      <c r="R822" s="102"/>
    </row>
    <row r="823" spans="1:18" ht="35.1" customHeight="1" x14ac:dyDescent="0.2">
      <c r="A823" s="99"/>
      <c r="B823" s="99"/>
      <c r="C823" s="102"/>
      <c r="D823" s="102"/>
      <c r="E823" s="102"/>
      <c r="F823" s="102"/>
      <c r="G823" s="102"/>
      <c r="H823" s="102"/>
      <c r="I823" s="102"/>
      <c r="J823" s="102"/>
      <c r="K823" s="102"/>
      <c r="L823" s="102"/>
      <c r="M823" s="102"/>
      <c r="N823" s="102"/>
      <c r="O823" s="102"/>
      <c r="P823" s="102"/>
      <c r="Q823" s="102"/>
      <c r="R823" s="102"/>
    </row>
    <row r="824" spans="1:18" ht="35.1" customHeight="1" x14ac:dyDescent="0.2">
      <c r="A824" s="99"/>
      <c r="B824" s="99"/>
      <c r="C824" s="102"/>
      <c r="D824" s="102"/>
      <c r="E824" s="102"/>
      <c r="F824" s="102"/>
      <c r="G824" s="102"/>
      <c r="H824" s="102"/>
      <c r="I824" s="102"/>
      <c r="J824" s="102"/>
      <c r="K824" s="102"/>
      <c r="L824" s="102"/>
      <c r="M824" s="102"/>
      <c r="N824" s="102"/>
      <c r="O824" s="102"/>
      <c r="P824" s="102"/>
      <c r="Q824" s="102"/>
      <c r="R824" s="102"/>
    </row>
    <row r="825" spans="1:18" ht="35.1" customHeight="1" x14ac:dyDescent="0.2">
      <c r="A825" s="99"/>
      <c r="B825" s="99"/>
      <c r="C825" s="102"/>
      <c r="D825" s="102"/>
      <c r="E825" s="102"/>
      <c r="F825" s="102"/>
      <c r="G825" s="102"/>
      <c r="H825" s="102"/>
      <c r="I825" s="102"/>
      <c r="J825" s="102"/>
      <c r="K825" s="102"/>
      <c r="L825" s="102"/>
      <c r="M825" s="102"/>
      <c r="N825" s="102"/>
      <c r="O825" s="102"/>
      <c r="P825" s="102"/>
      <c r="Q825" s="102"/>
      <c r="R825" s="102"/>
    </row>
    <row r="826" spans="1:18" ht="35.1" customHeight="1" x14ac:dyDescent="0.2">
      <c r="A826" s="99"/>
      <c r="B826" s="99"/>
      <c r="C826" s="102"/>
      <c r="D826" s="102"/>
      <c r="E826" s="102"/>
      <c r="F826" s="102"/>
      <c r="G826" s="102"/>
      <c r="H826" s="102"/>
      <c r="I826" s="102"/>
      <c r="J826" s="102"/>
      <c r="K826" s="102"/>
      <c r="L826" s="102"/>
      <c r="M826" s="102"/>
      <c r="N826" s="102"/>
      <c r="O826" s="102"/>
      <c r="P826" s="102"/>
      <c r="Q826" s="102"/>
      <c r="R826" s="102"/>
    </row>
    <row r="827" spans="1:18" ht="35.1" customHeight="1" x14ac:dyDescent="0.2">
      <c r="A827" s="99"/>
      <c r="B827" s="99"/>
      <c r="C827" s="102"/>
      <c r="D827" s="102"/>
      <c r="E827" s="102"/>
      <c r="F827" s="102"/>
      <c r="G827" s="102"/>
      <c r="H827" s="102"/>
      <c r="I827" s="102"/>
      <c r="J827" s="102"/>
      <c r="K827" s="102"/>
      <c r="L827" s="102"/>
      <c r="M827" s="102"/>
      <c r="N827" s="102"/>
      <c r="O827" s="102"/>
      <c r="P827" s="102"/>
      <c r="Q827" s="102"/>
      <c r="R827" s="102"/>
    </row>
    <row r="828" spans="1:18" ht="35.1" customHeight="1" x14ac:dyDescent="0.2">
      <c r="A828" s="99"/>
      <c r="B828" s="99"/>
      <c r="C828" s="102"/>
      <c r="D828" s="102"/>
      <c r="E828" s="102"/>
      <c r="F828" s="102"/>
      <c r="G828" s="102"/>
      <c r="H828" s="102"/>
      <c r="I828" s="102"/>
      <c r="J828" s="102"/>
      <c r="K828" s="102"/>
      <c r="L828" s="102"/>
      <c r="M828" s="102"/>
      <c r="N828" s="102"/>
      <c r="O828" s="102"/>
      <c r="P828" s="102"/>
      <c r="Q828" s="102"/>
      <c r="R828" s="102"/>
    </row>
    <row r="829" spans="1:18" ht="35.1" customHeight="1" x14ac:dyDescent="0.2">
      <c r="A829" s="99"/>
      <c r="B829" s="99"/>
      <c r="C829" s="102"/>
      <c r="D829" s="102"/>
      <c r="E829" s="102"/>
      <c r="F829" s="102"/>
      <c r="G829" s="102"/>
      <c r="H829" s="102"/>
      <c r="I829" s="102"/>
      <c r="J829" s="102"/>
      <c r="K829" s="102"/>
      <c r="L829" s="102"/>
      <c r="M829" s="102"/>
      <c r="N829" s="102"/>
      <c r="O829" s="102"/>
      <c r="P829" s="102"/>
      <c r="Q829" s="102"/>
      <c r="R829" s="102"/>
    </row>
    <row r="830" spans="1:18" ht="35.1" customHeight="1" x14ac:dyDescent="0.2">
      <c r="A830" s="99"/>
      <c r="B830" s="99"/>
      <c r="C830" s="102"/>
      <c r="D830" s="102"/>
      <c r="E830" s="102"/>
      <c r="F830" s="102"/>
      <c r="G830" s="102"/>
      <c r="H830" s="102"/>
      <c r="I830" s="102"/>
      <c r="J830" s="102"/>
      <c r="K830" s="102"/>
      <c r="L830" s="102"/>
      <c r="M830" s="102"/>
      <c r="N830" s="102"/>
      <c r="O830" s="102"/>
      <c r="P830" s="102"/>
      <c r="Q830" s="102"/>
      <c r="R830" s="102"/>
    </row>
    <row r="831" spans="1:18" ht="35.1" customHeight="1" x14ac:dyDescent="0.2">
      <c r="A831" s="99"/>
      <c r="B831" s="99"/>
      <c r="C831" s="102"/>
      <c r="D831" s="102"/>
      <c r="E831" s="102"/>
      <c r="F831" s="102"/>
      <c r="G831" s="102"/>
      <c r="H831" s="102"/>
      <c r="I831" s="102"/>
      <c r="J831" s="102"/>
      <c r="K831" s="102"/>
      <c r="L831" s="102"/>
      <c r="M831" s="102"/>
      <c r="N831" s="102"/>
      <c r="O831" s="102"/>
      <c r="P831" s="102"/>
      <c r="Q831" s="102"/>
      <c r="R831" s="102"/>
    </row>
    <row r="832" spans="1:18" ht="35.1" customHeight="1" x14ac:dyDescent="0.2">
      <c r="A832" s="99"/>
      <c r="B832" s="99"/>
      <c r="C832" s="102"/>
      <c r="D832" s="102"/>
      <c r="E832" s="102"/>
      <c r="F832" s="102"/>
      <c r="G832" s="102"/>
      <c r="H832" s="102"/>
      <c r="I832" s="102"/>
      <c r="J832" s="102"/>
      <c r="K832" s="102"/>
      <c r="L832" s="102"/>
      <c r="M832" s="102"/>
      <c r="N832" s="102"/>
      <c r="O832" s="102"/>
      <c r="P832" s="102"/>
      <c r="Q832" s="102"/>
      <c r="R832" s="102"/>
    </row>
    <row r="833" spans="1:18" ht="35.1" customHeight="1" x14ac:dyDescent="0.2">
      <c r="A833" s="99"/>
      <c r="B833" s="99"/>
      <c r="C833" s="102"/>
      <c r="D833" s="102"/>
      <c r="E833" s="102"/>
      <c r="F833" s="102"/>
      <c r="G833" s="102"/>
      <c r="H833" s="102"/>
      <c r="I833" s="102"/>
      <c r="J833" s="102"/>
      <c r="K833" s="102"/>
      <c r="L833" s="102"/>
      <c r="M833" s="102"/>
      <c r="N833" s="102"/>
      <c r="O833" s="102"/>
      <c r="P833" s="102"/>
      <c r="Q833" s="102"/>
      <c r="R833" s="102"/>
    </row>
    <row r="834" spans="1:18" ht="35.1" customHeight="1" x14ac:dyDescent="0.2">
      <c r="A834" s="99"/>
      <c r="B834" s="99"/>
      <c r="C834" s="102"/>
      <c r="D834" s="102"/>
      <c r="E834" s="102"/>
      <c r="F834" s="102"/>
      <c r="G834" s="102"/>
      <c r="H834" s="102"/>
      <c r="I834" s="102"/>
      <c r="J834" s="102"/>
      <c r="K834" s="102"/>
      <c r="L834" s="102"/>
      <c r="M834" s="102"/>
      <c r="N834" s="102"/>
      <c r="O834" s="102"/>
      <c r="P834" s="102"/>
      <c r="Q834" s="102"/>
      <c r="R834" s="102"/>
    </row>
    <row r="835" spans="1:18" ht="35.1" customHeight="1" x14ac:dyDescent="0.2">
      <c r="A835" s="99"/>
      <c r="B835" s="99"/>
      <c r="C835" s="102"/>
      <c r="D835" s="102"/>
      <c r="E835" s="102"/>
      <c r="F835" s="102"/>
      <c r="G835" s="102"/>
      <c r="H835" s="102"/>
      <c r="I835" s="102"/>
      <c r="J835" s="102"/>
      <c r="K835" s="102"/>
      <c r="L835" s="102"/>
      <c r="M835" s="102"/>
      <c r="N835" s="102"/>
      <c r="O835" s="102"/>
      <c r="P835" s="102"/>
      <c r="Q835" s="102"/>
      <c r="R835" s="102"/>
    </row>
    <row r="836" spans="1:18" ht="35.1" customHeight="1" x14ac:dyDescent="0.2">
      <c r="A836" s="99"/>
      <c r="B836" s="99"/>
      <c r="C836" s="102"/>
      <c r="D836" s="102"/>
      <c r="E836" s="102"/>
      <c r="F836" s="102"/>
      <c r="G836" s="102"/>
      <c r="H836" s="102"/>
      <c r="I836" s="102"/>
      <c r="J836" s="102"/>
      <c r="K836" s="102"/>
      <c r="L836" s="102"/>
      <c r="M836" s="102"/>
      <c r="N836" s="102"/>
      <c r="O836" s="102"/>
      <c r="P836" s="102"/>
      <c r="Q836" s="102"/>
      <c r="R836" s="102"/>
    </row>
    <row r="837" spans="1:18" ht="35.1" customHeight="1" x14ac:dyDescent="0.2">
      <c r="A837" s="99"/>
      <c r="B837" s="99"/>
      <c r="C837" s="102"/>
      <c r="D837" s="102"/>
      <c r="E837" s="102"/>
      <c r="F837" s="102"/>
      <c r="G837" s="102"/>
      <c r="H837" s="102"/>
      <c r="I837" s="102"/>
      <c r="J837" s="102"/>
      <c r="K837" s="102"/>
      <c r="L837" s="102"/>
      <c r="M837" s="102"/>
      <c r="N837" s="102"/>
      <c r="O837" s="102"/>
      <c r="P837" s="102"/>
      <c r="Q837" s="102"/>
      <c r="R837" s="102"/>
    </row>
    <row r="838" spans="1:18" ht="35.1" customHeight="1" x14ac:dyDescent="0.2">
      <c r="A838" s="99"/>
      <c r="B838" s="99"/>
      <c r="C838" s="102"/>
      <c r="D838" s="102"/>
      <c r="E838" s="102"/>
      <c r="F838" s="102"/>
      <c r="G838" s="102"/>
      <c r="H838" s="102"/>
      <c r="I838" s="102"/>
      <c r="J838" s="102"/>
      <c r="K838" s="102"/>
      <c r="L838" s="102"/>
      <c r="M838" s="102"/>
      <c r="N838" s="102"/>
      <c r="O838" s="102"/>
      <c r="P838" s="102"/>
      <c r="Q838" s="102"/>
      <c r="R838" s="102"/>
    </row>
    <row r="839" spans="1:18" ht="35.1" customHeight="1" x14ac:dyDescent="0.2">
      <c r="A839" s="99"/>
      <c r="B839" s="99"/>
      <c r="C839" s="102"/>
      <c r="D839" s="102"/>
      <c r="E839" s="102"/>
      <c r="F839" s="102"/>
      <c r="G839" s="102"/>
      <c r="H839" s="102"/>
      <c r="I839" s="102"/>
      <c r="J839" s="102"/>
      <c r="K839" s="102"/>
      <c r="L839" s="102"/>
      <c r="M839" s="102"/>
      <c r="N839" s="102"/>
      <c r="O839" s="102"/>
      <c r="P839" s="102"/>
      <c r="Q839" s="102"/>
      <c r="R839" s="102"/>
    </row>
    <row r="840" spans="1:18" ht="35.1" customHeight="1" x14ac:dyDescent="0.2">
      <c r="A840" s="99"/>
      <c r="B840" s="99"/>
      <c r="C840" s="102"/>
      <c r="D840" s="102"/>
      <c r="E840" s="102"/>
      <c r="F840" s="102"/>
      <c r="G840" s="102"/>
      <c r="H840" s="102"/>
      <c r="I840" s="102"/>
      <c r="J840" s="102"/>
      <c r="K840" s="102"/>
      <c r="L840" s="102"/>
      <c r="M840" s="102"/>
      <c r="N840" s="102"/>
      <c r="O840" s="102"/>
      <c r="P840" s="102"/>
      <c r="Q840" s="102"/>
      <c r="R840" s="102"/>
    </row>
    <row r="841" spans="1:18" ht="35.1" customHeight="1" x14ac:dyDescent="0.2">
      <c r="A841" s="99"/>
      <c r="B841" s="99"/>
      <c r="C841" s="102"/>
      <c r="D841" s="102"/>
      <c r="E841" s="102"/>
      <c r="F841" s="102"/>
      <c r="G841" s="102"/>
      <c r="H841" s="102"/>
      <c r="I841" s="102"/>
      <c r="J841" s="102"/>
      <c r="K841" s="102"/>
      <c r="L841" s="102"/>
      <c r="M841" s="102"/>
      <c r="N841" s="102"/>
      <c r="O841" s="102"/>
      <c r="P841" s="102"/>
      <c r="Q841" s="102"/>
      <c r="R841" s="102"/>
    </row>
    <row r="842" spans="1:18" ht="35.1" customHeight="1" x14ac:dyDescent="0.2">
      <c r="A842" s="99"/>
      <c r="B842" s="99"/>
      <c r="C842" s="102"/>
      <c r="D842" s="102"/>
      <c r="E842" s="102"/>
      <c r="F842" s="102"/>
      <c r="G842" s="102"/>
      <c r="H842" s="102"/>
      <c r="I842" s="102"/>
      <c r="J842" s="102"/>
      <c r="K842" s="102"/>
      <c r="L842" s="102"/>
      <c r="M842" s="102"/>
      <c r="N842" s="102"/>
      <c r="O842" s="102"/>
      <c r="P842" s="102"/>
      <c r="Q842" s="102"/>
      <c r="R842" s="102"/>
    </row>
    <row r="843" spans="1:18" ht="35.1" customHeight="1" x14ac:dyDescent="0.2">
      <c r="A843" s="99"/>
      <c r="B843" s="99"/>
      <c r="C843" s="102"/>
      <c r="D843" s="102"/>
      <c r="E843" s="102"/>
      <c r="F843" s="102"/>
      <c r="G843" s="102"/>
      <c r="H843" s="102"/>
      <c r="I843" s="102"/>
      <c r="J843" s="102"/>
      <c r="K843" s="102"/>
      <c r="L843" s="102"/>
      <c r="M843" s="102"/>
      <c r="N843" s="102"/>
      <c r="O843" s="102"/>
      <c r="P843" s="102"/>
      <c r="Q843" s="102"/>
      <c r="R843" s="102"/>
    </row>
    <row r="844" spans="1:18" ht="35.1" customHeight="1" x14ac:dyDescent="0.2">
      <c r="A844" s="99"/>
      <c r="B844" s="99"/>
      <c r="C844" s="102"/>
      <c r="D844" s="102"/>
      <c r="E844" s="102"/>
      <c r="F844" s="102"/>
      <c r="G844" s="102"/>
      <c r="H844" s="102"/>
      <c r="I844" s="102"/>
      <c r="J844" s="102"/>
      <c r="K844" s="102"/>
      <c r="L844" s="102"/>
      <c r="M844" s="102"/>
      <c r="N844" s="102"/>
      <c r="O844" s="102"/>
      <c r="P844" s="102"/>
      <c r="Q844" s="102"/>
      <c r="R844" s="102"/>
    </row>
    <row r="845" spans="1:18" ht="35.1" customHeight="1" x14ac:dyDescent="0.2">
      <c r="A845" s="99"/>
      <c r="B845" s="99"/>
      <c r="C845" s="102"/>
      <c r="D845" s="102"/>
      <c r="E845" s="102"/>
      <c r="F845" s="102"/>
      <c r="G845" s="102"/>
      <c r="H845" s="102"/>
      <c r="I845" s="102"/>
      <c r="J845" s="102"/>
      <c r="K845" s="102"/>
      <c r="L845" s="102"/>
      <c r="M845" s="102"/>
      <c r="N845" s="102"/>
      <c r="O845" s="102"/>
      <c r="P845" s="102"/>
      <c r="Q845" s="102"/>
      <c r="R845" s="102"/>
    </row>
    <row r="846" spans="1:18" ht="35.1" customHeight="1" x14ac:dyDescent="0.2">
      <c r="A846" s="99"/>
      <c r="B846" s="99"/>
      <c r="C846" s="102"/>
      <c r="D846" s="102"/>
      <c r="E846" s="102"/>
      <c r="F846" s="102"/>
      <c r="G846" s="102"/>
      <c r="H846" s="102"/>
      <c r="I846" s="102"/>
      <c r="J846" s="102"/>
      <c r="K846" s="102"/>
      <c r="L846" s="102"/>
      <c r="M846" s="102"/>
      <c r="N846" s="102"/>
      <c r="O846" s="102"/>
      <c r="P846" s="102"/>
      <c r="Q846" s="102"/>
      <c r="R846" s="102"/>
    </row>
    <row r="847" spans="1:18" ht="35.1" customHeight="1" x14ac:dyDescent="0.2">
      <c r="A847" s="99"/>
      <c r="B847" s="99"/>
      <c r="C847" s="102"/>
      <c r="D847" s="102"/>
      <c r="E847" s="102"/>
      <c r="F847" s="102"/>
      <c r="G847" s="102"/>
      <c r="H847" s="102"/>
      <c r="I847" s="102"/>
      <c r="J847" s="102"/>
      <c r="K847" s="102"/>
      <c r="L847" s="102"/>
      <c r="M847" s="102"/>
      <c r="N847" s="102"/>
      <c r="O847" s="102"/>
      <c r="P847" s="102"/>
      <c r="Q847" s="102"/>
      <c r="R847" s="102"/>
    </row>
    <row r="848" spans="1:18" ht="35.1" customHeight="1" x14ac:dyDescent="0.2">
      <c r="A848" s="99"/>
      <c r="B848" s="99"/>
      <c r="C848" s="102"/>
      <c r="D848" s="102"/>
      <c r="E848" s="102"/>
      <c r="F848" s="102"/>
      <c r="G848" s="102"/>
      <c r="H848" s="102"/>
      <c r="I848" s="102"/>
      <c r="J848" s="102"/>
      <c r="K848" s="102"/>
      <c r="L848" s="102"/>
      <c r="M848" s="102"/>
      <c r="N848" s="102"/>
      <c r="O848" s="102"/>
      <c r="P848" s="102"/>
      <c r="Q848" s="102"/>
      <c r="R848" s="102"/>
    </row>
    <row r="849" spans="1:18" ht="35.1" customHeight="1" x14ac:dyDescent="0.2">
      <c r="A849" s="99"/>
      <c r="B849" s="99"/>
      <c r="C849" s="102"/>
      <c r="D849" s="102"/>
      <c r="E849" s="102"/>
      <c r="F849" s="102"/>
      <c r="G849" s="102"/>
      <c r="H849" s="102"/>
      <c r="I849" s="102"/>
      <c r="J849" s="102"/>
      <c r="K849" s="102"/>
      <c r="L849" s="102"/>
      <c r="M849" s="102"/>
      <c r="N849" s="102"/>
      <c r="O849" s="102"/>
      <c r="P849" s="102"/>
      <c r="Q849" s="102"/>
      <c r="R849" s="102"/>
    </row>
    <row r="850" spans="1:18" ht="35.1" customHeight="1" x14ac:dyDescent="0.2">
      <c r="A850" s="99"/>
      <c r="B850" s="99"/>
      <c r="C850" s="102"/>
      <c r="D850" s="102"/>
      <c r="E850" s="102"/>
      <c r="F850" s="102"/>
      <c r="G850" s="102"/>
      <c r="H850" s="102"/>
      <c r="I850" s="102"/>
      <c r="J850" s="102"/>
      <c r="K850" s="102"/>
      <c r="L850" s="102"/>
      <c r="M850" s="102"/>
      <c r="N850" s="102"/>
      <c r="O850" s="102"/>
      <c r="P850" s="102"/>
      <c r="Q850" s="102"/>
      <c r="R850" s="102"/>
    </row>
    <row r="851" spans="1:18" ht="35.1" customHeight="1" x14ac:dyDescent="0.2">
      <c r="A851" s="99"/>
      <c r="B851" s="99"/>
      <c r="C851" s="102"/>
      <c r="D851" s="102"/>
      <c r="E851" s="102"/>
      <c r="F851" s="102"/>
      <c r="G851" s="102"/>
      <c r="H851" s="102"/>
      <c r="I851" s="102"/>
      <c r="J851" s="102"/>
      <c r="K851" s="102"/>
      <c r="L851" s="102"/>
      <c r="M851" s="102"/>
      <c r="N851" s="102"/>
      <c r="O851" s="102"/>
      <c r="P851" s="102"/>
      <c r="Q851" s="102"/>
      <c r="R851" s="102"/>
    </row>
    <row r="852" spans="1:18" ht="35.1" customHeight="1" x14ac:dyDescent="0.2">
      <c r="A852" s="99"/>
      <c r="B852" s="99"/>
      <c r="C852" s="102"/>
      <c r="D852" s="102"/>
      <c r="E852" s="102"/>
      <c r="F852" s="102"/>
      <c r="G852" s="102"/>
      <c r="H852" s="102"/>
      <c r="I852" s="102"/>
      <c r="J852" s="102"/>
      <c r="K852" s="102"/>
      <c r="L852" s="102"/>
      <c r="M852" s="102"/>
      <c r="N852" s="102"/>
      <c r="O852" s="102"/>
      <c r="P852" s="102"/>
      <c r="Q852" s="102"/>
      <c r="R852" s="102"/>
    </row>
    <row r="853" spans="1:18" ht="35.1" customHeight="1" x14ac:dyDescent="0.2">
      <c r="A853" s="99"/>
      <c r="B853" s="99"/>
      <c r="C853" s="102"/>
      <c r="D853" s="102"/>
      <c r="E853" s="102"/>
      <c r="F853" s="102"/>
      <c r="G853" s="102"/>
      <c r="H853" s="102"/>
      <c r="I853" s="102"/>
      <c r="J853" s="102"/>
      <c r="K853" s="102"/>
      <c r="L853" s="102"/>
      <c r="M853" s="102"/>
      <c r="N853" s="102"/>
      <c r="O853" s="102"/>
      <c r="P853" s="102"/>
      <c r="Q853" s="102"/>
      <c r="R853" s="102"/>
    </row>
    <row r="854" spans="1:18" ht="35.1" customHeight="1" x14ac:dyDescent="0.2">
      <c r="A854" s="99"/>
      <c r="B854" s="99"/>
      <c r="C854" s="102"/>
      <c r="D854" s="102"/>
      <c r="E854" s="102"/>
      <c r="F854" s="102"/>
      <c r="G854" s="102"/>
      <c r="H854" s="102"/>
      <c r="I854" s="102"/>
      <c r="J854" s="102"/>
      <c r="K854" s="102"/>
      <c r="L854" s="102"/>
      <c r="M854" s="102"/>
      <c r="N854" s="102"/>
      <c r="O854" s="102"/>
      <c r="P854" s="102"/>
      <c r="Q854" s="102"/>
      <c r="R854" s="102"/>
    </row>
    <row r="855" spans="1:18" ht="35.1" customHeight="1" x14ac:dyDescent="0.2">
      <c r="A855" s="99"/>
      <c r="B855" s="99"/>
      <c r="C855" s="102"/>
      <c r="D855" s="102"/>
      <c r="E855" s="102"/>
      <c r="F855" s="102"/>
      <c r="G855" s="102"/>
      <c r="H855" s="102"/>
      <c r="I855" s="102"/>
      <c r="J855" s="102"/>
      <c r="K855" s="102"/>
      <c r="L855" s="102"/>
      <c r="M855" s="102"/>
      <c r="N855" s="102"/>
      <c r="O855" s="102"/>
      <c r="P855" s="102"/>
      <c r="Q855" s="102"/>
      <c r="R855" s="102"/>
    </row>
    <row r="856" spans="1:18" ht="35.1" customHeight="1" x14ac:dyDescent="0.2">
      <c r="A856" s="99"/>
      <c r="B856" s="99"/>
      <c r="C856" s="102"/>
      <c r="D856" s="102"/>
      <c r="E856" s="102"/>
      <c r="F856" s="102"/>
      <c r="G856" s="102"/>
      <c r="H856" s="102"/>
      <c r="I856" s="102"/>
      <c r="J856" s="102"/>
      <c r="K856" s="102"/>
      <c r="L856" s="102"/>
      <c r="M856" s="102"/>
      <c r="N856" s="102"/>
      <c r="O856" s="102"/>
      <c r="P856" s="102"/>
      <c r="Q856" s="102"/>
      <c r="R856" s="102"/>
    </row>
    <row r="857" spans="1:18" ht="35.1" customHeight="1" x14ac:dyDescent="0.2">
      <c r="A857" s="99"/>
      <c r="B857" s="99"/>
      <c r="C857" s="102"/>
      <c r="D857" s="102"/>
      <c r="E857" s="102"/>
      <c r="F857" s="102"/>
      <c r="G857" s="102"/>
      <c r="H857" s="102"/>
      <c r="I857" s="102"/>
      <c r="J857" s="102"/>
      <c r="K857" s="102"/>
      <c r="L857" s="102"/>
      <c r="M857" s="102"/>
      <c r="N857" s="102"/>
      <c r="O857" s="102"/>
      <c r="P857" s="102"/>
      <c r="Q857" s="102"/>
      <c r="R857" s="102"/>
    </row>
    <row r="858" spans="1:18" ht="35.1" customHeight="1" x14ac:dyDescent="0.2">
      <c r="A858" s="99"/>
      <c r="B858" s="99"/>
      <c r="C858" s="102"/>
      <c r="D858" s="102"/>
      <c r="E858" s="102"/>
      <c r="F858" s="102"/>
      <c r="G858" s="102"/>
      <c r="H858" s="102"/>
      <c r="I858" s="102"/>
      <c r="J858" s="102"/>
      <c r="K858" s="102"/>
      <c r="L858" s="102"/>
      <c r="M858" s="102"/>
      <c r="N858" s="102"/>
      <c r="O858" s="102"/>
      <c r="P858" s="102"/>
      <c r="Q858" s="102"/>
      <c r="R858" s="102"/>
    </row>
    <row r="859" spans="1:18" ht="35.1" customHeight="1" x14ac:dyDescent="0.2">
      <c r="A859" s="99"/>
      <c r="B859" s="99"/>
      <c r="C859" s="102"/>
      <c r="D859" s="102"/>
      <c r="E859" s="102"/>
      <c r="F859" s="102"/>
      <c r="G859" s="102"/>
      <c r="H859" s="102"/>
      <c r="I859" s="102"/>
      <c r="J859" s="102"/>
      <c r="K859" s="102"/>
      <c r="L859" s="102"/>
      <c r="M859" s="102"/>
      <c r="N859" s="102"/>
      <c r="O859" s="102"/>
      <c r="P859" s="102"/>
      <c r="Q859" s="102"/>
      <c r="R859" s="102"/>
    </row>
    <row r="860" spans="1:18" ht="35.1" customHeight="1" x14ac:dyDescent="0.2">
      <c r="A860" s="99"/>
      <c r="B860" s="99"/>
      <c r="C860" s="102"/>
      <c r="D860" s="102"/>
      <c r="E860" s="102"/>
      <c r="F860" s="102"/>
      <c r="G860" s="102"/>
      <c r="H860" s="102"/>
      <c r="I860" s="102"/>
      <c r="J860" s="102"/>
      <c r="K860" s="102"/>
      <c r="L860" s="102"/>
      <c r="M860" s="102"/>
      <c r="N860" s="102"/>
      <c r="O860" s="102"/>
      <c r="P860" s="102"/>
      <c r="Q860" s="102"/>
      <c r="R860" s="102"/>
    </row>
    <row r="861" spans="1:18" ht="35.1" customHeight="1" x14ac:dyDescent="0.2">
      <c r="A861" s="99"/>
      <c r="B861" s="99"/>
      <c r="C861" s="102"/>
      <c r="D861" s="102"/>
      <c r="E861" s="102"/>
      <c r="F861" s="102"/>
      <c r="G861" s="102"/>
      <c r="H861" s="102"/>
      <c r="I861" s="102"/>
      <c r="J861" s="102"/>
      <c r="K861" s="102"/>
      <c r="L861" s="102"/>
      <c r="M861" s="102"/>
      <c r="N861" s="102"/>
      <c r="O861" s="102"/>
      <c r="P861" s="102"/>
      <c r="Q861" s="102"/>
      <c r="R861" s="102"/>
    </row>
    <row r="862" spans="1:18" ht="35.1" customHeight="1" x14ac:dyDescent="0.2">
      <c r="A862" s="99"/>
      <c r="B862" s="99"/>
      <c r="C862" s="102"/>
      <c r="D862" s="102"/>
      <c r="E862" s="102"/>
      <c r="F862" s="102"/>
      <c r="G862" s="102"/>
      <c r="H862" s="102"/>
      <c r="I862" s="102"/>
      <c r="J862" s="102"/>
      <c r="K862" s="102"/>
      <c r="L862" s="102"/>
      <c r="M862" s="102"/>
      <c r="N862" s="102"/>
      <c r="O862" s="102"/>
      <c r="P862" s="102"/>
      <c r="Q862" s="102"/>
      <c r="R862" s="102"/>
    </row>
    <row r="863" spans="1:18" ht="35.1" customHeight="1" x14ac:dyDescent="0.2">
      <c r="A863" s="99"/>
      <c r="B863" s="99"/>
      <c r="C863" s="102"/>
      <c r="D863" s="102"/>
      <c r="E863" s="102"/>
      <c r="F863" s="102"/>
      <c r="G863" s="102"/>
      <c r="H863" s="102"/>
      <c r="I863" s="102"/>
      <c r="J863" s="102"/>
      <c r="K863" s="102"/>
      <c r="L863" s="102"/>
      <c r="M863" s="102"/>
      <c r="N863" s="102"/>
      <c r="O863" s="102"/>
      <c r="P863" s="102"/>
      <c r="Q863" s="102"/>
      <c r="R863" s="102"/>
    </row>
    <row r="864" spans="1:18" ht="35.1" customHeight="1" x14ac:dyDescent="0.2">
      <c r="A864" s="99"/>
      <c r="B864" s="99"/>
      <c r="C864" s="102"/>
      <c r="D864" s="102"/>
      <c r="E864" s="102"/>
      <c r="F864" s="102"/>
      <c r="G864" s="102"/>
      <c r="H864" s="102"/>
      <c r="I864" s="102"/>
      <c r="J864" s="102"/>
      <c r="K864" s="102"/>
      <c r="L864" s="102"/>
      <c r="M864" s="102"/>
      <c r="N864" s="102"/>
      <c r="O864" s="102"/>
      <c r="P864" s="102"/>
      <c r="Q864" s="102"/>
      <c r="R864" s="102"/>
    </row>
    <row r="865" spans="1:18" ht="35.1" customHeight="1" x14ac:dyDescent="0.2">
      <c r="A865" s="99"/>
      <c r="B865" s="99"/>
      <c r="C865" s="102"/>
      <c r="D865" s="102"/>
      <c r="E865" s="102"/>
      <c r="F865" s="102"/>
      <c r="G865" s="102"/>
      <c r="H865" s="102"/>
      <c r="I865" s="102"/>
      <c r="J865" s="102"/>
      <c r="K865" s="102"/>
      <c r="L865" s="102"/>
      <c r="M865" s="102"/>
      <c r="N865" s="102"/>
      <c r="O865" s="102"/>
      <c r="P865" s="102"/>
      <c r="Q865" s="102"/>
      <c r="R865" s="102"/>
    </row>
    <row r="866" spans="1:18" ht="35.1" customHeight="1" x14ac:dyDescent="0.2">
      <c r="A866" s="99"/>
      <c r="B866" s="99"/>
      <c r="C866" s="102"/>
      <c r="D866" s="102"/>
      <c r="E866" s="102"/>
      <c r="F866" s="102"/>
      <c r="G866" s="102"/>
      <c r="H866" s="102"/>
      <c r="I866" s="102"/>
      <c r="J866" s="102"/>
      <c r="K866" s="102"/>
      <c r="L866" s="102"/>
      <c r="M866" s="102"/>
      <c r="N866" s="102"/>
      <c r="O866" s="102"/>
      <c r="P866" s="102"/>
      <c r="Q866" s="102"/>
      <c r="R866" s="102"/>
    </row>
    <row r="867" spans="1:18" ht="35.1" customHeight="1" x14ac:dyDescent="0.2">
      <c r="A867" s="99"/>
      <c r="B867" s="99"/>
      <c r="C867" s="102"/>
      <c r="D867" s="102"/>
      <c r="E867" s="102"/>
      <c r="F867" s="102"/>
      <c r="G867" s="102"/>
      <c r="H867" s="102"/>
      <c r="I867" s="102"/>
      <c r="J867" s="102"/>
      <c r="K867" s="102"/>
      <c r="L867" s="102"/>
      <c r="M867" s="102"/>
      <c r="N867" s="102"/>
      <c r="O867" s="102"/>
      <c r="P867" s="102"/>
      <c r="Q867" s="102"/>
      <c r="R867" s="102"/>
    </row>
    <row r="868" spans="1:18" ht="35.1" customHeight="1" x14ac:dyDescent="0.2">
      <c r="A868" s="99"/>
      <c r="B868" s="99"/>
      <c r="C868" s="102"/>
      <c r="D868" s="102"/>
      <c r="E868" s="102"/>
      <c r="F868" s="102"/>
      <c r="G868" s="102"/>
      <c r="H868" s="102"/>
      <c r="I868" s="102"/>
      <c r="J868" s="102"/>
      <c r="K868" s="102"/>
      <c r="L868" s="102"/>
      <c r="M868" s="102"/>
      <c r="N868" s="102"/>
      <c r="O868" s="102"/>
      <c r="P868" s="102"/>
      <c r="Q868" s="102"/>
      <c r="R868" s="102"/>
    </row>
    <row r="869" spans="1:18" ht="35.1" customHeight="1" x14ac:dyDescent="0.2">
      <c r="A869" s="99"/>
      <c r="B869" s="99"/>
      <c r="C869" s="102"/>
      <c r="D869" s="102"/>
      <c r="E869" s="102"/>
      <c r="F869" s="102"/>
      <c r="G869" s="102"/>
      <c r="H869" s="102"/>
      <c r="I869" s="102"/>
      <c r="J869" s="102"/>
      <c r="K869" s="102"/>
      <c r="L869" s="102"/>
      <c r="M869" s="102"/>
      <c r="N869" s="102"/>
      <c r="O869" s="102"/>
      <c r="P869" s="102"/>
      <c r="Q869" s="102"/>
      <c r="R869" s="102"/>
    </row>
    <row r="870" spans="1:18" ht="35.1" customHeight="1" x14ac:dyDescent="0.2">
      <c r="A870" s="99"/>
      <c r="B870" s="99"/>
      <c r="C870" s="102"/>
      <c r="D870" s="102"/>
      <c r="E870" s="102"/>
      <c r="F870" s="102"/>
      <c r="G870" s="102"/>
      <c r="H870" s="102"/>
      <c r="I870" s="102"/>
      <c r="J870" s="102"/>
      <c r="K870" s="102"/>
      <c r="L870" s="102"/>
      <c r="M870" s="102"/>
      <c r="N870" s="102"/>
      <c r="O870" s="102"/>
      <c r="P870" s="102"/>
      <c r="Q870" s="102"/>
      <c r="R870" s="102"/>
    </row>
    <row r="871" spans="1:18" ht="35.1" customHeight="1" x14ac:dyDescent="0.2">
      <c r="A871" s="99"/>
      <c r="B871" s="99"/>
      <c r="C871" s="102"/>
      <c r="D871" s="102"/>
      <c r="E871" s="102"/>
      <c r="F871" s="102"/>
      <c r="G871" s="102"/>
      <c r="H871" s="102"/>
      <c r="I871" s="102"/>
      <c r="J871" s="102"/>
      <c r="K871" s="102"/>
      <c r="L871" s="102"/>
      <c r="M871" s="102"/>
      <c r="N871" s="102"/>
      <c r="O871" s="102"/>
      <c r="P871" s="102"/>
      <c r="Q871" s="102"/>
      <c r="R871" s="102"/>
    </row>
    <row r="872" spans="1:18" ht="35.1" customHeight="1" x14ac:dyDescent="0.2">
      <c r="A872" s="99"/>
      <c r="B872" s="99"/>
      <c r="C872" s="102"/>
      <c r="D872" s="102"/>
      <c r="E872" s="102"/>
      <c r="F872" s="102"/>
      <c r="G872" s="102"/>
      <c r="H872" s="102"/>
      <c r="I872" s="102"/>
      <c r="J872" s="102"/>
      <c r="K872" s="102"/>
      <c r="L872" s="102"/>
      <c r="M872" s="102"/>
      <c r="N872" s="102"/>
      <c r="O872" s="102"/>
      <c r="P872" s="102"/>
      <c r="Q872" s="102"/>
      <c r="R872" s="102"/>
    </row>
    <row r="873" spans="1:18" ht="35.1" customHeight="1" x14ac:dyDescent="0.2">
      <c r="A873" s="99"/>
      <c r="B873" s="99"/>
      <c r="C873" s="102"/>
      <c r="D873" s="102"/>
      <c r="E873" s="102"/>
      <c r="F873" s="102"/>
      <c r="G873" s="102"/>
      <c r="H873" s="102"/>
      <c r="I873" s="102"/>
      <c r="J873" s="102"/>
      <c r="K873" s="102"/>
      <c r="L873" s="102"/>
      <c r="M873" s="102"/>
      <c r="N873" s="102"/>
      <c r="O873" s="102"/>
      <c r="P873" s="102"/>
      <c r="Q873" s="102"/>
      <c r="R873" s="102"/>
    </row>
    <row r="874" spans="1:18" ht="35.1" customHeight="1" x14ac:dyDescent="0.2">
      <c r="A874" s="99"/>
      <c r="B874" s="99"/>
      <c r="C874" s="102"/>
      <c r="D874" s="102"/>
      <c r="E874" s="102"/>
      <c r="F874" s="102"/>
      <c r="G874" s="102"/>
      <c r="H874" s="102"/>
      <c r="I874" s="102"/>
      <c r="J874" s="102"/>
      <c r="K874" s="102"/>
      <c r="L874" s="102"/>
      <c r="M874" s="102"/>
      <c r="N874" s="102"/>
      <c r="O874" s="102"/>
      <c r="P874" s="102"/>
      <c r="Q874" s="102"/>
      <c r="R874" s="102"/>
    </row>
    <row r="875" spans="1:18" ht="35.1" customHeight="1" x14ac:dyDescent="0.2">
      <c r="A875" s="99"/>
      <c r="B875" s="99"/>
      <c r="C875" s="102"/>
      <c r="D875" s="102"/>
      <c r="E875" s="102"/>
      <c r="F875" s="102"/>
      <c r="G875" s="102"/>
      <c r="H875" s="102"/>
      <c r="I875" s="102"/>
      <c r="J875" s="102"/>
      <c r="K875" s="102"/>
      <c r="L875" s="102"/>
      <c r="M875" s="102"/>
      <c r="N875" s="102"/>
      <c r="O875" s="102"/>
      <c r="P875" s="102"/>
      <c r="Q875" s="102"/>
      <c r="R875" s="102"/>
    </row>
    <row r="876" spans="1:18" ht="35.1" customHeight="1" x14ac:dyDescent="0.2">
      <c r="A876" s="99"/>
      <c r="B876" s="99"/>
      <c r="C876" s="102"/>
      <c r="D876" s="102"/>
      <c r="E876" s="102"/>
      <c r="F876" s="102"/>
      <c r="G876" s="102"/>
      <c r="H876" s="102"/>
      <c r="I876" s="102"/>
      <c r="J876" s="102"/>
      <c r="K876" s="102"/>
      <c r="L876" s="102"/>
      <c r="M876" s="102"/>
      <c r="N876" s="102"/>
      <c r="O876" s="102"/>
      <c r="P876" s="102"/>
      <c r="Q876" s="102"/>
      <c r="R876" s="102"/>
    </row>
    <row r="877" spans="1:18" ht="35.1" customHeight="1" x14ac:dyDescent="0.2">
      <c r="A877" s="99"/>
      <c r="B877" s="99"/>
      <c r="C877" s="102"/>
      <c r="D877" s="102"/>
      <c r="E877" s="102"/>
      <c r="F877" s="102"/>
      <c r="G877" s="102"/>
      <c r="H877" s="102"/>
      <c r="I877" s="102"/>
      <c r="J877" s="102"/>
      <c r="K877" s="102"/>
      <c r="L877" s="102"/>
      <c r="M877" s="102"/>
      <c r="N877" s="102"/>
      <c r="O877" s="102"/>
      <c r="P877" s="102"/>
      <c r="Q877" s="102"/>
      <c r="R877" s="102"/>
    </row>
    <row r="878" spans="1:18" ht="35.1" customHeight="1" x14ac:dyDescent="0.2">
      <c r="A878" s="99"/>
      <c r="B878" s="99"/>
      <c r="C878" s="102"/>
      <c r="D878" s="102"/>
      <c r="E878" s="102"/>
      <c r="F878" s="102"/>
      <c r="G878" s="102"/>
      <c r="H878" s="102"/>
      <c r="I878" s="102"/>
      <c r="J878" s="102"/>
      <c r="K878" s="102"/>
      <c r="L878" s="102"/>
      <c r="M878" s="102"/>
      <c r="N878" s="102"/>
      <c r="O878" s="102"/>
      <c r="P878" s="102"/>
      <c r="Q878" s="102"/>
      <c r="R878" s="102"/>
    </row>
    <row r="879" spans="1:18" ht="35.1" customHeight="1" x14ac:dyDescent="0.2">
      <c r="A879" s="99"/>
      <c r="B879" s="99"/>
      <c r="C879" s="102"/>
      <c r="D879" s="102"/>
      <c r="E879" s="102"/>
      <c r="F879" s="102"/>
      <c r="G879" s="102"/>
      <c r="H879" s="102"/>
      <c r="I879" s="102"/>
      <c r="J879" s="102"/>
      <c r="K879" s="102"/>
      <c r="L879" s="102"/>
      <c r="M879" s="102"/>
      <c r="N879" s="102"/>
      <c r="O879" s="102"/>
      <c r="P879" s="102"/>
      <c r="Q879" s="102"/>
      <c r="R879" s="102"/>
    </row>
    <row r="880" spans="1:18" ht="35.1" customHeight="1" x14ac:dyDescent="0.2">
      <c r="A880" s="99"/>
      <c r="B880" s="99"/>
      <c r="C880" s="102"/>
      <c r="D880" s="102"/>
      <c r="E880" s="102"/>
      <c r="F880" s="102"/>
      <c r="G880" s="102"/>
      <c r="H880" s="102"/>
      <c r="I880" s="102"/>
      <c r="J880" s="102"/>
      <c r="K880" s="102"/>
      <c r="L880" s="102"/>
      <c r="M880" s="102"/>
      <c r="N880" s="102"/>
      <c r="O880" s="102"/>
      <c r="P880" s="102"/>
      <c r="Q880" s="102"/>
      <c r="R880" s="102"/>
    </row>
    <row r="881" spans="1:18" ht="35.1" customHeight="1" x14ac:dyDescent="0.2">
      <c r="A881" s="99"/>
      <c r="B881" s="99"/>
      <c r="C881" s="102"/>
      <c r="D881" s="102"/>
      <c r="E881" s="102"/>
      <c r="F881" s="102"/>
      <c r="G881" s="102"/>
      <c r="H881" s="102"/>
      <c r="I881" s="102"/>
      <c r="J881" s="102"/>
      <c r="K881" s="102"/>
      <c r="L881" s="102"/>
      <c r="M881" s="102"/>
      <c r="N881" s="102"/>
      <c r="O881" s="102"/>
      <c r="P881" s="102"/>
      <c r="Q881" s="102"/>
      <c r="R881" s="102"/>
    </row>
    <row r="882" spans="1:18" ht="35.1" customHeight="1" x14ac:dyDescent="0.2">
      <c r="A882" s="99"/>
      <c r="B882" s="99"/>
      <c r="C882" s="102"/>
      <c r="D882" s="102"/>
      <c r="E882" s="102"/>
      <c r="F882" s="102"/>
      <c r="G882" s="102"/>
      <c r="H882" s="102"/>
      <c r="I882" s="102"/>
      <c r="J882" s="102"/>
      <c r="K882" s="102"/>
      <c r="L882" s="102"/>
      <c r="M882" s="102"/>
      <c r="N882" s="102"/>
      <c r="O882" s="102"/>
      <c r="P882" s="102"/>
      <c r="Q882" s="102"/>
      <c r="R882" s="102"/>
    </row>
    <row r="883" spans="1:18" ht="35.1" customHeight="1" x14ac:dyDescent="0.2">
      <c r="A883" s="99"/>
      <c r="B883" s="99"/>
      <c r="C883" s="102"/>
      <c r="D883" s="102"/>
      <c r="E883" s="102"/>
      <c r="F883" s="102"/>
      <c r="G883" s="102"/>
      <c r="H883" s="102"/>
      <c r="I883" s="102"/>
      <c r="J883" s="102"/>
      <c r="K883" s="102"/>
      <c r="L883" s="102"/>
      <c r="M883" s="102"/>
      <c r="N883" s="102"/>
      <c r="O883" s="102"/>
      <c r="P883" s="102"/>
      <c r="Q883" s="102"/>
      <c r="R883" s="102"/>
    </row>
    <row r="884" spans="1:18" ht="35.1" customHeight="1" x14ac:dyDescent="0.2">
      <c r="A884" s="99"/>
      <c r="B884" s="99"/>
      <c r="C884" s="102"/>
      <c r="D884" s="102"/>
      <c r="E884" s="102"/>
      <c r="F884" s="102"/>
      <c r="G884" s="102"/>
      <c r="H884" s="102"/>
      <c r="I884" s="102"/>
      <c r="J884" s="102"/>
      <c r="K884" s="102"/>
      <c r="L884" s="102"/>
      <c r="M884" s="102"/>
      <c r="N884" s="102"/>
      <c r="O884" s="102"/>
      <c r="P884" s="102"/>
      <c r="Q884" s="102"/>
      <c r="R884" s="102"/>
    </row>
    <row r="885" spans="1:18" ht="35.1" customHeight="1" x14ac:dyDescent="0.2">
      <c r="A885" s="99"/>
      <c r="B885" s="99"/>
      <c r="C885" s="102"/>
      <c r="D885" s="102"/>
      <c r="E885" s="102"/>
      <c r="F885" s="102"/>
      <c r="G885" s="102"/>
      <c r="H885" s="102"/>
      <c r="I885" s="102"/>
      <c r="J885" s="102"/>
      <c r="K885" s="102"/>
      <c r="L885" s="102"/>
      <c r="M885" s="102"/>
      <c r="N885" s="102"/>
      <c r="O885" s="102"/>
      <c r="P885" s="102"/>
      <c r="Q885" s="102"/>
      <c r="R885" s="102"/>
    </row>
    <row r="886" spans="1:18" ht="35.1" customHeight="1" x14ac:dyDescent="0.2">
      <c r="A886" s="99"/>
      <c r="B886" s="99"/>
      <c r="C886" s="102"/>
      <c r="D886" s="102"/>
      <c r="E886" s="102"/>
      <c r="F886" s="102"/>
      <c r="G886" s="102"/>
      <c r="H886" s="102"/>
      <c r="I886" s="102"/>
      <c r="J886" s="102"/>
      <c r="K886" s="102"/>
      <c r="L886" s="102"/>
      <c r="M886" s="102"/>
      <c r="N886" s="102"/>
      <c r="O886" s="102"/>
      <c r="P886" s="102"/>
      <c r="Q886" s="102"/>
      <c r="R886" s="102"/>
    </row>
    <row r="887" spans="1:18" ht="35.1" customHeight="1" x14ac:dyDescent="0.2">
      <c r="A887" s="99"/>
      <c r="B887" s="99"/>
      <c r="C887" s="102"/>
      <c r="D887" s="102"/>
      <c r="E887" s="102"/>
      <c r="F887" s="102"/>
      <c r="G887" s="102"/>
      <c r="H887" s="102"/>
      <c r="I887" s="102"/>
      <c r="J887" s="102"/>
      <c r="K887" s="102"/>
      <c r="L887" s="102"/>
      <c r="M887" s="102"/>
      <c r="N887" s="102"/>
      <c r="O887" s="102"/>
      <c r="P887" s="102"/>
      <c r="Q887" s="102"/>
      <c r="R887" s="102"/>
    </row>
    <row r="888" spans="1:18" ht="35.1" customHeight="1" x14ac:dyDescent="0.2">
      <c r="A888" s="99"/>
      <c r="B888" s="99"/>
      <c r="C888" s="102"/>
      <c r="D888" s="102"/>
      <c r="E888" s="102"/>
      <c r="F888" s="102"/>
      <c r="G888" s="102"/>
      <c r="H888" s="102"/>
      <c r="I888" s="102"/>
      <c r="J888" s="102"/>
      <c r="K888" s="102"/>
      <c r="L888" s="102"/>
      <c r="M888" s="102"/>
      <c r="N888" s="102"/>
      <c r="O888" s="102"/>
      <c r="P888" s="102"/>
      <c r="Q888" s="102"/>
      <c r="R888" s="102"/>
    </row>
    <row r="889" spans="1:18" ht="35.1" customHeight="1" x14ac:dyDescent="0.2">
      <c r="A889" s="99"/>
      <c r="B889" s="99"/>
      <c r="C889" s="102"/>
      <c r="D889" s="102"/>
      <c r="E889" s="102"/>
      <c r="F889" s="102"/>
      <c r="G889" s="102"/>
      <c r="H889" s="102"/>
      <c r="I889" s="102"/>
      <c r="J889" s="102"/>
      <c r="K889" s="102"/>
      <c r="L889" s="102"/>
      <c r="M889" s="102"/>
      <c r="N889" s="102"/>
      <c r="O889" s="102"/>
      <c r="P889" s="102"/>
      <c r="Q889" s="102"/>
      <c r="R889" s="102"/>
    </row>
    <row r="890" spans="1:18" ht="35.1" customHeight="1" x14ac:dyDescent="0.2">
      <c r="A890" s="99"/>
      <c r="B890" s="99"/>
      <c r="C890" s="102"/>
      <c r="D890" s="102"/>
      <c r="E890" s="102"/>
      <c r="F890" s="102"/>
      <c r="G890" s="102"/>
      <c r="H890" s="102"/>
      <c r="I890" s="102"/>
      <c r="J890" s="102"/>
      <c r="K890" s="102"/>
      <c r="L890" s="102"/>
      <c r="M890" s="102"/>
      <c r="N890" s="102"/>
      <c r="O890" s="102"/>
      <c r="P890" s="102"/>
      <c r="Q890" s="102"/>
      <c r="R890" s="102"/>
    </row>
    <row r="891" spans="1:18" ht="35.1" customHeight="1" x14ac:dyDescent="0.2">
      <c r="A891" s="99"/>
      <c r="B891" s="99"/>
      <c r="C891" s="102"/>
      <c r="D891" s="102"/>
      <c r="E891" s="102"/>
      <c r="F891" s="102"/>
      <c r="G891" s="102"/>
      <c r="H891" s="102"/>
      <c r="I891" s="102"/>
      <c r="J891" s="102"/>
      <c r="K891" s="102"/>
      <c r="L891" s="102"/>
      <c r="M891" s="102"/>
      <c r="N891" s="102"/>
      <c r="O891" s="102"/>
      <c r="P891" s="102"/>
      <c r="Q891" s="102"/>
      <c r="R891" s="102"/>
    </row>
    <row r="892" spans="1:18" ht="35.1" customHeight="1" x14ac:dyDescent="0.2">
      <c r="A892" s="99"/>
      <c r="B892" s="99"/>
      <c r="C892" s="102"/>
      <c r="D892" s="102"/>
      <c r="E892" s="102"/>
      <c r="F892" s="102"/>
      <c r="G892" s="102"/>
      <c r="H892" s="102"/>
      <c r="I892" s="102"/>
      <c r="J892" s="102"/>
      <c r="K892" s="102"/>
      <c r="L892" s="102"/>
      <c r="M892" s="102"/>
      <c r="N892" s="102"/>
      <c r="O892" s="102"/>
      <c r="P892" s="102"/>
      <c r="Q892" s="102"/>
      <c r="R892" s="102"/>
    </row>
    <row r="893" spans="1:18" ht="35.1" customHeight="1" x14ac:dyDescent="0.2">
      <c r="A893" s="99"/>
      <c r="B893" s="99"/>
      <c r="C893" s="102"/>
      <c r="D893" s="102"/>
      <c r="E893" s="102"/>
      <c r="F893" s="102"/>
      <c r="G893" s="102"/>
      <c r="H893" s="102"/>
      <c r="I893" s="102"/>
      <c r="J893" s="102"/>
      <c r="K893" s="102"/>
      <c r="L893" s="102"/>
      <c r="M893" s="102"/>
      <c r="N893" s="102"/>
      <c r="O893" s="102"/>
      <c r="P893" s="102"/>
      <c r="Q893" s="102"/>
      <c r="R893" s="102"/>
    </row>
    <row r="894" spans="1:18" ht="35.1" customHeight="1" x14ac:dyDescent="0.2">
      <c r="A894" s="99"/>
      <c r="B894" s="99"/>
      <c r="C894" s="102"/>
      <c r="D894" s="102"/>
      <c r="E894" s="102"/>
      <c r="F894" s="102"/>
      <c r="G894" s="102"/>
      <c r="H894" s="102"/>
      <c r="I894" s="102"/>
      <c r="J894" s="102"/>
      <c r="K894" s="102"/>
      <c r="L894" s="102"/>
      <c r="M894" s="102"/>
      <c r="N894" s="102"/>
      <c r="O894" s="102"/>
      <c r="P894" s="102"/>
      <c r="Q894" s="102"/>
      <c r="R894" s="102"/>
    </row>
    <row r="895" spans="1:18" ht="35.1" customHeight="1" x14ac:dyDescent="0.2">
      <c r="A895" s="99"/>
      <c r="B895" s="99"/>
      <c r="C895" s="102"/>
      <c r="D895" s="102"/>
      <c r="E895" s="102"/>
      <c r="F895" s="102"/>
      <c r="G895" s="102"/>
      <c r="H895" s="102"/>
      <c r="I895" s="102"/>
      <c r="J895" s="102"/>
      <c r="K895" s="102"/>
      <c r="L895" s="102"/>
      <c r="M895" s="102"/>
      <c r="N895" s="102"/>
      <c r="O895" s="102"/>
      <c r="P895" s="102"/>
      <c r="Q895" s="102"/>
      <c r="R895" s="102"/>
    </row>
    <row r="896" spans="1:18" ht="35.1" customHeight="1" x14ac:dyDescent="0.2">
      <c r="A896" s="99"/>
      <c r="B896" s="99"/>
      <c r="C896" s="102"/>
      <c r="D896" s="102"/>
      <c r="E896" s="102"/>
      <c r="F896" s="102"/>
      <c r="G896" s="102"/>
      <c r="H896" s="102"/>
      <c r="I896" s="102"/>
      <c r="J896" s="102"/>
      <c r="K896" s="102"/>
      <c r="L896" s="102"/>
      <c r="M896" s="102"/>
      <c r="N896" s="102"/>
      <c r="O896" s="102"/>
      <c r="P896" s="102"/>
      <c r="Q896" s="102"/>
      <c r="R896" s="102"/>
    </row>
    <row r="897" spans="1:18" ht="35.1" customHeight="1" x14ac:dyDescent="0.2">
      <c r="A897" s="99"/>
      <c r="B897" s="99"/>
      <c r="C897" s="102"/>
      <c r="D897" s="102"/>
      <c r="E897" s="102"/>
      <c r="F897" s="102"/>
      <c r="G897" s="102"/>
      <c r="H897" s="102"/>
      <c r="I897" s="102"/>
      <c r="J897" s="102"/>
      <c r="K897" s="102"/>
      <c r="L897" s="102"/>
      <c r="M897" s="102"/>
      <c r="N897" s="102"/>
      <c r="O897" s="102"/>
      <c r="P897" s="102"/>
      <c r="Q897" s="102"/>
      <c r="R897" s="102"/>
    </row>
    <row r="898" spans="1:18" ht="35.1" customHeight="1" x14ac:dyDescent="0.2">
      <c r="A898" s="99"/>
      <c r="B898" s="99"/>
      <c r="C898" s="102"/>
      <c r="D898" s="102"/>
      <c r="E898" s="102"/>
      <c r="F898" s="102"/>
      <c r="G898" s="102"/>
      <c r="H898" s="102"/>
      <c r="I898" s="102"/>
      <c r="J898" s="102"/>
      <c r="K898" s="102"/>
      <c r="L898" s="102"/>
      <c r="M898" s="102"/>
      <c r="N898" s="102"/>
      <c r="O898" s="102"/>
      <c r="P898" s="102"/>
      <c r="Q898" s="102"/>
      <c r="R898" s="102"/>
    </row>
    <row r="899" spans="1:18" ht="35.1" customHeight="1" x14ac:dyDescent="0.2">
      <c r="A899" s="99"/>
      <c r="B899" s="99"/>
      <c r="C899" s="102"/>
      <c r="D899" s="102"/>
      <c r="E899" s="102"/>
      <c r="F899" s="102"/>
      <c r="G899" s="102"/>
      <c r="H899" s="102"/>
      <c r="I899" s="102"/>
      <c r="J899" s="102"/>
      <c r="K899" s="102"/>
      <c r="L899" s="102"/>
      <c r="M899" s="102"/>
      <c r="N899" s="102"/>
      <c r="O899" s="102"/>
      <c r="P899" s="102"/>
      <c r="Q899" s="102"/>
      <c r="R899" s="102"/>
    </row>
    <row r="900" spans="1:18" ht="35.1" customHeight="1" x14ac:dyDescent="0.2">
      <c r="A900" s="99"/>
      <c r="B900" s="99"/>
      <c r="C900" s="102"/>
      <c r="D900" s="102"/>
      <c r="E900" s="102"/>
      <c r="F900" s="102"/>
      <c r="G900" s="102"/>
      <c r="H900" s="102"/>
      <c r="I900" s="102"/>
      <c r="J900" s="102"/>
      <c r="K900" s="102"/>
      <c r="L900" s="102"/>
      <c r="M900" s="102"/>
      <c r="N900" s="102"/>
      <c r="O900" s="102"/>
      <c r="P900" s="102"/>
      <c r="Q900" s="102"/>
      <c r="R900" s="102"/>
    </row>
    <row r="901" spans="1:18" ht="35.1" customHeight="1" x14ac:dyDescent="0.2">
      <c r="A901" s="99"/>
      <c r="B901" s="99"/>
      <c r="C901" s="102"/>
      <c r="D901" s="102"/>
      <c r="E901" s="102"/>
      <c r="F901" s="102"/>
      <c r="G901" s="102"/>
      <c r="H901" s="102"/>
      <c r="I901" s="102"/>
      <c r="J901" s="102"/>
      <c r="K901" s="102"/>
      <c r="L901" s="102"/>
      <c r="M901" s="102"/>
      <c r="N901" s="102"/>
      <c r="O901" s="102"/>
      <c r="P901" s="102"/>
      <c r="Q901" s="102"/>
      <c r="R901" s="102"/>
    </row>
    <row r="902" spans="1:18" ht="35.1" customHeight="1" x14ac:dyDescent="0.2">
      <c r="A902" s="99"/>
      <c r="B902" s="99"/>
      <c r="C902" s="102"/>
      <c r="D902" s="102"/>
      <c r="E902" s="102"/>
      <c r="F902" s="102"/>
      <c r="G902" s="102"/>
      <c r="H902" s="102"/>
      <c r="I902" s="102"/>
      <c r="J902" s="102"/>
      <c r="K902" s="102"/>
      <c r="L902" s="102"/>
      <c r="M902" s="102"/>
      <c r="N902" s="102"/>
      <c r="O902" s="102"/>
      <c r="P902" s="102"/>
      <c r="Q902" s="102"/>
      <c r="R902" s="102"/>
    </row>
    <row r="903" spans="1:18" ht="35.1" customHeight="1" x14ac:dyDescent="0.2">
      <c r="A903" s="99"/>
      <c r="B903" s="99"/>
      <c r="C903" s="102"/>
      <c r="D903" s="102"/>
      <c r="E903" s="102"/>
      <c r="F903" s="102"/>
      <c r="G903" s="102"/>
      <c r="H903" s="102"/>
      <c r="I903" s="102"/>
      <c r="J903" s="102"/>
      <c r="K903" s="102"/>
      <c r="L903" s="102"/>
      <c r="M903" s="102"/>
      <c r="N903" s="102"/>
      <c r="O903" s="102"/>
      <c r="P903" s="102"/>
      <c r="Q903" s="102"/>
      <c r="R903" s="102"/>
    </row>
    <row r="904" spans="1:18" ht="35.1" customHeight="1" x14ac:dyDescent="0.2">
      <c r="A904" s="99"/>
      <c r="B904" s="99"/>
      <c r="C904" s="102"/>
      <c r="D904" s="102"/>
      <c r="E904" s="102"/>
      <c r="F904" s="102"/>
      <c r="G904" s="102"/>
      <c r="H904" s="102"/>
      <c r="I904" s="102"/>
      <c r="J904" s="102"/>
      <c r="K904" s="102"/>
      <c r="L904" s="102"/>
      <c r="M904" s="102"/>
      <c r="N904" s="102"/>
      <c r="O904" s="102"/>
      <c r="P904" s="102"/>
      <c r="Q904" s="102"/>
      <c r="R904" s="102"/>
    </row>
    <row r="905" spans="1:18" ht="35.1" customHeight="1" x14ac:dyDescent="0.2">
      <c r="A905" s="99"/>
      <c r="B905" s="99"/>
      <c r="C905" s="102"/>
      <c r="D905" s="102"/>
      <c r="E905" s="102"/>
      <c r="F905" s="102"/>
      <c r="G905" s="102"/>
      <c r="H905" s="102"/>
      <c r="I905" s="102"/>
      <c r="J905" s="102"/>
      <c r="K905" s="102"/>
      <c r="L905" s="102"/>
      <c r="M905" s="102"/>
      <c r="N905" s="102"/>
      <c r="O905" s="102"/>
      <c r="P905" s="102"/>
      <c r="Q905" s="102"/>
      <c r="R905" s="102"/>
    </row>
    <row r="906" spans="1:18" ht="35.1" customHeight="1" x14ac:dyDescent="0.2">
      <c r="A906" s="99"/>
      <c r="B906" s="99"/>
      <c r="C906" s="102"/>
      <c r="D906" s="102"/>
      <c r="E906" s="102"/>
      <c r="F906" s="102"/>
      <c r="G906" s="102"/>
      <c r="H906" s="102"/>
      <c r="I906" s="102"/>
      <c r="J906" s="102"/>
      <c r="K906" s="102"/>
      <c r="L906" s="102"/>
      <c r="M906" s="102"/>
      <c r="N906" s="102"/>
      <c r="O906" s="102"/>
      <c r="P906" s="102"/>
      <c r="Q906" s="102"/>
      <c r="R906" s="102"/>
    </row>
    <row r="907" spans="1:18" ht="35.1" customHeight="1" x14ac:dyDescent="0.2">
      <c r="A907" s="99"/>
      <c r="B907" s="99"/>
      <c r="C907" s="102"/>
      <c r="D907" s="102"/>
      <c r="E907" s="102"/>
      <c r="F907" s="102"/>
      <c r="G907" s="102"/>
      <c r="H907" s="102"/>
      <c r="I907" s="102"/>
      <c r="J907" s="102"/>
      <c r="K907" s="102"/>
      <c r="L907" s="102"/>
      <c r="M907" s="102"/>
      <c r="N907" s="102"/>
      <c r="O907" s="102"/>
      <c r="P907" s="102"/>
      <c r="Q907" s="102"/>
      <c r="R907" s="102"/>
    </row>
    <row r="908" spans="1:18" ht="35.1" customHeight="1" x14ac:dyDescent="0.2">
      <c r="A908" s="99"/>
      <c r="B908" s="99"/>
      <c r="C908" s="102"/>
      <c r="D908" s="102"/>
      <c r="E908" s="102"/>
      <c r="F908" s="102"/>
      <c r="G908" s="102"/>
      <c r="H908" s="102"/>
      <c r="I908" s="102"/>
      <c r="J908" s="102"/>
      <c r="K908" s="102"/>
      <c r="L908" s="102"/>
      <c r="M908" s="102"/>
      <c r="N908" s="102"/>
      <c r="O908" s="102"/>
      <c r="P908" s="102"/>
      <c r="Q908" s="102"/>
      <c r="R908" s="102"/>
    </row>
    <row r="909" spans="1:18" ht="35.1" customHeight="1" x14ac:dyDescent="0.2">
      <c r="A909" s="99"/>
      <c r="B909" s="99"/>
      <c r="C909" s="102"/>
      <c r="D909" s="102"/>
      <c r="E909" s="102"/>
      <c r="F909" s="102"/>
      <c r="G909" s="102"/>
      <c r="H909" s="102"/>
      <c r="I909" s="102"/>
      <c r="J909" s="102"/>
      <c r="K909" s="102"/>
      <c r="L909" s="102"/>
      <c r="M909" s="102"/>
      <c r="N909" s="102"/>
      <c r="O909" s="102"/>
      <c r="P909" s="102"/>
      <c r="Q909" s="102"/>
      <c r="R909" s="102"/>
    </row>
    <row r="910" spans="1:18" ht="35.1" customHeight="1" x14ac:dyDescent="0.2">
      <c r="A910" s="99"/>
      <c r="B910" s="99"/>
      <c r="C910" s="102"/>
      <c r="D910" s="102"/>
      <c r="E910" s="102"/>
      <c r="F910" s="102"/>
      <c r="G910" s="102"/>
      <c r="H910" s="102"/>
      <c r="I910" s="102"/>
      <c r="J910" s="102"/>
      <c r="K910" s="102"/>
      <c r="L910" s="102"/>
      <c r="M910" s="102"/>
      <c r="N910" s="102"/>
      <c r="O910" s="102"/>
      <c r="P910" s="102"/>
      <c r="Q910" s="102"/>
      <c r="R910" s="102"/>
    </row>
    <row r="911" spans="1:18" ht="35.1" customHeight="1" x14ac:dyDescent="0.2">
      <c r="A911" s="99"/>
      <c r="B911" s="99"/>
      <c r="C911" s="102"/>
      <c r="D911" s="102"/>
      <c r="E911" s="102"/>
      <c r="F911" s="102"/>
      <c r="G911" s="102"/>
      <c r="H911" s="102"/>
      <c r="I911" s="102"/>
      <c r="J911" s="102"/>
      <c r="K911" s="102"/>
      <c r="L911" s="102"/>
      <c r="M911" s="102"/>
      <c r="N911" s="102"/>
      <c r="O911" s="102"/>
      <c r="P911" s="102"/>
      <c r="Q911" s="102"/>
      <c r="R911" s="102"/>
    </row>
    <row r="912" spans="1:18" ht="35.1" customHeight="1" x14ac:dyDescent="0.2">
      <c r="A912" s="99"/>
      <c r="B912" s="99"/>
      <c r="C912" s="102"/>
      <c r="D912" s="102"/>
      <c r="E912" s="102"/>
      <c r="F912" s="102"/>
      <c r="G912" s="102"/>
      <c r="H912" s="102"/>
      <c r="I912" s="102"/>
      <c r="J912" s="102"/>
      <c r="K912" s="102"/>
      <c r="L912" s="102"/>
      <c r="M912" s="102"/>
      <c r="N912" s="102"/>
      <c r="O912" s="102"/>
      <c r="P912" s="102"/>
      <c r="Q912" s="102"/>
      <c r="R912" s="102"/>
    </row>
    <row r="913" spans="1:18" ht="35.1" customHeight="1" x14ac:dyDescent="0.2">
      <c r="A913" s="99"/>
      <c r="B913" s="99"/>
      <c r="C913" s="102"/>
      <c r="D913" s="102"/>
      <c r="E913" s="102"/>
      <c r="F913" s="102"/>
      <c r="G913" s="102"/>
      <c r="H913" s="102"/>
      <c r="I913" s="102"/>
      <c r="J913" s="102"/>
      <c r="K913" s="102"/>
      <c r="L913" s="102"/>
      <c r="M913" s="102"/>
      <c r="N913" s="102"/>
      <c r="O913" s="102"/>
      <c r="P913" s="102"/>
      <c r="Q913" s="102"/>
      <c r="R913" s="102"/>
    </row>
    <row r="914" spans="1:18" ht="35.1" customHeight="1" x14ac:dyDescent="0.2">
      <c r="A914" s="99"/>
      <c r="B914" s="99"/>
      <c r="C914" s="102"/>
      <c r="D914" s="102"/>
      <c r="E914" s="102"/>
      <c r="F914" s="102"/>
      <c r="G914" s="102"/>
      <c r="H914" s="102"/>
      <c r="I914" s="102"/>
      <c r="J914" s="102"/>
      <c r="K914" s="102"/>
      <c r="L914" s="102"/>
      <c r="M914" s="102"/>
      <c r="N914" s="102"/>
      <c r="O914" s="102"/>
      <c r="P914" s="102"/>
      <c r="Q914" s="102"/>
      <c r="R914" s="102"/>
    </row>
    <row r="915" spans="1:18" ht="35.1" customHeight="1" x14ac:dyDescent="0.2">
      <c r="A915" s="99"/>
      <c r="B915" s="99"/>
      <c r="C915" s="102"/>
      <c r="D915" s="102"/>
      <c r="E915" s="102"/>
      <c r="F915" s="102"/>
      <c r="G915" s="102"/>
      <c r="H915" s="102"/>
      <c r="I915" s="102"/>
      <c r="J915" s="102"/>
      <c r="K915" s="102"/>
      <c r="L915" s="102"/>
      <c r="M915" s="102"/>
      <c r="N915" s="102"/>
      <c r="O915" s="102"/>
      <c r="P915" s="102"/>
      <c r="Q915" s="102"/>
      <c r="R915" s="102"/>
    </row>
    <row r="916" spans="1:18" ht="35.1" customHeight="1" x14ac:dyDescent="0.2">
      <c r="A916" s="99"/>
      <c r="B916" s="99"/>
      <c r="C916" s="102"/>
      <c r="D916" s="102"/>
      <c r="E916" s="102"/>
      <c r="F916" s="102"/>
      <c r="G916" s="102"/>
      <c r="H916" s="102"/>
      <c r="I916" s="102"/>
      <c r="J916" s="102"/>
      <c r="K916" s="102"/>
      <c r="L916" s="102"/>
      <c r="M916" s="102"/>
      <c r="N916" s="102"/>
      <c r="O916" s="102"/>
      <c r="P916" s="102"/>
      <c r="Q916" s="102"/>
      <c r="R916" s="102"/>
    </row>
    <row r="917" spans="1:18" ht="35.1" customHeight="1" x14ac:dyDescent="0.2">
      <c r="A917" s="99"/>
      <c r="B917" s="99"/>
      <c r="C917" s="102"/>
      <c r="D917" s="102"/>
      <c r="E917" s="102"/>
      <c r="F917" s="102"/>
      <c r="G917" s="102"/>
      <c r="H917" s="102"/>
      <c r="I917" s="102"/>
      <c r="J917" s="102"/>
      <c r="K917" s="102"/>
      <c r="L917" s="102"/>
      <c r="M917" s="102"/>
      <c r="N917" s="102"/>
      <c r="O917" s="102"/>
      <c r="P917" s="102"/>
      <c r="Q917" s="102"/>
      <c r="R917" s="102"/>
    </row>
    <row r="918" spans="1:18" ht="35.1" customHeight="1" x14ac:dyDescent="0.2">
      <c r="A918" s="99"/>
      <c r="B918" s="99"/>
      <c r="C918" s="102"/>
      <c r="D918" s="102"/>
      <c r="E918" s="102"/>
      <c r="F918" s="102"/>
      <c r="G918" s="102"/>
      <c r="H918" s="102"/>
      <c r="I918" s="102"/>
      <c r="J918" s="102"/>
      <c r="K918" s="102"/>
      <c r="L918" s="102"/>
      <c r="M918" s="102"/>
      <c r="N918" s="102"/>
      <c r="O918" s="102"/>
      <c r="P918" s="102"/>
      <c r="Q918" s="102"/>
      <c r="R918" s="102"/>
    </row>
    <row r="919" spans="1:18" ht="35.1" customHeight="1" x14ac:dyDescent="0.2">
      <c r="A919" s="99"/>
      <c r="B919" s="99"/>
      <c r="C919" s="102"/>
      <c r="D919" s="102"/>
      <c r="E919" s="102"/>
      <c r="F919" s="102"/>
      <c r="G919" s="102"/>
      <c r="H919" s="102"/>
      <c r="I919" s="102"/>
      <c r="J919" s="102"/>
      <c r="K919" s="102"/>
      <c r="L919" s="102"/>
      <c r="M919" s="102"/>
      <c r="N919" s="102"/>
      <c r="O919" s="102"/>
      <c r="P919" s="102"/>
      <c r="Q919" s="102"/>
      <c r="R919" s="102"/>
    </row>
    <row r="920" spans="1:18" ht="35.1" customHeight="1" x14ac:dyDescent="0.2">
      <c r="A920" s="99"/>
      <c r="B920" s="99"/>
      <c r="C920" s="102"/>
      <c r="D920" s="102"/>
      <c r="E920" s="102"/>
      <c r="F920" s="102"/>
      <c r="G920" s="102"/>
      <c r="H920" s="102"/>
      <c r="I920" s="102"/>
      <c r="J920" s="102"/>
      <c r="K920" s="102"/>
      <c r="L920" s="102"/>
      <c r="M920" s="102"/>
      <c r="N920" s="102"/>
      <c r="O920" s="102"/>
      <c r="P920" s="102"/>
      <c r="Q920" s="102"/>
      <c r="R920" s="102"/>
    </row>
    <row r="921" spans="1:18" ht="35.1" customHeight="1" x14ac:dyDescent="0.2">
      <c r="A921" s="99"/>
      <c r="B921" s="99"/>
      <c r="C921" s="102"/>
      <c r="D921" s="102"/>
      <c r="E921" s="102"/>
      <c r="F921" s="102"/>
      <c r="G921" s="102"/>
      <c r="H921" s="102"/>
      <c r="I921" s="102"/>
      <c r="J921" s="102"/>
      <c r="K921" s="102"/>
      <c r="L921" s="102"/>
      <c r="M921" s="102"/>
      <c r="N921" s="102"/>
      <c r="O921" s="102"/>
      <c r="P921" s="102"/>
      <c r="Q921" s="102"/>
      <c r="R921" s="102"/>
    </row>
    <row r="922" spans="1:18" ht="35.1" customHeight="1" x14ac:dyDescent="0.2">
      <c r="A922" s="99"/>
      <c r="B922" s="99"/>
      <c r="C922" s="102"/>
      <c r="D922" s="102"/>
      <c r="E922" s="102"/>
      <c r="F922" s="102"/>
      <c r="G922" s="102"/>
      <c r="H922" s="102"/>
      <c r="I922" s="102"/>
      <c r="J922" s="102"/>
      <c r="K922" s="102"/>
      <c r="L922" s="102"/>
      <c r="M922" s="102"/>
      <c r="N922" s="102"/>
      <c r="O922" s="102"/>
      <c r="P922" s="102"/>
      <c r="Q922" s="102"/>
      <c r="R922" s="102"/>
    </row>
    <row r="923" spans="1:18" ht="35.1" customHeight="1" x14ac:dyDescent="0.2">
      <c r="A923" s="99"/>
      <c r="B923" s="99"/>
      <c r="C923" s="102"/>
      <c r="D923" s="102"/>
      <c r="E923" s="102"/>
      <c r="F923" s="102"/>
      <c r="G923" s="102"/>
      <c r="H923" s="102"/>
      <c r="I923" s="102"/>
      <c r="J923" s="102"/>
      <c r="K923" s="102"/>
      <c r="L923" s="102"/>
      <c r="M923" s="102"/>
      <c r="N923" s="102"/>
      <c r="O923" s="102"/>
      <c r="P923" s="102"/>
      <c r="Q923" s="102"/>
      <c r="R923" s="102"/>
    </row>
    <row r="924" spans="1:18" ht="35.1" customHeight="1" x14ac:dyDescent="0.2">
      <c r="A924" s="99"/>
      <c r="B924" s="99"/>
      <c r="C924" s="102"/>
      <c r="D924" s="102"/>
      <c r="E924" s="102"/>
      <c r="F924" s="102"/>
      <c r="G924" s="102"/>
      <c r="H924" s="102"/>
      <c r="I924" s="102"/>
      <c r="J924" s="102"/>
      <c r="K924" s="102"/>
      <c r="L924" s="102"/>
      <c r="M924" s="102"/>
      <c r="N924" s="102"/>
      <c r="O924" s="102"/>
      <c r="P924" s="102"/>
      <c r="Q924" s="102"/>
      <c r="R924" s="102"/>
    </row>
    <row r="925" spans="1:18" ht="35.1" customHeight="1" x14ac:dyDescent="0.2">
      <c r="A925" s="99"/>
      <c r="B925" s="99"/>
      <c r="C925" s="102"/>
      <c r="D925" s="102"/>
      <c r="E925" s="102"/>
      <c r="F925" s="102"/>
      <c r="G925" s="102"/>
      <c r="H925" s="102"/>
      <c r="I925" s="102"/>
      <c r="J925" s="102"/>
      <c r="K925" s="102"/>
      <c r="L925" s="102"/>
      <c r="M925" s="102"/>
      <c r="N925" s="102"/>
      <c r="O925" s="102"/>
      <c r="P925" s="102"/>
      <c r="Q925" s="102"/>
      <c r="R925" s="102"/>
    </row>
    <row r="926" spans="1:18" ht="35.1" customHeight="1" x14ac:dyDescent="0.2">
      <c r="A926" s="99"/>
      <c r="B926" s="99"/>
      <c r="C926" s="102"/>
      <c r="D926" s="102"/>
      <c r="E926" s="102"/>
      <c r="F926" s="102"/>
      <c r="G926" s="102"/>
      <c r="H926" s="102"/>
      <c r="I926" s="102"/>
      <c r="J926" s="102"/>
      <c r="K926" s="102"/>
      <c r="L926" s="102"/>
      <c r="M926" s="102"/>
      <c r="N926" s="102"/>
      <c r="O926" s="102"/>
      <c r="P926" s="102"/>
      <c r="Q926" s="102"/>
      <c r="R926" s="102"/>
    </row>
    <row r="927" spans="1:18" ht="35.1" customHeight="1" x14ac:dyDescent="0.2">
      <c r="A927" s="99"/>
      <c r="B927" s="99"/>
      <c r="C927" s="102"/>
      <c r="D927" s="102"/>
      <c r="E927" s="102"/>
      <c r="F927" s="102"/>
      <c r="G927" s="102"/>
      <c r="H927" s="102"/>
      <c r="I927" s="102"/>
      <c r="J927" s="102"/>
      <c r="K927" s="102"/>
      <c r="L927" s="102"/>
      <c r="M927" s="102"/>
      <c r="N927" s="102"/>
      <c r="O927" s="102"/>
      <c r="P927" s="102"/>
      <c r="Q927" s="102"/>
      <c r="R927" s="102"/>
    </row>
    <row r="928" spans="1:18" ht="35.1" customHeight="1" x14ac:dyDescent="0.2">
      <c r="A928" s="99"/>
      <c r="B928" s="99"/>
      <c r="C928" s="102"/>
      <c r="D928" s="102"/>
      <c r="E928" s="102"/>
      <c r="F928" s="102"/>
      <c r="G928" s="102"/>
      <c r="H928" s="102"/>
      <c r="I928" s="102"/>
      <c r="J928" s="102"/>
      <c r="K928" s="102"/>
      <c r="L928" s="102"/>
      <c r="M928" s="102"/>
      <c r="N928" s="102"/>
      <c r="O928" s="102"/>
      <c r="P928" s="102"/>
      <c r="Q928" s="102"/>
      <c r="R928" s="102"/>
    </row>
    <row r="929" spans="1:18" ht="35.1" customHeight="1" x14ac:dyDescent="0.2">
      <c r="A929" s="99"/>
      <c r="B929" s="99"/>
      <c r="C929" s="102"/>
      <c r="D929" s="102"/>
      <c r="E929" s="102"/>
      <c r="F929" s="102"/>
      <c r="G929" s="102"/>
      <c r="H929" s="102"/>
      <c r="I929" s="102"/>
      <c r="J929" s="102"/>
      <c r="K929" s="102"/>
      <c r="L929" s="102"/>
      <c r="M929" s="102"/>
      <c r="N929" s="102"/>
      <c r="O929" s="102"/>
      <c r="P929" s="102"/>
      <c r="Q929" s="102"/>
      <c r="R929" s="102"/>
    </row>
    <row r="930" spans="1:18" ht="35.1" customHeight="1" x14ac:dyDescent="0.2">
      <c r="A930" s="99"/>
      <c r="B930" s="99"/>
      <c r="C930" s="102"/>
      <c r="D930" s="102"/>
      <c r="E930" s="102"/>
      <c r="F930" s="102"/>
      <c r="G930" s="102"/>
      <c r="H930" s="102"/>
      <c r="I930" s="102"/>
      <c r="J930" s="102"/>
      <c r="K930" s="102"/>
      <c r="L930" s="102"/>
      <c r="M930" s="102"/>
      <c r="N930" s="102"/>
      <c r="O930" s="102"/>
      <c r="P930" s="102"/>
      <c r="Q930" s="102"/>
      <c r="R930" s="102"/>
    </row>
    <row r="931" spans="1:18" ht="35.1" customHeight="1" x14ac:dyDescent="0.2">
      <c r="A931" s="99"/>
      <c r="B931" s="99"/>
      <c r="C931" s="102"/>
      <c r="D931" s="102"/>
      <c r="E931" s="102"/>
      <c r="F931" s="102"/>
      <c r="G931" s="102"/>
      <c r="H931" s="102"/>
      <c r="I931" s="102"/>
      <c r="J931" s="102"/>
      <c r="K931" s="102"/>
      <c r="L931" s="102"/>
      <c r="M931" s="102"/>
      <c r="N931" s="102"/>
      <c r="O931" s="102"/>
      <c r="P931" s="102"/>
      <c r="Q931" s="102"/>
      <c r="R931" s="102"/>
    </row>
    <row r="932" spans="1:18" ht="35.1" customHeight="1" x14ac:dyDescent="0.2">
      <c r="A932" s="99"/>
      <c r="B932" s="99"/>
      <c r="C932" s="102"/>
      <c r="D932" s="102"/>
      <c r="E932" s="102"/>
      <c r="F932" s="102"/>
      <c r="G932" s="102"/>
      <c r="H932" s="102"/>
      <c r="I932" s="102"/>
      <c r="J932" s="102"/>
      <c r="K932" s="102"/>
      <c r="L932" s="102"/>
      <c r="M932" s="102"/>
      <c r="N932" s="102"/>
      <c r="O932" s="102"/>
      <c r="P932" s="102"/>
      <c r="Q932" s="102"/>
      <c r="R932" s="102"/>
    </row>
    <row r="933" spans="1:18" ht="35.1" customHeight="1" x14ac:dyDescent="0.2">
      <c r="A933" s="99"/>
      <c r="B933" s="99"/>
      <c r="C933" s="102"/>
      <c r="D933" s="102"/>
      <c r="E933" s="102"/>
      <c r="F933" s="102"/>
      <c r="G933" s="102"/>
      <c r="H933" s="102"/>
      <c r="I933" s="102"/>
      <c r="J933" s="102"/>
      <c r="K933" s="102"/>
      <c r="L933" s="102"/>
      <c r="M933" s="102"/>
      <c r="N933" s="102"/>
      <c r="O933" s="102"/>
      <c r="P933" s="102"/>
      <c r="Q933" s="102"/>
      <c r="R933" s="102"/>
    </row>
    <row r="934" spans="1:18" ht="35.1" customHeight="1" x14ac:dyDescent="0.2">
      <c r="A934" s="99"/>
      <c r="B934" s="99"/>
      <c r="C934" s="102"/>
      <c r="D934" s="102"/>
      <c r="E934" s="102"/>
      <c r="F934" s="102"/>
      <c r="G934" s="102"/>
      <c r="H934" s="102"/>
      <c r="I934" s="102"/>
      <c r="J934" s="102"/>
      <c r="K934" s="102"/>
      <c r="L934" s="102"/>
      <c r="M934" s="102"/>
      <c r="N934" s="102"/>
      <c r="O934" s="102"/>
      <c r="P934" s="102"/>
      <c r="Q934" s="102"/>
      <c r="R934" s="102"/>
    </row>
    <row r="935" spans="1:18" ht="35.1" customHeight="1" x14ac:dyDescent="0.2">
      <c r="A935" s="99"/>
      <c r="B935" s="99"/>
      <c r="C935" s="102"/>
      <c r="D935" s="102"/>
      <c r="E935" s="102"/>
      <c r="F935" s="102"/>
      <c r="G935" s="102"/>
      <c r="H935" s="102"/>
      <c r="I935" s="102"/>
      <c r="J935" s="102"/>
      <c r="K935" s="102"/>
      <c r="L935" s="102"/>
      <c r="M935" s="102"/>
      <c r="N935" s="102"/>
      <c r="O935" s="102"/>
      <c r="P935" s="102"/>
      <c r="Q935" s="102"/>
      <c r="R935" s="102"/>
    </row>
    <row r="936" spans="1:18" ht="35.1" customHeight="1" x14ac:dyDescent="0.2">
      <c r="A936" s="99"/>
      <c r="B936" s="99"/>
      <c r="C936" s="102"/>
      <c r="D936" s="102"/>
      <c r="E936" s="102"/>
      <c r="F936" s="102"/>
      <c r="G936" s="102"/>
      <c r="H936" s="102"/>
      <c r="I936" s="102"/>
      <c r="J936" s="102"/>
      <c r="K936" s="102"/>
      <c r="L936" s="102"/>
      <c r="M936" s="102"/>
      <c r="N936" s="102"/>
      <c r="O936" s="102"/>
      <c r="P936" s="102"/>
      <c r="Q936" s="102"/>
      <c r="R936" s="102"/>
    </row>
    <row r="937" spans="1:18" ht="35.1" customHeight="1" x14ac:dyDescent="0.2">
      <c r="A937" s="99"/>
      <c r="B937" s="99"/>
      <c r="C937" s="102"/>
      <c r="D937" s="102"/>
      <c r="E937" s="102"/>
      <c r="F937" s="102"/>
      <c r="G937" s="102"/>
      <c r="H937" s="102"/>
      <c r="I937" s="102"/>
      <c r="J937" s="102"/>
      <c r="K937" s="102"/>
      <c r="L937" s="102"/>
      <c r="M937" s="102"/>
      <c r="N937" s="102"/>
      <c r="O937" s="102"/>
      <c r="P937" s="102"/>
      <c r="Q937" s="102"/>
      <c r="R937" s="102"/>
    </row>
    <row r="938" spans="1:18" ht="35.1" customHeight="1" x14ac:dyDescent="0.2">
      <c r="A938" s="99"/>
      <c r="B938" s="99"/>
      <c r="C938" s="102"/>
      <c r="D938" s="102"/>
      <c r="E938" s="102"/>
      <c r="F938" s="102"/>
      <c r="G938" s="102"/>
      <c r="H938" s="102"/>
      <c r="I938" s="102"/>
      <c r="J938" s="102"/>
      <c r="K938" s="102"/>
      <c r="L938" s="102"/>
      <c r="M938" s="102"/>
      <c r="N938" s="102"/>
      <c r="O938" s="102"/>
      <c r="P938" s="102"/>
      <c r="Q938" s="102"/>
      <c r="R938" s="102"/>
    </row>
    <row r="939" spans="1:18" ht="35.1" customHeight="1" x14ac:dyDescent="0.2">
      <c r="A939" s="99"/>
      <c r="B939" s="99"/>
      <c r="C939" s="102"/>
      <c r="D939" s="102"/>
      <c r="E939" s="102"/>
      <c r="F939" s="102"/>
      <c r="G939" s="102"/>
      <c r="H939" s="102"/>
      <c r="I939" s="102"/>
      <c r="J939" s="102"/>
      <c r="K939" s="102"/>
      <c r="L939" s="102"/>
      <c r="M939" s="102"/>
      <c r="N939" s="102"/>
      <c r="O939" s="102"/>
      <c r="P939" s="102"/>
      <c r="Q939" s="102"/>
      <c r="R939" s="102"/>
    </row>
    <row r="940" spans="1:18" ht="35.1" customHeight="1" x14ac:dyDescent="0.2">
      <c r="A940" s="99"/>
      <c r="B940" s="99"/>
      <c r="C940" s="102"/>
      <c r="D940" s="102"/>
      <c r="E940" s="102"/>
      <c r="F940" s="102"/>
      <c r="G940" s="102"/>
      <c r="H940" s="102"/>
      <c r="I940" s="102"/>
      <c r="J940" s="102"/>
      <c r="K940" s="102"/>
      <c r="L940" s="102"/>
      <c r="M940" s="102"/>
      <c r="N940" s="102"/>
      <c r="O940" s="102"/>
      <c r="P940" s="102"/>
      <c r="Q940" s="102"/>
      <c r="R940" s="102"/>
    </row>
    <row r="941" spans="1:18" ht="35.1" customHeight="1" x14ac:dyDescent="0.2">
      <c r="A941" s="99"/>
      <c r="B941" s="99"/>
      <c r="C941" s="102"/>
      <c r="D941" s="102"/>
      <c r="E941" s="102"/>
      <c r="F941" s="102"/>
      <c r="G941" s="102"/>
      <c r="H941" s="102"/>
      <c r="I941" s="102"/>
      <c r="J941" s="102"/>
      <c r="K941" s="102"/>
      <c r="L941" s="102"/>
      <c r="M941" s="102"/>
      <c r="N941" s="102"/>
      <c r="O941" s="102"/>
      <c r="P941" s="102"/>
      <c r="Q941" s="102"/>
      <c r="R941" s="102"/>
    </row>
    <row r="942" spans="1:18" ht="35.1" customHeight="1" x14ac:dyDescent="0.2">
      <c r="A942" s="99"/>
      <c r="B942" s="99"/>
      <c r="C942" s="102"/>
      <c r="D942" s="102"/>
      <c r="E942" s="102"/>
      <c r="F942" s="102"/>
      <c r="G942" s="102"/>
      <c r="H942" s="102"/>
      <c r="I942" s="102"/>
      <c r="J942" s="102"/>
      <c r="K942" s="102"/>
      <c r="L942" s="102"/>
      <c r="M942" s="102"/>
      <c r="N942" s="102"/>
      <c r="O942" s="102"/>
      <c r="P942" s="102"/>
      <c r="Q942" s="102"/>
      <c r="R942" s="102"/>
    </row>
    <row r="943" spans="1:18" ht="35.1" customHeight="1" x14ac:dyDescent="0.2">
      <c r="A943" s="99"/>
      <c r="B943" s="99"/>
      <c r="C943" s="102"/>
      <c r="D943" s="102"/>
      <c r="E943" s="102"/>
      <c r="F943" s="102"/>
      <c r="G943" s="102"/>
      <c r="H943" s="102"/>
      <c r="I943" s="102"/>
      <c r="J943" s="102"/>
      <c r="K943" s="102"/>
      <c r="L943" s="102"/>
      <c r="M943" s="102"/>
      <c r="N943" s="102"/>
      <c r="O943" s="102"/>
      <c r="P943" s="102"/>
      <c r="Q943" s="102"/>
      <c r="R943" s="102"/>
    </row>
    <row r="944" spans="1:18" ht="35.1" customHeight="1" x14ac:dyDescent="0.2">
      <c r="A944" s="99"/>
      <c r="B944" s="99"/>
      <c r="C944" s="102"/>
      <c r="D944" s="102"/>
      <c r="E944" s="102"/>
      <c r="F944" s="102"/>
      <c r="G944" s="102"/>
      <c r="H944" s="102"/>
      <c r="I944" s="102"/>
      <c r="J944" s="102"/>
      <c r="K944" s="102"/>
      <c r="L944" s="102"/>
      <c r="M944" s="102"/>
      <c r="N944" s="102"/>
      <c r="O944" s="102"/>
      <c r="P944" s="102"/>
      <c r="Q944" s="102"/>
      <c r="R944" s="102"/>
    </row>
    <row r="945" spans="1:18" ht="35.1" customHeight="1" x14ac:dyDescent="0.2">
      <c r="A945" s="99"/>
      <c r="B945" s="99"/>
      <c r="C945" s="102"/>
      <c r="D945" s="102"/>
      <c r="E945" s="102"/>
      <c r="F945" s="102"/>
      <c r="G945" s="102"/>
      <c r="H945" s="102"/>
      <c r="I945" s="102"/>
      <c r="J945" s="102"/>
      <c r="K945" s="102"/>
      <c r="L945" s="102"/>
      <c r="M945" s="102"/>
      <c r="N945" s="102"/>
      <c r="O945" s="102"/>
      <c r="P945" s="102"/>
      <c r="Q945" s="102"/>
      <c r="R945" s="102"/>
    </row>
    <row r="946" spans="1:18" ht="35.1" customHeight="1" x14ac:dyDescent="0.2">
      <c r="A946" s="99"/>
      <c r="B946" s="99"/>
      <c r="C946" s="102"/>
      <c r="D946" s="102"/>
      <c r="E946" s="102"/>
      <c r="F946" s="102"/>
      <c r="G946" s="102"/>
      <c r="H946" s="102"/>
      <c r="I946" s="102"/>
      <c r="J946" s="102"/>
      <c r="K946" s="102"/>
      <c r="L946" s="102"/>
      <c r="M946" s="102"/>
      <c r="N946" s="102"/>
      <c r="O946" s="102"/>
      <c r="P946" s="102"/>
      <c r="Q946" s="102"/>
      <c r="R946" s="102"/>
    </row>
    <row r="947" spans="1:18" ht="35.1" customHeight="1" x14ac:dyDescent="0.2">
      <c r="A947" s="99"/>
      <c r="B947" s="99"/>
      <c r="C947" s="102"/>
      <c r="D947" s="102"/>
      <c r="E947" s="102"/>
      <c r="F947" s="102"/>
      <c r="G947" s="102"/>
      <c r="H947" s="102"/>
      <c r="I947" s="102"/>
      <c r="J947" s="102"/>
      <c r="K947" s="102"/>
      <c r="L947" s="102"/>
      <c r="M947" s="102"/>
      <c r="N947" s="102"/>
      <c r="O947" s="102"/>
      <c r="P947" s="102"/>
      <c r="Q947" s="102"/>
      <c r="R947" s="102"/>
    </row>
    <row r="948" spans="1:18" ht="35.1" customHeight="1" x14ac:dyDescent="0.2">
      <c r="A948" s="99"/>
      <c r="B948" s="99"/>
      <c r="C948" s="102"/>
      <c r="D948" s="102"/>
      <c r="E948" s="102"/>
      <c r="F948" s="102"/>
      <c r="G948" s="102"/>
      <c r="H948" s="102"/>
      <c r="I948" s="102"/>
      <c r="J948" s="102"/>
      <c r="K948" s="102"/>
      <c r="L948" s="102"/>
      <c r="M948" s="102"/>
      <c r="N948" s="102"/>
      <c r="O948" s="102"/>
      <c r="P948" s="102"/>
      <c r="Q948" s="102"/>
      <c r="R948" s="102"/>
    </row>
    <row r="949" spans="1:18" ht="35.1" customHeight="1" x14ac:dyDescent="0.2">
      <c r="A949" s="99"/>
      <c r="B949" s="99"/>
      <c r="C949" s="102"/>
      <c r="D949" s="102"/>
      <c r="E949" s="102"/>
      <c r="F949" s="102"/>
      <c r="G949" s="102"/>
      <c r="H949" s="102"/>
      <c r="I949" s="102"/>
      <c r="J949" s="102"/>
      <c r="K949" s="102"/>
      <c r="L949" s="102"/>
      <c r="M949" s="102"/>
      <c r="N949" s="102"/>
      <c r="O949" s="102"/>
      <c r="P949" s="102"/>
      <c r="Q949" s="102"/>
      <c r="R949" s="102"/>
    </row>
    <row r="950" spans="1:18" ht="35.1" customHeight="1" x14ac:dyDescent="0.2">
      <c r="A950" s="99"/>
      <c r="B950" s="99"/>
      <c r="C950" s="102"/>
      <c r="D950" s="102"/>
      <c r="E950" s="102"/>
      <c r="F950" s="102"/>
      <c r="G950" s="102"/>
      <c r="H950" s="102"/>
      <c r="I950" s="102"/>
      <c r="J950" s="102"/>
      <c r="K950" s="102"/>
      <c r="L950" s="102"/>
      <c r="M950" s="102"/>
      <c r="N950" s="102"/>
      <c r="O950" s="102"/>
      <c r="P950" s="102"/>
      <c r="Q950" s="102"/>
      <c r="R950" s="102"/>
    </row>
    <row r="951" spans="1:18" ht="35.1" customHeight="1" x14ac:dyDescent="0.2">
      <c r="A951" s="99"/>
      <c r="B951" s="99"/>
      <c r="C951" s="102"/>
      <c r="D951" s="102"/>
      <c r="E951" s="102"/>
      <c r="F951" s="102"/>
      <c r="G951" s="102"/>
      <c r="H951" s="102"/>
      <c r="I951" s="102"/>
      <c r="J951" s="102"/>
      <c r="K951" s="102"/>
      <c r="L951" s="102"/>
      <c r="M951" s="102"/>
      <c r="N951" s="102"/>
      <c r="O951" s="102"/>
      <c r="P951" s="102"/>
      <c r="Q951" s="102"/>
      <c r="R951" s="102"/>
    </row>
    <row r="952" spans="1:18" ht="35.1" customHeight="1" x14ac:dyDescent="0.2">
      <c r="A952" s="99"/>
      <c r="B952" s="99"/>
      <c r="C952" s="102"/>
      <c r="D952" s="102"/>
      <c r="E952" s="102"/>
      <c r="F952" s="102"/>
      <c r="G952" s="102"/>
      <c r="H952" s="102"/>
      <c r="I952" s="102"/>
      <c r="J952" s="102"/>
      <c r="K952" s="102"/>
      <c r="L952" s="102"/>
      <c r="M952" s="102"/>
      <c r="N952" s="102"/>
      <c r="O952" s="102"/>
      <c r="P952" s="102"/>
      <c r="Q952" s="102"/>
      <c r="R952" s="102"/>
    </row>
    <row r="953" spans="1:18" ht="35.1" customHeight="1" x14ac:dyDescent="0.2">
      <c r="A953" s="99"/>
      <c r="B953" s="99"/>
      <c r="C953" s="102"/>
      <c r="D953" s="102"/>
      <c r="E953" s="102"/>
      <c r="F953" s="102"/>
      <c r="G953" s="102"/>
      <c r="H953" s="102"/>
      <c r="I953" s="102"/>
      <c r="J953" s="102"/>
      <c r="K953" s="102"/>
      <c r="L953" s="102"/>
      <c r="M953" s="102"/>
      <c r="N953" s="102"/>
      <c r="O953" s="102"/>
      <c r="P953" s="102"/>
      <c r="Q953" s="102"/>
      <c r="R953" s="102"/>
    </row>
    <row r="954" spans="1:18" ht="35.1" customHeight="1" x14ac:dyDescent="0.2">
      <c r="A954" s="99"/>
      <c r="B954" s="99"/>
      <c r="C954" s="102"/>
      <c r="D954" s="102"/>
      <c r="E954" s="102"/>
      <c r="F954" s="102"/>
      <c r="G954" s="102"/>
      <c r="H954" s="102"/>
      <c r="I954" s="102"/>
      <c r="J954" s="102"/>
      <c r="K954" s="102"/>
      <c r="L954" s="102"/>
      <c r="M954" s="102"/>
      <c r="N954" s="102"/>
      <c r="O954" s="102"/>
      <c r="P954" s="102"/>
      <c r="Q954" s="102"/>
      <c r="R954" s="102"/>
    </row>
    <row r="955" spans="1:18" ht="35.1" customHeight="1" x14ac:dyDescent="0.2">
      <c r="A955" s="99"/>
      <c r="B955" s="99"/>
      <c r="C955" s="102"/>
      <c r="D955" s="102"/>
      <c r="E955" s="102"/>
      <c r="F955" s="102"/>
      <c r="G955" s="102"/>
      <c r="H955" s="102"/>
      <c r="I955" s="102"/>
      <c r="J955" s="102"/>
      <c r="K955" s="102"/>
      <c r="L955" s="102"/>
      <c r="M955" s="102"/>
      <c r="N955" s="102"/>
      <c r="O955" s="102"/>
      <c r="P955" s="102"/>
      <c r="Q955" s="102"/>
      <c r="R955" s="102"/>
    </row>
    <row r="956" spans="1:18" ht="35.1" customHeight="1" x14ac:dyDescent="0.2">
      <c r="A956" s="99"/>
      <c r="B956" s="99"/>
      <c r="C956" s="102"/>
      <c r="D956" s="102"/>
      <c r="E956" s="102"/>
      <c r="F956" s="102"/>
      <c r="G956" s="102"/>
      <c r="H956" s="102"/>
      <c r="I956" s="102"/>
      <c r="J956" s="102"/>
      <c r="K956" s="102"/>
      <c r="L956" s="102"/>
      <c r="M956" s="102"/>
      <c r="N956" s="102"/>
      <c r="O956" s="102"/>
      <c r="P956" s="102"/>
      <c r="Q956" s="102"/>
      <c r="R956" s="102"/>
    </row>
    <row r="957" spans="1:18" ht="35.1" customHeight="1" x14ac:dyDescent="0.2">
      <c r="A957" s="99"/>
      <c r="B957" s="99"/>
      <c r="C957" s="102"/>
      <c r="D957" s="102"/>
      <c r="E957" s="102"/>
      <c r="F957" s="102"/>
      <c r="G957" s="102"/>
      <c r="H957" s="102"/>
      <c r="I957" s="102"/>
      <c r="J957" s="102"/>
      <c r="K957" s="102"/>
      <c r="L957" s="102"/>
      <c r="M957" s="102"/>
      <c r="N957" s="102"/>
      <c r="O957" s="102"/>
      <c r="P957" s="102"/>
      <c r="Q957" s="102"/>
      <c r="R957" s="102"/>
    </row>
    <row r="958" spans="1:18" ht="35.1" customHeight="1" x14ac:dyDescent="0.2">
      <c r="A958" s="99"/>
      <c r="B958" s="99"/>
      <c r="C958" s="102"/>
      <c r="D958" s="102"/>
      <c r="E958" s="102"/>
      <c r="F958" s="102"/>
      <c r="G958" s="102"/>
      <c r="H958" s="102"/>
      <c r="I958" s="102"/>
      <c r="J958" s="102"/>
      <c r="K958" s="102"/>
      <c r="L958" s="102"/>
      <c r="M958" s="102"/>
      <c r="N958" s="102"/>
      <c r="O958" s="102"/>
      <c r="P958" s="102"/>
      <c r="Q958" s="102"/>
      <c r="R958" s="102"/>
    </row>
    <row r="959" spans="1:18" ht="35.1" customHeight="1" x14ac:dyDescent="0.2">
      <c r="A959" s="99"/>
      <c r="B959" s="99"/>
      <c r="C959" s="102"/>
      <c r="D959" s="102"/>
      <c r="E959" s="102"/>
      <c r="F959" s="102"/>
      <c r="G959" s="102"/>
      <c r="H959" s="102"/>
      <c r="I959" s="102"/>
      <c r="J959" s="102"/>
      <c r="K959" s="102"/>
      <c r="L959" s="102"/>
      <c r="M959" s="102"/>
      <c r="N959" s="102"/>
      <c r="O959" s="102"/>
      <c r="P959" s="102"/>
      <c r="Q959" s="102"/>
      <c r="R959" s="102"/>
    </row>
    <row r="960" spans="1:18" ht="35.1" customHeight="1" x14ac:dyDescent="0.2">
      <c r="A960" s="99"/>
      <c r="B960" s="99"/>
      <c r="C960" s="102"/>
      <c r="D960" s="102"/>
      <c r="E960" s="102"/>
      <c r="F960" s="102"/>
      <c r="G960" s="102"/>
      <c r="H960" s="102"/>
      <c r="I960" s="102"/>
      <c r="J960" s="102"/>
      <c r="K960" s="102"/>
      <c r="L960" s="102"/>
      <c r="M960" s="102"/>
      <c r="N960" s="102"/>
      <c r="O960" s="102"/>
      <c r="P960" s="102"/>
      <c r="Q960" s="102"/>
      <c r="R960" s="102"/>
    </row>
    <row r="961" spans="1:18" ht="35.1" customHeight="1" x14ac:dyDescent="0.2">
      <c r="A961" s="99"/>
      <c r="B961" s="99"/>
      <c r="C961" s="102"/>
      <c r="D961" s="102"/>
      <c r="E961" s="102"/>
      <c r="F961" s="102"/>
      <c r="G961" s="102"/>
      <c r="H961" s="102"/>
      <c r="I961" s="102"/>
      <c r="J961" s="102"/>
      <c r="K961" s="102"/>
      <c r="L961" s="102"/>
      <c r="M961" s="102"/>
      <c r="N961" s="102"/>
      <c r="O961" s="102"/>
      <c r="P961" s="102"/>
      <c r="Q961" s="102"/>
      <c r="R961" s="102"/>
    </row>
    <row r="962" spans="1:18" ht="35.1" customHeight="1" x14ac:dyDescent="0.2">
      <c r="A962" s="99"/>
      <c r="B962" s="99"/>
      <c r="C962" s="102"/>
      <c r="D962" s="102"/>
      <c r="E962" s="102"/>
      <c r="F962" s="102"/>
      <c r="G962" s="102"/>
      <c r="H962" s="102"/>
      <c r="I962" s="102"/>
      <c r="J962" s="102"/>
      <c r="K962" s="102"/>
      <c r="L962" s="102"/>
      <c r="M962" s="102"/>
      <c r="N962" s="102"/>
      <c r="O962" s="102"/>
      <c r="P962" s="102"/>
      <c r="Q962" s="102"/>
      <c r="R962" s="102"/>
    </row>
    <row r="963" spans="1:18" ht="35.1" customHeight="1" x14ac:dyDescent="0.2">
      <c r="A963" s="99"/>
      <c r="B963" s="99"/>
      <c r="C963" s="102"/>
      <c r="D963" s="102"/>
      <c r="E963" s="102"/>
      <c r="F963" s="102"/>
      <c r="G963" s="102"/>
      <c r="H963" s="102"/>
      <c r="I963" s="102"/>
      <c r="J963" s="102"/>
      <c r="K963" s="102"/>
      <c r="L963" s="102"/>
      <c r="M963" s="102"/>
      <c r="N963" s="102"/>
      <c r="O963" s="102"/>
      <c r="P963" s="102"/>
      <c r="Q963" s="102"/>
      <c r="R963" s="102"/>
    </row>
    <row r="964" spans="1:18" ht="35.1" customHeight="1" x14ac:dyDescent="0.2">
      <c r="A964" s="99"/>
      <c r="B964" s="99"/>
      <c r="C964" s="102"/>
      <c r="D964" s="102"/>
      <c r="E964" s="102"/>
      <c r="F964" s="102"/>
      <c r="G964" s="102"/>
      <c r="H964" s="102"/>
      <c r="I964" s="102"/>
      <c r="J964" s="102"/>
      <c r="K964" s="102"/>
      <c r="L964" s="102"/>
      <c r="M964" s="102"/>
      <c r="N964" s="102"/>
      <c r="O964" s="102"/>
      <c r="P964" s="102"/>
      <c r="Q964" s="102"/>
      <c r="R964" s="102"/>
    </row>
    <row r="965" spans="1:18" ht="35.1" customHeight="1" x14ac:dyDescent="0.2">
      <c r="A965" s="99"/>
      <c r="B965" s="99"/>
      <c r="C965" s="102"/>
      <c r="D965" s="102"/>
      <c r="E965" s="102"/>
      <c r="F965" s="102"/>
      <c r="G965" s="102"/>
      <c r="H965" s="102"/>
      <c r="I965" s="102"/>
      <c r="J965" s="102"/>
      <c r="K965" s="102"/>
      <c r="L965" s="102"/>
      <c r="M965" s="102"/>
      <c r="N965" s="102"/>
      <c r="O965" s="102"/>
      <c r="P965" s="102"/>
      <c r="Q965" s="102"/>
      <c r="R965" s="102"/>
    </row>
    <row r="966" spans="1:18" ht="35.1" customHeight="1" x14ac:dyDescent="0.2">
      <c r="A966" s="99"/>
      <c r="B966" s="99"/>
      <c r="C966" s="102"/>
      <c r="D966" s="102"/>
      <c r="E966" s="102"/>
      <c r="F966" s="102"/>
      <c r="G966" s="102"/>
      <c r="H966" s="102"/>
      <c r="I966" s="102"/>
      <c r="J966" s="102"/>
      <c r="K966" s="102"/>
      <c r="L966" s="102"/>
      <c r="M966" s="102"/>
      <c r="N966" s="102"/>
      <c r="O966" s="102"/>
      <c r="P966" s="102"/>
      <c r="Q966" s="102"/>
      <c r="R966" s="102"/>
    </row>
    <row r="967" spans="1:18" ht="35.1" customHeight="1" x14ac:dyDescent="0.2">
      <c r="A967" s="99"/>
      <c r="B967" s="99"/>
      <c r="C967" s="102"/>
      <c r="D967" s="102"/>
      <c r="E967" s="102"/>
      <c r="F967" s="102"/>
      <c r="G967" s="102"/>
      <c r="H967" s="102"/>
      <c r="I967" s="102"/>
      <c r="J967" s="102"/>
      <c r="K967" s="102"/>
      <c r="L967" s="102"/>
      <c r="M967" s="102"/>
      <c r="N967" s="102"/>
      <c r="O967" s="102"/>
      <c r="P967" s="102"/>
      <c r="Q967" s="102"/>
      <c r="R967" s="102"/>
    </row>
    <row r="968" spans="1:18" ht="35.1" customHeight="1" x14ac:dyDescent="0.2">
      <c r="A968" s="99"/>
      <c r="B968" s="99"/>
      <c r="C968" s="102"/>
      <c r="D968" s="102"/>
      <c r="E968" s="102"/>
      <c r="F968" s="102"/>
      <c r="G968" s="102"/>
      <c r="H968" s="102"/>
      <c r="I968" s="102"/>
      <c r="J968" s="102"/>
      <c r="K968" s="102"/>
      <c r="L968" s="102"/>
      <c r="M968" s="102"/>
      <c r="N968" s="102"/>
      <c r="O968" s="102"/>
      <c r="P968" s="102"/>
      <c r="Q968" s="102"/>
      <c r="R968" s="102"/>
    </row>
    <row r="969" spans="1:18" ht="35.1" customHeight="1" x14ac:dyDescent="0.2">
      <c r="A969" s="99"/>
      <c r="B969" s="99"/>
      <c r="C969" s="102"/>
      <c r="D969" s="102"/>
      <c r="E969" s="102"/>
      <c r="F969" s="102"/>
      <c r="G969" s="102"/>
      <c r="H969" s="102"/>
      <c r="I969" s="102"/>
      <c r="J969" s="102"/>
      <c r="K969" s="102"/>
      <c r="L969" s="102"/>
      <c r="M969" s="102"/>
      <c r="N969" s="102"/>
      <c r="O969" s="102"/>
      <c r="P969" s="102"/>
      <c r="Q969" s="102"/>
      <c r="R969" s="102"/>
    </row>
    <row r="970" spans="1:18" ht="35.1" customHeight="1" x14ac:dyDescent="0.2">
      <c r="A970" s="99"/>
      <c r="B970" s="99"/>
      <c r="C970" s="102"/>
      <c r="D970" s="102"/>
      <c r="E970" s="102"/>
      <c r="F970" s="102"/>
      <c r="G970" s="102"/>
      <c r="H970" s="102"/>
      <c r="I970" s="102"/>
      <c r="J970" s="102"/>
      <c r="K970" s="102"/>
      <c r="L970" s="102"/>
      <c r="M970" s="102"/>
      <c r="N970" s="102"/>
      <c r="O970" s="102"/>
      <c r="P970" s="102"/>
      <c r="Q970" s="102"/>
      <c r="R970" s="102"/>
    </row>
    <row r="971" spans="1:18" ht="35.1" customHeight="1" x14ac:dyDescent="0.2">
      <c r="A971" s="99"/>
      <c r="B971" s="99"/>
      <c r="C971" s="102"/>
      <c r="D971" s="102"/>
      <c r="E971" s="102"/>
      <c r="F971" s="102"/>
      <c r="G971" s="102"/>
      <c r="H971" s="102"/>
      <c r="I971" s="102"/>
      <c r="J971" s="102"/>
      <c r="K971" s="102"/>
      <c r="L971" s="102"/>
      <c r="M971" s="102"/>
      <c r="N971" s="102"/>
      <c r="O971" s="102"/>
      <c r="P971" s="102"/>
      <c r="Q971" s="102"/>
      <c r="R971" s="102"/>
    </row>
    <row r="972" spans="1:18" ht="35.1" customHeight="1" x14ac:dyDescent="0.2">
      <c r="A972" s="99"/>
      <c r="B972" s="99"/>
      <c r="C972" s="102"/>
      <c r="D972" s="102"/>
      <c r="E972" s="102"/>
      <c r="F972" s="102"/>
      <c r="G972" s="102"/>
      <c r="H972" s="102"/>
      <c r="I972" s="102"/>
      <c r="J972" s="102"/>
      <c r="K972" s="102"/>
      <c r="L972" s="102"/>
      <c r="M972" s="102"/>
      <c r="N972" s="102"/>
      <c r="O972" s="102"/>
      <c r="P972" s="102"/>
      <c r="Q972" s="102"/>
      <c r="R972" s="102"/>
    </row>
    <row r="973" spans="1:18" ht="35.1" customHeight="1" x14ac:dyDescent="0.2">
      <c r="A973" s="99"/>
      <c r="B973" s="99"/>
      <c r="C973" s="102"/>
      <c r="D973" s="102"/>
      <c r="E973" s="102"/>
      <c r="F973" s="102"/>
      <c r="G973" s="102"/>
      <c r="H973" s="102"/>
      <c r="I973" s="102"/>
      <c r="J973" s="102"/>
      <c r="K973" s="102"/>
      <c r="L973" s="102"/>
      <c r="M973" s="102"/>
      <c r="N973" s="102"/>
      <c r="O973" s="102"/>
      <c r="P973" s="102"/>
      <c r="Q973" s="102"/>
      <c r="R973" s="102"/>
    </row>
    <row r="974" spans="1:18" ht="35.1" customHeight="1" x14ac:dyDescent="0.2">
      <c r="A974" s="99"/>
      <c r="B974" s="99"/>
      <c r="C974" s="102"/>
      <c r="D974" s="102"/>
      <c r="E974" s="102"/>
      <c r="F974" s="102"/>
      <c r="G974" s="102"/>
      <c r="H974" s="102"/>
      <c r="I974" s="102"/>
      <c r="J974" s="102"/>
      <c r="K974" s="102"/>
      <c r="L974" s="102"/>
      <c r="M974" s="102"/>
      <c r="N974" s="102"/>
      <c r="O974" s="102"/>
      <c r="P974" s="102"/>
      <c r="Q974" s="102"/>
      <c r="R974" s="102"/>
    </row>
    <row r="975" spans="1:18" ht="35.1" customHeight="1" x14ac:dyDescent="0.2">
      <c r="A975" s="99"/>
      <c r="B975" s="99"/>
      <c r="C975" s="102"/>
      <c r="D975" s="102"/>
      <c r="E975" s="102"/>
      <c r="F975" s="102"/>
      <c r="G975" s="102"/>
      <c r="H975" s="102"/>
      <c r="I975" s="102"/>
      <c r="J975" s="102"/>
      <c r="K975" s="102"/>
      <c r="L975" s="102"/>
      <c r="M975" s="102"/>
      <c r="N975" s="102"/>
      <c r="O975" s="102"/>
      <c r="P975" s="102"/>
      <c r="Q975" s="102"/>
      <c r="R975" s="102"/>
    </row>
    <row r="976" spans="1:18" ht="35.1" customHeight="1" x14ac:dyDescent="0.2">
      <c r="A976" s="99"/>
      <c r="B976" s="99"/>
      <c r="C976" s="102"/>
      <c r="D976" s="102"/>
      <c r="E976" s="102"/>
      <c r="F976" s="102"/>
      <c r="G976" s="102"/>
      <c r="H976" s="102"/>
      <c r="I976" s="102"/>
      <c r="J976" s="102"/>
      <c r="K976" s="102"/>
      <c r="L976" s="102"/>
      <c r="M976" s="102"/>
      <c r="N976" s="102"/>
      <c r="O976" s="102"/>
      <c r="P976" s="102"/>
      <c r="Q976" s="102"/>
      <c r="R976" s="102"/>
    </row>
    <row r="977" spans="1:18" ht="35.1" customHeight="1" x14ac:dyDescent="0.2">
      <c r="A977" s="99"/>
      <c r="B977" s="99"/>
      <c r="C977" s="102"/>
      <c r="D977" s="102"/>
      <c r="E977" s="102"/>
      <c r="F977" s="102"/>
      <c r="G977" s="102"/>
      <c r="H977" s="102"/>
      <c r="I977" s="102"/>
      <c r="J977" s="102"/>
      <c r="K977" s="102"/>
      <c r="L977" s="102"/>
      <c r="M977" s="102"/>
      <c r="N977" s="102"/>
      <c r="O977" s="102"/>
      <c r="P977" s="102"/>
      <c r="Q977" s="102"/>
      <c r="R977" s="102"/>
    </row>
    <row r="978" spans="1:18" ht="35.1" customHeight="1" x14ac:dyDescent="0.2">
      <c r="A978" s="99"/>
      <c r="B978" s="99"/>
      <c r="C978" s="102"/>
      <c r="D978" s="102"/>
      <c r="E978" s="102"/>
      <c r="F978" s="102"/>
      <c r="G978" s="102"/>
      <c r="H978" s="102"/>
      <c r="I978" s="102"/>
      <c r="J978" s="102"/>
      <c r="K978" s="102"/>
      <c r="L978" s="102"/>
      <c r="M978" s="102"/>
      <c r="N978" s="102"/>
      <c r="O978" s="102"/>
      <c r="P978" s="102"/>
      <c r="Q978" s="102"/>
      <c r="R978" s="102"/>
    </row>
    <row r="979" spans="1:18" ht="35.1" customHeight="1" x14ac:dyDescent="0.2">
      <c r="A979" s="99"/>
      <c r="B979" s="99"/>
      <c r="C979" s="102"/>
      <c r="D979" s="102"/>
      <c r="E979" s="102"/>
      <c r="F979" s="102"/>
      <c r="G979" s="102"/>
      <c r="H979" s="102"/>
      <c r="I979" s="102"/>
      <c r="J979" s="102"/>
      <c r="K979" s="102"/>
      <c r="L979" s="102"/>
      <c r="M979" s="102"/>
      <c r="N979" s="102"/>
      <c r="O979" s="102"/>
      <c r="P979" s="102"/>
      <c r="Q979" s="102"/>
      <c r="R979" s="102"/>
    </row>
    <row r="980" spans="1:18" ht="35.1" customHeight="1" x14ac:dyDescent="0.2">
      <c r="A980" s="99"/>
      <c r="B980" s="99"/>
      <c r="C980" s="102"/>
      <c r="D980" s="102"/>
      <c r="E980" s="102"/>
      <c r="F980" s="102"/>
      <c r="G980" s="102"/>
      <c r="H980" s="102"/>
      <c r="I980" s="102"/>
      <c r="J980" s="102"/>
      <c r="K980" s="102"/>
      <c r="L980" s="102"/>
      <c r="M980" s="102"/>
      <c r="N980" s="102"/>
      <c r="O980" s="102"/>
      <c r="P980" s="102"/>
      <c r="Q980" s="102"/>
      <c r="R980" s="102"/>
    </row>
    <row r="981" spans="1:18" ht="35.1" customHeight="1" x14ac:dyDescent="0.2">
      <c r="A981" s="99"/>
      <c r="B981" s="99"/>
      <c r="C981" s="102"/>
      <c r="D981" s="102"/>
      <c r="E981" s="102"/>
      <c r="F981" s="102"/>
      <c r="G981" s="102"/>
      <c r="H981" s="102"/>
      <c r="I981" s="102"/>
      <c r="J981" s="102"/>
      <c r="K981" s="102"/>
      <c r="L981" s="102"/>
      <c r="M981" s="102"/>
      <c r="N981" s="102"/>
      <c r="O981" s="102"/>
      <c r="P981" s="102"/>
      <c r="Q981" s="102"/>
      <c r="R981" s="102"/>
    </row>
    <row r="982" spans="1:18" ht="35.1" customHeight="1" x14ac:dyDescent="0.2">
      <c r="A982" s="99"/>
      <c r="B982" s="99"/>
      <c r="C982" s="102"/>
      <c r="D982" s="102"/>
      <c r="E982" s="102"/>
      <c r="F982" s="102"/>
      <c r="G982" s="102"/>
      <c r="H982" s="102"/>
      <c r="I982" s="102"/>
      <c r="J982" s="102"/>
      <c r="K982" s="102"/>
      <c r="L982" s="102"/>
      <c r="M982" s="102"/>
      <c r="N982" s="102"/>
      <c r="O982" s="102"/>
      <c r="P982" s="102"/>
      <c r="Q982" s="102"/>
      <c r="R982" s="102"/>
    </row>
    <row r="983" spans="1:18" ht="35.1" customHeight="1" x14ac:dyDescent="0.2">
      <c r="A983" s="99"/>
      <c r="B983" s="99"/>
      <c r="C983" s="102"/>
      <c r="D983" s="102"/>
      <c r="E983" s="102"/>
      <c r="F983" s="102"/>
      <c r="G983" s="102"/>
      <c r="H983" s="102"/>
      <c r="I983" s="102"/>
      <c r="J983" s="102"/>
      <c r="K983" s="102"/>
      <c r="L983" s="102"/>
      <c r="M983" s="102"/>
      <c r="N983" s="102"/>
      <c r="O983" s="102"/>
      <c r="P983" s="102"/>
      <c r="Q983" s="102"/>
      <c r="R983" s="102"/>
    </row>
    <row r="984" spans="1:18" ht="35.1" customHeight="1" x14ac:dyDescent="0.2">
      <c r="A984" s="99"/>
      <c r="B984" s="99"/>
      <c r="C984" s="102"/>
      <c r="D984" s="102"/>
      <c r="E984" s="102"/>
      <c r="F984" s="102"/>
      <c r="G984" s="102"/>
      <c r="H984" s="102"/>
      <c r="I984" s="102"/>
      <c r="J984" s="102"/>
      <c r="K984" s="102"/>
      <c r="L984" s="102"/>
      <c r="M984" s="102"/>
      <c r="N984" s="102"/>
      <c r="O984" s="102"/>
      <c r="P984" s="102"/>
      <c r="Q984" s="102"/>
      <c r="R984" s="102"/>
    </row>
    <row r="985" spans="1:18" ht="35.1" customHeight="1" x14ac:dyDescent="0.2">
      <c r="A985" s="99"/>
      <c r="B985" s="99"/>
      <c r="C985" s="102"/>
      <c r="D985" s="102"/>
      <c r="E985" s="102"/>
      <c r="F985" s="102"/>
      <c r="G985" s="102"/>
      <c r="H985" s="102"/>
      <c r="I985" s="102"/>
      <c r="J985" s="102"/>
      <c r="K985" s="102"/>
      <c r="L985" s="102"/>
      <c r="M985" s="102"/>
      <c r="N985" s="102"/>
      <c r="O985" s="102"/>
      <c r="P985" s="102"/>
      <c r="Q985" s="102"/>
      <c r="R985" s="102"/>
    </row>
    <row r="986" spans="1:18" ht="35.1" customHeight="1" x14ac:dyDescent="0.2">
      <c r="A986" s="99"/>
      <c r="B986" s="99"/>
      <c r="C986" s="102"/>
      <c r="D986" s="102"/>
      <c r="E986" s="102"/>
      <c r="F986" s="102"/>
      <c r="G986" s="102"/>
      <c r="H986" s="102"/>
      <c r="I986" s="102"/>
      <c r="J986" s="102"/>
      <c r="K986" s="102"/>
      <c r="L986" s="102"/>
      <c r="M986" s="102"/>
      <c r="N986" s="102"/>
      <c r="O986" s="102"/>
      <c r="P986" s="102"/>
      <c r="Q986" s="102"/>
      <c r="R986" s="102"/>
    </row>
    <row r="987" spans="1:18" ht="35.1" customHeight="1" x14ac:dyDescent="0.2">
      <c r="A987" s="99"/>
      <c r="B987" s="99"/>
      <c r="C987" s="102"/>
      <c r="D987" s="102"/>
      <c r="E987" s="102"/>
      <c r="F987" s="102"/>
      <c r="G987" s="102"/>
      <c r="H987" s="102"/>
      <c r="I987" s="102"/>
      <c r="J987" s="102"/>
      <c r="K987" s="102"/>
      <c r="L987" s="102"/>
      <c r="M987" s="102"/>
      <c r="N987" s="102"/>
      <c r="O987" s="102"/>
      <c r="P987" s="102"/>
      <c r="Q987" s="102"/>
      <c r="R987" s="102"/>
    </row>
    <row r="988" spans="1:18" ht="35.1" customHeight="1" x14ac:dyDescent="0.2">
      <c r="A988" s="99"/>
      <c r="B988" s="99"/>
      <c r="C988" s="102"/>
      <c r="D988" s="102"/>
      <c r="E988" s="102"/>
      <c r="F988" s="102"/>
      <c r="G988" s="102"/>
      <c r="H988" s="102"/>
      <c r="I988" s="102"/>
      <c r="J988" s="102"/>
      <c r="K988" s="102"/>
      <c r="L988" s="102"/>
      <c r="M988" s="102"/>
      <c r="N988" s="102"/>
      <c r="O988" s="102"/>
      <c r="P988" s="102"/>
      <c r="Q988" s="102"/>
      <c r="R988" s="102"/>
    </row>
    <row r="989" spans="1:18" ht="35.1" customHeight="1" x14ac:dyDescent="0.2">
      <c r="A989" s="99"/>
      <c r="B989" s="99"/>
      <c r="C989" s="102"/>
      <c r="D989" s="102"/>
      <c r="E989" s="102"/>
      <c r="F989" s="102"/>
      <c r="G989" s="102"/>
      <c r="H989" s="102"/>
      <c r="I989" s="102"/>
      <c r="J989" s="102"/>
      <c r="K989" s="102"/>
      <c r="L989" s="102"/>
      <c r="M989" s="102"/>
      <c r="N989" s="102"/>
      <c r="O989" s="102"/>
      <c r="P989" s="102"/>
      <c r="Q989" s="102"/>
      <c r="R989" s="102"/>
    </row>
    <row r="990" spans="1:18" ht="35.1" customHeight="1" x14ac:dyDescent="0.2">
      <c r="A990" s="99"/>
      <c r="B990" s="99"/>
      <c r="C990" s="102"/>
      <c r="D990" s="102"/>
      <c r="E990" s="102"/>
      <c r="F990" s="102"/>
      <c r="G990" s="102"/>
      <c r="H990" s="102"/>
      <c r="I990" s="102"/>
      <c r="J990" s="102"/>
      <c r="K990" s="102"/>
      <c r="L990" s="102"/>
      <c r="M990" s="102"/>
      <c r="N990" s="102"/>
      <c r="O990" s="102"/>
      <c r="P990" s="102"/>
      <c r="Q990" s="102"/>
      <c r="R990" s="102"/>
    </row>
    <row r="991" spans="1:18" ht="35.1" customHeight="1" x14ac:dyDescent="0.2">
      <c r="A991" s="99"/>
      <c r="B991" s="99"/>
      <c r="C991" s="102"/>
      <c r="D991" s="102"/>
      <c r="E991" s="102"/>
      <c r="F991" s="102"/>
      <c r="G991" s="102"/>
      <c r="H991" s="102"/>
      <c r="I991" s="102"/>
      <c r="J991" s="102"/>
      <c r="K991" s="102"/>
      <c r="L991" s="102"/>
      <c r="M991" s="102"/>
      <c r="N991" s="102"/>
      <c r="O991" s="102"/>
      <c r="P991" s="102"/>
      <c r="Q991" s="102"/>
      <c r="R991" s="102"/>
    </row>
    <row r="992" spans="1:18" ht="35.1" customHeight="1" x14ac:dyDescent="0.2">
      <c r="A992" s="99"/>
      <c r="B992" s="99"/>
      <c r="C992" s="102"/>
      <c r="D992" s="102"/>
      <c r="E992" s="102"/>
      <c r="F992" s="102"/>
      <c r="G992" s="102"/>
      <c r="H992" s="102"/>
      <c r="I992" s="102"/>
      <c r="J992" s="102"/>
      <c r="K992" s="102"/>
      <c r="L992" s="102"/>
      <c r="M992" s="102"/>
      <c r="N992" s="102"/>
      <c r="O992" s="102"/>
      <c r="P992" s="102"/>
      <c r="Q992" s="102"/>
      <c r="R992" s="102"/>
    </row>
    <row r="993" spans="1:18" ht="35.1" customHeight="1" x14ac:dyDescent="0.2">
      <c r="A993" s="99"/>
      <c r="B993" s="99"/>
      <c r="C993" s="102"/>
      <c r="D993" s="102"/>
      <c r="E993" s="102"/>
      <c r="F993" s="102"/>
      <c r="G993" s="102"/>
      <c r="H993" s="102"/>
      <c r="I993" s="102"/>
      <c r="J993" s="102"/>
      <c r="K993" s="102"/>
      <c r="L993" s="102"/>
      <c r="M993" s="102"/>
      <c r="N993" s="102"/>
      <c r="O993" s="102"/>
      <c r="P993" s="102"/>
      <c r="Q993" s="102"/>
      <c r="R993" s="102"/>
    </row>
    <row r="994" spans="1:18" ht="35.1" customHeight="1" x14ac:dyDescent="0.2">
      <c r="A994" s="99"/>
      <c r="B994" s="99"/>
      <c r="C994" s="102"/>
      <c r="D994" s="102"/>
      <c r="E994" s="102"/>
      <c r="F994" s="102"/>
      <c r="G994" s="102"/>
      <c r="H994" s="102"/>
      <c r="I994" s="102"/>
      <c r="J994" s="102"/>
      <c r="K994" s="102"/>
      <c r="L994" s="102"/>
      <c r="M994" s="102"/>
      <c r="N994" s="102"/>
      <c r="O994" s="102"/>
      <c r="P994" s="102"/>
      <c r="Q994" s="102"/>
      <c r="R994" s="102"/>
    </row>
    <row r="995" spans="1:18" ht="35.1" customHeight="1" x14ac:dyDescent="0.2">
      <c r="A995" s="99"/>
      <c r="B995" s="99"/>
      <c r="C995" s="102"/>
      <c r="D995" s="102"/>
      <c r="E995" s="102"/>
      <c r="F995" s="102"/>
      <c r="G995" s="102"/>
      <c r="H995" s="102"/>
      <c r="I995" s="102"/>
      <c r="J995" s="102"/>
      <c r="K995" s="102"/>
      <c r="L995" s="102"/>
      <c r="M995" s="102"/>
      <c r="N995" s="102"/>
      <c r="O995" s="102"/>
      <c r="P995" s="102"/>
      <c r="Q995" s="102"/>
      <c r="R995" s="102"/>
    </row>
    <row r="996" spans="1:18" ht="35.1" customHeight="1" x14ac:dyDescent="0.2">
      <c r="A996" s="99"/>
      <c r="B996" s="99"/>
      <c r="C996" s="102"/>
      <c r="D996" s="102"/>
      <c r="E996" s="102"/>
      <c r="F996" s="102"/>
      <c r="G996" s="102"/>
      <c r="H996" s="102"/>
      <c r="I996" s="102"/>
      <c r="J996" s="102"/>
      <c r="K996" s="102"/>
      <c r="L996" s="102"/>
      <c r="M996" s="102"/>
      <c r="N996" s="102"/>
      <c r="O996" s="102"/>
      <c r="P996" s="102"/>
      <c r="Q996" s="102"/>
      <c r="R996" s="102"/>
    </row>
    <row r="997" spans="1:18" ht="35.1" customHeight="1" x14ac:dyDescent="0.2">
      <c r="A997" s="99"/>
      <c r="B997" s="99"/>
      <c r="C997" s="102"/>
      <c r="D997" s="102"/>
      <c r="E997" s="102"/>
      <c r="F997" s="102"/>
      <c r="G997" s="102"/>
      <c r="H997" s="102"/>
      <c r="I997" s="102"/>
      <c r="J997" s="102"/>
      <c r="K997" s="102"/>
      <c r="L997" s="102"/>
      <c r="M997" s="102"/>
      <c r="N997" s="102"/>
      <c r="O997" s="102"/>
      <c r="P997" s="102"/>
      <c r="Q997" s="102"/>
      <c r="R997" s="102"/>
    </row>
    <row r="998" spans="1:18" ht="35.1" customHeight="1" x14ac:dyDescent="0.2">
      <c r="A998" s="99"/>
      <c r="B998" s="99"/>
      <c r="C998" s="102"/>
      <c r="D998" s="102"/>
      <c r="E998" s="102"/>
      <c r="F998" s="102"/>
      <c r="G998" s="102"/>
      <c r="H998" s="102"/>
      <c r="I998" s="102"/>
      <c r="J998" s="102"/>
      <c r="K998" s="102"/>
      <c r="L998" s="102"/>
      <c r="M998" s="102"/>
      <c r="N998" s="102"/>
      <c r="O998" s="102"/>
      <c r="P998" s="102"/>
      <c r="Q998" s="102"/>
      <c r="R998" s="102"/>
    </row>
    <row r="999" spans="1:18" ht="35.1" customHeight="1" x14ac:dyDescent="0.2">
      <c r="A999" s="99"/>
      <c r="B999" s="99"/>
      <c r="C999" s="102"/>
      <c r="D999" s="102"/>
      <c r="E999" s="102"/>
      <c r="F999" s="102"/>
      <c r="G999" s="102"/>
      <c r="H999" s="102"/>
      <c r="I999" s="102"/>
      <c r="J999" s="102"/>
      <c r="K999" s="102"/>
      <c r="L999" s="102"/>
      <c r="M999" s="102"/>
      <c r="N999" s="102"/>
      <c r="O999" s="102"/>
      <c r="P999" s="102"/>
      <c r="Q999" s="102"/>
      <c r="R999" s="102"/>
    </row>
    <row r="1000" spans="1:18" ht="35.1" customHeight="1" x14ac:dyDescent="0.2">
      <c r="A1000" s="99"/>
      <c r="B1000" s="99"/>
      <c r="C1000" s="102"/>
      <c r="D1000" s="102"/>
      <c r="E1000" s="102"/>
      <c r="F1000" s="102"/>
      <c r="G1000" s="102"/>
      <c r="H1000" s="102"/>
      <c r="I1000" s="102"/>
      <c r="J1000" s="102"/>
      <c r="K1000" s="102"/>
      <c r="L1000" s="102"/>
      <c r="M1000" s="102"/>
      <c r="N1000" s="102"/>
      <c r="O1000" s="102"/>
      <c r="P1000" s="102"/>
      <c r="Q1000" s="102"/>
      <c r="R1000" s="102"/>
    </row>
    <row r="1001" spans="1:18" ht="35.1" customHeight="1" x14ac:dyDescent="0.2">
      <c r="A1001" s="99"/>
      <c r="B1001" s="99"/>
      <c r="C1001" s="102"/>
      <c r="D1001" s="102"/>
      <c r="E1001" s="102"/>
      <c r="F1001" s="102"/>
      <c r="G1001" s="102"/>
      <c r="H1001" s="102"/>
      <c r="I1001" s="102"/>
      <c r="J1001" s="102"/>
      <c r="K1001" s="102"/>
      <c r="L1001" s="102"/>
      <c r="M1001" s="102"/>
      <c r="N1001" s="102"/>
      <c r="O1001" s="102"/>
      <c r="P1001" s="102"/>
      <c r="Q1001" s="102"/>
      <c r="R1001" s="102"/>
    </row>
    <row r="1002" spans="1:18" ht="35.1" customHeight="1" x14ac:dyDescent="0.2">
      <c r="A1002" s="99"/>
      <c r="B1002" s="99"/>
      <c r="C1002" s="102"/>
      <c r="D1002" s="102"/>
      <c r="E1002" s="102"/>
      <c r="F1002" s="102"/>
      <c r="G1002" s="102"/>
      <c r="H1002" s="102"/>
      <c r="I1002" s="102"/>
      <c r="J1002" s="102"/>
      <c r="K1002" s="102"/>
      <c r="L1002" s="102"/>
      <c r="M1002" s="102"/>
      <c r="N1002" s="102"/>
      <c r="O1002" s="102"/>
      <c r="P1002" s="102"/>
      <c r="Q1002" s="102"/>
      <c r="R1002" s="102"/>
    </row>
    <row r="1003" spans="1:18" ht="35.1" customHeight="1" x14ac:dyDescent="0.2">
      <c r="A1003" s="99"/>
      <c r="B1003" s="99"/>
      <c r="C1003" s="102"/>
      <c r="D1003" s="102"/>
      <c r="E1003" s="102"/>
      <c r="F1003" s="102"/>
      <c r="G1003" s="102"/>
      <c r="H1003" s="102"/>
      <c r="I1003" s="102"/>
      <c r="J1003" s="102"/>
      <c r="K1003" s="102"/>
      <c r="L1003" s="102"/>
      <c r="M1003" s="102"/>
      <c r="N1003" s="102"/>
      <c r="O1003" s="102"/>
      <c r="P1003" s="102"/>
      <c r="Q1003" s="102"/>
      <c r="R1003" s="102"/>
    </row>
    <row r="1004" spans="1:18" ht="35.1" customHeight="1" x14ac:dyDescent="0.2">
      <c r="A1004" s="99"/>
      <c r="B1004" s="99"/>
      <c r="C1004" s="102"/>
      <c r="D1004" s="102"/>
      <c r="E1004" s="102"/>
      <c r="F1004" s="102"/>
      <c r="G1004" s="102"/>
      <c r="H1004" s="102"/>
      <c r="I1004" s="102"/>
      <c r="J1004" s="102"/>
      <c r="K1004" s="102"/>
      <c r="L1004" s="102"/>
      <c r="M1004" s="102"/>
      <c r="N1004" s="102"/>
      <c r="O1004" s="102"/>
      <c r="P1004" s="102"/>
      <c r="Q1004" s="102"/>
      <c r="R1004" s="102"/>
    </row>
    <row r="1005" spans="1:18" ht="35.1" customHeight="1" x14ac:dyDescent="0.2">
      <c r="A1005" s="99"/>
      <c r="B1005" s="99"/>
      <c r="C1005" s="102"/>
      <c r="D1005" s="102"/>
      <c r="E1005" s="102"/>
      <c r="F1005" s="102"/>
      <c r="G1005" s="102"/>
      <c r="H1005" s="102"/>
      <c r="I1005" s="102"/>
      <c r="J1005" s="102"/>
      <c r="K1005" s="102"/>
      <c r="L1005" s="102"/>
      <c r="M1005" s="102"/>
      <c r="N1005" s="102"/>
      <c r="O1005" s="102"/>
      <c r="P1005" s="102"/>
      <c r="Q1005" s="102"/>
      <c r="R1005" s="102"/>
    </row>
    <row r="1006" spans="1:18" ht="35.1" customHeight="1" x14ac:dyDescent="0.2">
      <c r="A1006" s="99"/>
      <c r="B1006" s="99"/>
      <c r="C1006" s="102"/>
      <c r="D1006" s="102"/>
      <c r="E1006" s="102"/>
      <c r="F1006" s="102"/>
      <c r="G1006" s="102"/>
      <c r="H1006" s="102"/>
      <c r="I1006" s="102"/>
      <c r="J1006" s="102"/>
      <c r="K1006" s="102"/>
      <c r="L1006" s="102"/>
      <c r="M1006" s="102"/>
      <c r="N1006" s="102"/>
      <c r="O1006" s="102"/>
      <c r="P1006" s="102"/>
      <c r="Q1006" s="102"/>
      <c r="R1006" s="102"/>
    </row>
    <row r="1007" spans="1:18" ht="35.1" customHeight="1" x14ac:dyDescent="0.2">
      <c r="A1007" s="99"/>
      <c r="B1007" s="99"/>
      <c r="C1007" s="102"/>
      <c r="D1007" s="102"/>
      <c r="E1007" s="102"/>
      <c r="F1007" s="102"/>
      <c r="G1007" s="102"/>
      <c r="H1007" s="102"/>
      <c r="I1007" s="102"/>
      <c r="J1007" s="102"/>
      <c r="K1007" s="102"/>
      <c r="L1007" s="102"/>
      <c r="M1007" s="102"/>
      <c r="N1007" s="102"/>
      <c r="O1007" s="102"/>
      <c r="P1007" s="102"/>
      <c r="Q1007" s="102"/>
      <c r="R1007" s="102"/>
    </row>
    <row r="1008" spans="1:18" ht="35.1" customHeight="1" x14ac:dyDescent="0.2">
      <c r="A1008" s="99"/>
      <c r="B1008" s="99"/>
      <c r="C1008" s="102"/>
      <c r="D1008" s="102"/>
      <c r="E1008" s="102"/>
      <c r="F1008" s="102"/>
      <c r="G1008" s="102"/>
      <c r="H1008" s="102"/>
      <c r="I1008" s="102"/>
      <c r="J1008" s="102"/>
      <c r="K1008" s="102"/>
      <c r="L1008" s="102"/>
      <c r="M1008" s="102"/>
      <c r="N1008" s="102"/>
      <c r="O1008" s="102"/>
      <c r="P1008" s="102"/>
      <c r="Q1008" s="102"/>
      <c r="R1008" s="102"/>
    </row>
    <row r="1009" spans="1:18" ht="35.1" customHeight="1" x14ac:dyDescent="0.2">
      <c r="A1009" s="99"/>
      <c r="B1009" s="99"/>
      <c r="C1009" s="102"/>
      <c r="D1009" s="102"/>
      <c r="E1009" s="102"/>
      <c r="F1009" s="102"/>
      <c r="G1009" s="102"/>
      <c r="H1009" s="102"/>
      <c r="I1009" s="102"/>
      <c r="J1009" s="102"/>
      <c r="K1009" s="102"/>
      <c r="L1009" s="102"/>
      <c r="M1009" s="102"/>
      <c r="N1009" s="102"/>
      <c r="O1009" s="102"/>
      <c r="P1009" s="102"/>
      <c r="Q1009" s="102"/>
      <c r="R1009" s="102"/>
    </row>
    <row r="1010" spans="1:18" ht="35.1" customHeight="1" x14ac:dyDescent="0.2">
      <c r="A1010" s="99"/>
      <c r="B1010" s="99"/>
      <c r="C1010" s="102"/>
      <c r="D1010" s="102"/>
      <c r="E1010" s="102"/>
      <c r="F1010" s="102"/>
      <c r="G1010" s="102"/>
      <c r="H1010" s="102"/>
      <c r="I1010" s="102"/>
      <c r="J1010" s="102"/>
      <c r="K1010" s="102"/>
      <c r="L1010" s="102"/>
      <c r="M1010" s="102"/>
      <c r="N1010" s="102"/>
      <c r="O1010" s="102"/>
      <c r="P1010" s="102"/>
      <c r="Q1010" s="102"/>
      <c r="R1010" s="102"/>
    </row>
    <row r="1011" spans="1:18" ht="35.1" customHeight="1" x14ac:dyDescent="0.2">
      <c r="A1011" s="99"/>
      <c r="B1011" s="99"/>
      <c r="C1011" s="102"/>
      <c r="D1011" s="102"/>
      <c r="E1011" s="102"/>
      <c r="F1011" s="102"/>
      <c r="G1011" s="102"/>
      <c r="H1011" s="102"/>
      <c r="I1011" s="102"/>
      <c r="J1011" s="102"/>
      <c r="K1011" s="102"/>
      <c r="L1011" s="102"/>
      <c r="M1011" s="102"/>
      <c r="N1011" s="102"/>
      <c r="O1011" s="102"/>
      <c r="P1011" s="102"/>
      <c r="Q1011" s="102"/>
      <c r="R1011" s="102"/>
    </row>
    <row r="1012" spans="1:18" ht="35.1" customHeight="1" x14ac:dyDescent="0.2">
      <c r="A1012" s="99"/>
      <c r="B1012" s="99"/>
      <c r="C1012" s="102"/>
      <c r="D1012" s="102"/>
      <c r="E1012" s="102"/>
      <c r="F1012" s="102"/>
      <c r="G1012" s="102"/>
      <c r="H1012" s="102"/>
      <c r="I1012" s="102"/>
      <c r="J1012" s="102"/>
      <c r="K1012" s="102"/>
      <c r="L1012" s="102"/>
      <c r="M1012" s="102"/>
      <c r="N1012" s="102"/>
      <c r="O1012" s="102"/>
      <c r="P1012" s="102"/>
      <c r="Q1012" s="102"/>
      <c r="R1012" s="102"/>
    </row>
    <row r="1013" spans="1:18" ht="35.1" customHeight="1" x14ac:dyDescent="0.2">
      <c r="A1013" s="99"/>
      <c r="B1013" s="99"/>
      <c r="C1013" s="102"/>
      <c r="D1013" s="102"/>
      <c r="E1013" s="102"/>
      <c r="F1013" s="102"/>
      <c r="G1013" s="102"/>
      <c r="H1013" s="102"/>
      <c r="I1013" s="102"/>
      <c r="J1013" s="102"/>
      <c r="K1013" s="102"/>
      <c r="L1013" s="102"/>
      <c r="M1013" s="102"/>
      <c r="N1013" s="102"/>
      <c r="O1013" s="102"/>
      <c r="P1013" s="102"/>
      <c r="Q1013" s="102"/>
      <c r="R1013" s="102"/>
    </row>
    <row r="1014" spans="1:18" ht="35.1" customHeight="1" x14ac:dyDescent="0.2">
      <c r="A1014" s="99"/>
      <c r="B1014" s="99"/>
      <c r="C1014" s="102"/>
      <c r="D1014" s="102"/>
      <c r="E1014" s="102"/>
      <c r="F1014" s="102"/>
      <c r="G1014" s="102"/>
      <c r="H1014" s="102"/>
      <c r="I1014" s="102"/>
      <c r="J1014" s="102"/>
      <c r="K1014" s="102"/>
      <c r="L1014" s="102"/>
      <c r="M1014" s="102"/>
      <c r="N1014" s="102"/>
      <c r="O1014" s="102"/>
      <c r="P1014" s="102"/>
      <c r="Q1014" s="102"/>
      <c r="R1014" s="102"/>
    </row>
    <row r="1015" spans="1:18" ht="35.1" customHeight="1" x14ac:dyDescent="0.2">
      <c r="A1015" s="99"/>
      <c r="B1015" s="99"/>
      <c r="C1015" s="102"/>
      <c r="D1015" s="102"/>
      <c r="E1015" s="102"/>
      <c r="F1015" s="102"/>
      <c r="G1015" s="102"/>
      <c r="H1015" s="102"/>
      <c r="I1015" s="102"/>
      <c r="J1015" s="102"/>
      <c r="K1015" s="102"/>
      <c r="L1015" s="102"/>
      <c r="M1015" s="102"/>
      <c r="N1015" s="102"/>
      <c r="O1015" s="102"/>
      <c r="P1015" s="102"/>
      <c r="Q1015" s="102"/>
      <c r="R1015" s="102"/>
    </row>
    <row r="1016" spans="1:18" ht="35.1" customHeight="1" x14ac:dyDescent="0.2">
      <c r="A1016" s="99"/>
      <c r="B1016" s="99"/>
      <c r="C1016" s="102"/>
      <c r="D1016" s="102"/>
      <c r="E1016" s="102"/>
      <c r="F1016" s="102"/>
      <c r="G1016" s="102"/>
      <c r="H1016" s="102"/>
      <c r="I1016" s="102"/>
      <c r="J1016" s="102"/>
      <c r="K1016" s="102"/>
      <c r="L1016" s="102"/>
      <c r="M1016" s="102"/>
      <c r="N1016" s="102"/>
      <c r="O1016" s="102"/>
      <c r="P1016" s="102"/>
      <c r="Q1016" s="102"/>
      <c r="R1016" s="102"/>
    </row>
    <row r="1017" spans="1:18" ht="35.1" customHeight="1" x14ac:dyDescent="0.2">
      <c r="A1017" s="99"/>
      <c r="B1017" s="99"/>
      <c r="C1017" s="102"/>
      <c r="D1017" s="102"/>
      <c r="E1017" s="102"/>
      <c r="F1017" s="102"/>
      <c r="G1017" s="102"/>
      <c r="H1017" s="102"/>
      <c r="I1017" s="102"/>
      <c r="J1017" s="102"/>
      <c r="K1017" s="102"/>
      <c r="L1017" s="102"/>
      <c r="M1017" s="102"/>
      <c r="N1017" s="102"/>
      <c r="O1017" s="102"/>
      <c r="P1017" s="102"/>
      <c r="Q1017" s="102"/>
      <c r="R1017" s="102"/>
    </row>
    <row r="1018" spans="1:18" ht="35.1" customHeight="1" x14ac:dyDescent="0.2">
      <c r="A1018" s="99"/>
      <c r="B1018" s="99"/>
      <c r="C1018" s="102"/>
      <c r="D1018" s="102"/>
      <c r="E1018" s="102"/>
      <c r="F1018" s="102"/>
      <c r="G1018" s="102"/>
      <c r="H1018" s="102"/>
      <c r="I1018" s="102"/>
      <c r="J1018" s="102"/>
      <c r="K1018" s="102"/>
      <c r="L1018" s="102"/>
      <c r="M1018" s="102"/>
      <c r="N1018" s="102"/>
      <c r="O1018" s="102"/>
      <c r="P1018" s="102"/>
      <c r="Q1018" s="102"/>
      <c r="R1018" s="102"/>
    </row>
    <row r="1019" spans="1:18" ht="35.1" customHeight="1" x14ac:dyDescent="0.2">
      <c r="A1019" s="99"/>
      <c r="B1019" s="99"/>
      <c r="C1019" s="102"/>
      <c r="D1019" s="102"/>
      <c r="E1019" s="102"/>
      <c r="F1019" s="102"/>
      <c r="G1019" s="102"/>
      <c r="H1019" s="102"/>
      <c r="I1019" s="102"/>
      <c r="J1019" s="102"/>
      <c r="K1019" s="102"/>
      <c r="L1019" s="102"/>
      <c r="M1019" s="102"/>
      <c r="N1019" s="102"/>
      <c r="O1019" s="102"/>
      <c r="P1019" s="102"/>
      <c r="Q1019" s="102"/>
      <c r="R1019" s="102"/>
    </row>
    <row r="1020" spans="1:18" ht="35.1" customHeight="1" x14ac:dyDescent="0.2">
      <c r="A1020" s="99"/>
      <c r="B1020" s="99"/>
      <c r="C1020" s="102"/>
      <c r="D1020" s="102"/>
      <c r="E1020" s="102"/>
      <c r="F1020" s="102"/>
      <c r="G1020" s="102"/>
      <c r="H1020" s="102"/>
      <c r="I1020" s="102"/>
      <c r="J1020" s="102"/>
      <c r="K1020" s="102"/>
      <c r="L1020" s="102"/>
      <c r="M1020" s="102"/>
      <c r="N1020" s="102"/>
      <c r="O1020" s="102"/>
      <c r="P1020" s="102"/>
      <c r="Q1020" s="102"/>
      <c r="R1020" s="102"/>
    </row>
    <row r="1021" spans="1:18" ht="35.1" customHeight="1" x14ac:dyDescent="0.2">
      <c r="A1021" s="99"/>
      <c r="B1021" s="99"/>
      <c r="C1021" s="102"/>
      <c r="D1021" s="102"/>
      <c r="E1021" s="102"/>
      <c r="F1021" s="102"/>
      <c r="G1021" s="102"/>
      <c r="H1021" s="102"/>
      <c r="I1021" s="102"/>
      <c r="J1021" s="102"/>
      <c r="K1021" s="102"/>
      <c r="L1021" s="102"/>
      <c r="M1021" s="102"/>
      <c r="N1021" s="102"/>
      <c r="O1021" s="102"/>
      <c r="P1021" s="102"/>
      <c r="Q1021" s="102"/>
      <c r="R1021" s="102"/>
    </row>
    <row r="1022" spans="1:18" ht="35.1" customHeight="1" x14ac:dyDescent="0.2">
      <c r="A1022" s="99"/>
      <c r="B1022" s="99"/>
      <c r="C1022" s="102"/>
      <c r="D1022" s="102"/>
      <c r="E1022" s="102"/>
      <c r="F1022" s="102"/>
      <c r="G1022" s="102"/>
      <c r="H1022" s="102"/>
      <c r="I1022" s="102"/>
      <c r="J1022" s="102"/>
      <c r="K1022" s="102"/>
      <c r="L1022" s="102"/>
      <c r="M1022" s="102"/>
      <c r="N1022" s="102"/>
      <c r="O1022" s="102"/>
      <c r="P1022" s="102"/>
      <c r="Q1022" s="102"/>
      <c r="R1022" s="102"/>
    </row>
    <row r="1023" spans="1:18" ht="35.1" customHeight="1" x14ac:dyDescent="0.2">
      <c r="A1023" s="99"/>
      <c r="B1023" s="99"/>
      <c r="C1023" s="102"/>
      <c r="D1023" s="102"/>
      <c r="E1023" s="102"/>
      <c r="F1023" s="102"/>
      <c r="G1023" s="102"/>
      <c r="H1023" s="102"/>
      <c r="I1023" s="102"/>
      <c r="J1023" s="102"/>
      <c r="K1023" s="102"/>
      <c r="L1023" s="102"/>
      <c r="M1023" s="102"/>
      <c r="N1023" s="102"/>
      <c r="O1023" s="102"/>
      <c r="P1023" s="102"/>
      <c r="Q1023" s="102"/>
      <c r="R1023" s="102"/>
    </row>
    <row r="1024" spans="1:18" ht="35.1" customHeight="1" x14ac:dyDescent="0.2">
      <c r="A1024" s="99"/>
      <c r="B1024" s="99"/>
      <c r="C1024" s="102"/>
      <c r="D1024" s="102"/>
      <c r="E1024" s="102"/>
      <c r="F1024" s="102"/>
      <c r="G1024" s="102"/>
      <c r="H1024" s="102"/>
      <c r="I1024" s="102"/>
      <c r="J1024" s="102"/>
      <c r="K1024" s="102"/>
      <c r="L1024" s="102"/>
      <c r="M1024" s="102"/>
      <c r="N1024" s="102"/>
      <c r="O1024" s="102"/>
      <c r="P1024" s="102"/>
      <c r="Q1024" s="102"/>
      <c r="R1024" s="102"/>
    </row>
    <row r="1025" spans="1:18" ht="35.1" customHeight="1" x14ac:dyDescent="0.2">
      <c r="A1025" s="99"/>
      <c r="B1025" s="99"/>
      <c r="C1025" s="102"/>
      <c r="D1025" s="102"/>
      <c r="E1025" s="102"/>
      <c r="F1025" s="102"/>
      <c r="G1025" s="102"/>
      <c r="H1025" s="102"/>
      <c r="I1025" s="102"/>
      <c r="J1025" s="102"/>
      <c r="K1025" s="102"/>
      <c r="L1025" s="102"/>
      <c r="M1025" s="102"/>
      <c r="N1025" s="102"/>
      <c r="O1025" s="102"/>
      <c r="P1025" s="102"/>
      <c r="Q1025" s="102"/>
      <c r="R1025" s="102"/>
    </row>
    <row r="1026" spans="1:18" ht="35.1" customHeight="1" x14ac:dyDescent="0.2">
      <c r="A1026" s="99"/>
      <c r="B1026" s="99"/>
      <c r="C1026" s="102"/>
      <c r="D1026" s="102"/>
      <c r="E1026" s="102"/>
      <c r="F1026" s="102"/>
      <c r="G1026" s="102"/>
      <c r="H1026" s="102"/>
      <c r="I1026" s="102"/>
      <c r="J1026" s="102"/>
      <c r="K1026" s="102"/>
      <c r="L1026" s="102"/>
      <c r="M1026" s="102"/>
      <c r="N1026" s="102"/>
      <c r="O1026" s="102"/>
      <c r="P1026" s="102"/>
      <c r="Q1026" s="102"/>
      <c r="R1026" s="102"/>
    </row>
    <row r="1027" spans="1:18" ht="35.1" customHeight="1" x14ac:dyDescent="0.2">
      <c r="A1027" s="99"/>
      <c r="B1027" s="99"/>
      <c r="C1027" s="102"/>
      <c r="D1027" s="102"/>
      <c r="E1027" s="102"/>
      <c r="F1027" s="102"/>
      <c r="G1027" s="102"/>
      <c r="H1027" s="102"/>
      <c r="I1027" s="102"/>
      <c r="J1027" s="102"/>
      <c r="K1027" s="102"/>
      <c r="L1027" s="102"/>
      <c r="M1027" s="102"/>
      <c r="N1027" s="102"/>
      <c r="O1027" s="102"/>
      <c r="P1027" s="102"/>
      <c r="Q1027" s="102"/>
      <c r="R1027" s="102"/>
    </row>
    <row r="1028" spans="1:18" ht="35.1" customHeight="1" x14ac:dyDescent="0.2">
      <c r="A1028" s="99"/>
      <c r="B1028" s="99"/>
      <c r="C1028" s="102"/>
      <c r="D1028" s="102"/>
      <c r="E1028" s="102"/>
      <c r="F1028" s="102"/>
      <c r="G1028" s="102"/>
      <c r="H1028" s="102"/>
      <c r="I1028" s="102"/>
      <c r="J1028" s="102"/>
      <c r="K1028" s="102"/>
      <c r="L1028" s="102"/>
      <c r="M1028" s="102"/>
      <c r="N1028" s="102"/>
      <c r="O1028" s="102"/>
      <c r="P1028" s="102"/>
      <c r="Q1028" s="102"/>
      <c r="R1028" s="102"/>
    </row>
    <row r="1029" spans="1:18" ht="35.1" customHeight="1" x14ac:dyDescent="0.2">
      <c r="A1029" s="99"/>
      <c r="B1029" s="99"/>
      <c r="C1029" s="102"/>
      <c r="D1029" s="102"/>
      <c r="E1029" s="102"/>
      <c r="F1029" s="102"/>
      <c r="G1029" s="102"/>
      <c r="H1029" s="102"/>
      <c r="I1029" s="102"/>
      <c r="J1029" s="102"/>
      <c r="K1029" s="102"/>
      <c r="L1029" s="102"/>
      <c r="M1029" s="102"/>
      <c r="N1029" s="102"/>
      <c r="O1029" s="102"/>
      <c r="P1029" s="102"/>
      <c r="Q1029" s="102"/>
      <c r="R1029" s="102"/>
    </row>
    <row r="1030" spans="1:18" ht="35.1" customHeight="1" x14ac:dyDescent="0.2">
      <c r="A1030" s="99"/>
      <c r="B1030" s="99"/>
      <c r="C1030" s="102"/>
      <c r="D1030" s="102"/>
      <c r="E1030" s="102"/>
      <c r="F1030" s="102"/>
      <c r="G1030" s="102"/>
      <c r="H1030" s="102"/>
      <c r="I1030" s="102"/>
      <c r="J1030" s="102"/>
      <c r="K1030" s="102"/>
      <c r="L1030" s="102"/>
      <c r="M1030" s="102"/>
      <c r="N1030" s="102"/>
      <c r="O1030" s="102"/>
      <c r="P1030" s="102"/>
      <c r="Q1030" s="102"/>
      <c r="R1030" s="102"/>
    </row>
    <row r="1031" spans="1:18" ht="35.1" customHeight="1" x14ac:dyDescent="0.2">
      <c r="A1031" s="99"/>
      <c r="B1031" s="99"/>
      <c r="C1031" s="102"/>
      <c r="D1031" s="102"/>
      <c r="E1031" s="102"/>
      <c r="F1031" s="102"/>
      <c r="G1031" s="102"/>
      <c r="H1031" s="102"/>
      <c r="I1031" s="102"/>
      <c r="J1031" s="102"/>
      <c r="K1031" s="102"/>
      <c r="L1031" s="102"/>
      <c r="M1031" s="102"/>
      <c r="N1031" s="102"/>
      <c r="O1031" s="102"/>
      <c r="P1031" s="102"/>
      <c r="Q1031" s="102"/>
      <c r="R1031" s="102"/>
    </row>
    <row r="1032" spans="1:18" ht="35.1" customHeight="1" x14ac:dyDescent="0.2">
      <c r="A1032" s="99"/>
      <c r="B1032" s="99"/>
      <c r="C1032" s="102"/>
      <c r="D1032" s="102"/>
      <c r="E1032" s="102"/>
      <c r="F1032" s="102"/>
      <c r="G1032" s="102"/>
      <c r="H1032" s="102"/>
      <c r="I1032" s="102"/>
      <c r="J1032" s="102"/>
      <c r="K1032" s="102"/>
      <c r="L1032" s="102"/>
      <c r="M1032" s="102"/>
      <c r="N1032" s="102"/>
      <c r="O1032" s="102"/>
      <c r="P1032" s="102"/>
      <c r="Q1032" s="102"/>
      <c r="R1032" s="102"/>
    </row>
    <row r="1033" spans="1:18" ht="35.1" customHeight="1" x14ac:dyDescent="0.2">
      <c r="A1033" s="99"/>
      <c r="B1033" s="99"/>
      <c r="C1033" s="102"/>
      <c r="D1033" s="102"/>
      <c r="E1033" s="102"/>
      <c r="F1033" s="102"/>
      <c r="G1033" s="102"/>
      <c r="H1033" s="102"/>
      <c r="I1033" s="102"/>
      <c r="J1033" s="102"/>
      <c r="K1033" s="102"/>
      <c r="L1033" s="102"/>
      <c r="M1033" s="102"/>
      <c r="N1033" s="102"/>
      <c r="O1033" s="102"/>
      <c r="P1033" s="102"/>
      <c r="Q1033" s="102"/>
      <c r="R1033" s="102"/>
    </row>
    <row r="1034" spans="1:18" ht="35.1" customHeight="1" x14ac:dyDescent="0.2">
      <c r="A1034" s="99"/>
      <c r="B1034" s="99"/>
      <c r="C1034" s="102"/>
      <c r="D1034" s="102"/>
      <c r="E1034" s="102"/>
      <c r="F1034" s="102"/>
      <c r="G1034" s="102"/>
      <c r="H1034" s="102"/>
      <c r="I1034" s="102"/>
      <c r="J1034" s="102"/>
      <c r="K1034" s="102"/>
      <c r="L1034" s="102"/>
      <c r="M1034" s="102"/>
      <c r="N1034" s="102"/>
      <c r="O1034" s="102"/>
      <c r="P1034" s="102"/>
      <c r="Q1034" s="102"/>
      <c r="R1034" s="102"/>
    </row>
    <row r="1035" spans="1:18" ht="35.1" customHeight="1" x14ac:dyDescent="0.2">
      <c r="A1035" s="99"/>
      <c r="B1035" s="99"/>
      <c r="C1035" s="102"/>
      <c r="D1035" s="102"/>
      <c r="E1035" s="102"/>
      <c r="F1035" s="102"/>
      <c r="G1035" s="102"/>
      <c r="H1035" s="102"/>
      <c r="I1035" s="102"/>
      <c r="J1035" s="102"/>
      <c r="K1035" s="102"/>
      <c r="L1035" s="102"/>
      <c r="M1035" s="102"/>
      <c r="N1035" s="102"/>
      <c r="O1035" s="102"/>
      <c r="P1035" s="102"/>
      <c r="Q1035" s="102"/>
      <c r="R1035" s="102"/>
    </row>
    <row r="1036" spans="1:18" ht="35.1" customHeight="1" x14ac:dyDescent="0.2">
      <c r="A1036" s="99"/>
      <c r="B1036" s="99"/>
      <c r="C1036" s="102"/>
      <c r="D1036" s="102"/>
      <c r="E1036" s="102"/>
      <c r="F1036" s="102"/>
      <c r="G1036" s="102"/>
      <c r="H1036" s="102"/>
      <c r="I1036" s="102"/>
      <c r="J1036" s="102"/>
      <c r="K1036" s="102"/>
      <c r="L1036" s="102"/>
      <c r="M1036" s="102"/>
      <c r="N1036" s="102"/>
      <c r="O1036" s="102"/>
      <c r="P1036" s="102"/>
      <c r="Q1036" s="102"/>
      <c r="R1036" s="102"/>
    </row>
    <row r="1037" spans="1:18" ht="35.1" customHeight="1" x14ac:dyDescent="0.2">
      <c r="A1037" s="99"/>
      <c r="B1037" s="99"/>
      <c r="C1037" s="102"/>
      <c r="D1037" s="102"/>
      <c r="E1037" s="102"/>
      <c r="F1037" s="102"/>
      <c r="G1037" s="102"/>
      <c r="H1037" s="102"/>
      <c r="I1037" s="102"/>
      <c r="J1037" s="102"/>
      <c r="K1037" s="102"/>
      <c r="L1037" s="102"/>
      <c r="M1037" s="102"/>
      <c r="N1037" s="102"/>
      <c r="O1037" s="102"/>
      <c r="P1037" s="102"/>
      <c r="Q1037" s="102"/>
      <c r="R1037" s="102"/>
    </row>
    <row r="1038" spans="1:18" ht="35.1" customHeight="1" x14ac:dyDescent="0.2">
      <c r="A1038" s="99"/>
      <c r="B1038" s="99"/>
      <c r="C1038" s="102"/>
      <c r="D1038" s="102"/>
      <c r="E1038" s="102"/>
      <c r="F1038" s="102"/>
      <c r="G1038" s="102"/>
      <c r="H1038" s="102"/>
      <c r="I1038" s="102"/>
      <c r="J1038" s="102"/>
      <c r="K1038" s="102"/>
      <c r="L1038" s="102"/>
      <c r="M1038" s="102"/>
      <c r="N1038" s="102"/>
      <c r="O1038" s="102"/>
      <c r="P1038" s="102"/>
      <c r="Q1038" s="102"/>
      <c r="R1038" s="102"/>
    </row>
    <row r="1039" spans="1:18" ht="35.1" customHeight="1" x14ac:dyDescent="0.2">
      <c r="A1039" s="99"/>
      <c r="B1039" s="99"/>
      <c r="C1039" s="102"/>
      <c r="D1039" s="102"/>
      <c r="E1039" s="102"/>
      <c r="F1039" s="102"/>
      <c r="G1039" s="102"/>
      <c r="H1039" s="102"/>
      <c r="I1039" s="102"/>
      <c r="J1039" s="102"/>
      <c r="K1039" s="102"/>
      <c r="L1039" s="102"/>
      <c r="M1039" s="102"/>
      <c r="N1039" s="102"/>
      <c r="O1039" s="102"/>
      <c r="P1039" s="102"/>
      <c r="Q1039" s="102"/>
      <c r="R1039" s="102"/>
    </row>
    <row r="1040" spans="1:18" ht="35.1" customHeight="1" x14ac:dyDescent="0.2">
      <c r="A1040" s="99"/>
      <c r="B1040" s="99"/>
      <c r="C1040" s="102"/>
      <c r="D1040" s="102"/>
      <c r="E1040" s="102"/>
      <c r="F1040" s="102"/>
      <c r="G1040" s="102"/>
      <c r="H1040" s="102"/>
      <c r="I1040" s="102"/>
      <c r="J1040" s="102"/>
      <c r="K1040" s="102"/>
      <c r="L1040" s="102"/>
      <c r="M1040" s="102"/>
      <c r="N1040" s="102"/>
      <c r="O1040" s="102"/>
      <c r="P1040" s="102"/>
      <c r="Q1040" s="102"/>
      <c r="R1040" s="102"/>
    </row>
    <row r="1041" spans="1:18" ht="35.1" customHeight="1" x14ac:dyDescent="0.2">
      <c r="A1041" s="99"/>
      <c r="B1041" s="99"/>
      <c r="C1041" s="102"/>
      <c r="D1041" s="102"/>
      <c r="E1041" s="102"/>
      <c r="F1041" s="102"/>
      <c r="G1041" s="102"/>
      <c r="H1041" s="102"/>
      <c r="I1041" s="102"/>
      <c r="J1041" s="102"/>
      <c r="K1041" s="102"/>
      <c r="L1041" s="102"/>
      <c r="M1041" s="102"/>
      <c r="N1041" s="102"/>
      <c r="O1041" s="102"/>
      <c r="P1041" s="102"/>
      <c r="Q1041" s="102"/>
      <c r="R1041" s="102"/>
    </row>
    <row r="1042" spans="1:18" ht="35.1" customHeight="1" x14ac:dyDescent="0.2">
      <c r="A1042" s="99"/>
      <c r="B1042" s="99"/>
      <c r="C1042" s="102"/>
      <c r="D1042" s="102"/>
      <c r="E1042" s="102"/>
      <c r="F1042" s="102"/>
      <c r="G1042" s="102"/>
      <c r="H1042" s="102"/>
      <c r="I1042" s="102"/>
      <c r="J1042" s="102"/>
      <c r="K1042" s="102"/>
      <c r="L1042" s="102"/>
      <c r="M1042" s="102"/>
      <c r="N1042" s="102"/>
      <c r="O1042" s="102"/>
      <c r="P1042" s="102"/>
      <c r="Q1042" s="102"/>
      <c r="R1042" s="102"/>
    </row>
    <row r="1043" spans="1:18" ht="35.1" customHeight="1" x14ac:dyDescent="0.2">
      <c r="A1043" s="99"/>
      <c r="B1043" s="99"/>
      <c r="C1043" s="102"/>
      <c r="D1043" s="102"/>
      <c r="E1043" s="102"/>
      <c r="F1043" s="102"/>
      <c r="G1043" s="102"/>
      <c r="H1043" s="102"/>
      <c r="I1043" s="102"/>
      <c r="J1043" s="102"/>
      <c r="K1043" s="102"/>
      <c r="L1043" s="102"/>
      <c r="M1043" s="102"/>
      <c r="N1043" s="102"/>
      <c r="O1043" s="102"/>
      <c r="P1043" s="102"/>
      <c r="Q1043" s="102"/>
      <c r="R1043" s="102"/>
    </row>
    <row r="1044" spans="1:18" ht="35.1" customHeight="1" x14ac:dyDescent="0.2">
      <c r="A1044" s="99"/>
      <c r="B1044" s="99"/>
      <c r="C1044" s="102"/>
      <c r="D1044" s="102"/>
      <c r="E1044" s="102"/>
      <c r="F1044" s="102"/>
      <c r="G1044" s="102"/>
      <c r="H1044" s="102"/>
      <c r="I1044" s="102"/>
      <c r="J1044" s="102"/>
      <c r="K1044" s="102"/>
      <c r="L1044" s="102"/>
      <c r="M1044" s="102"/>
      <c r="N1044" s="102"/>
      <c r="O1044" s="102"/>
      <c r="P1044" s="102"/>
      <c r="Q1044" s="102"/>
      <c r="R1044" s="102"/>
    </row>
    <row r="1045" spans="1:18" ht="35.1" customHeight="1" x14ac:dyDescent="0.2">
      <c r="A1045" s="99"/>
      <c r="B1045" s="99"/>
      <c r="C1045" s="102"/>
      <c r="D1045" s="102"/>
      <c r="E1045" s="102"/>
      <c r="F1045" s="102"/>
      <c r="G1045" s="102"/>
      <c r="H1045" s="102"/>
      <c r="I1045" s="102"/>
      <c r="J1045" s="102"/>
      <c r="K1045" s="102"/>
      <c r="L1045" s="102"/>
      <c r="M1045" s="102"/>
      <c r="N1045" s="102"/>
      <c r="O1045" s="102"/>
      <c r="P1045" s="102"/>
      <c r="Q1045" s="102"/>
      <c r="R1045" s="102"/>
    </row>
    <row r="1046" spans="1:18" ht="35.1" customHeight="1" x14ac:dyDescent="0.2">
      <c r="A1046" s="99"/>
      <c r="B1046" s="99"/>
      <c r="C1046" s="102"/>
      <c r="D1046" s="102"/>
      <c r="E1046" s="102"/>
      <c r="F1046" s="102"/>
      <c r="G1046" s="102"/>
      <c r="H1046" s="102"/>
      <c r="I1046" s="102"/>
      <c r="J1046" s="102"/>
      <c r="K1046" s="102"/>
      <c r="L1046" s="102"/>
      <c r="M1046" s="102"/>
      <c r="N1046" s="102"/>
      <c r="O1046" s="102"/>
      <c r="P1046" s="102"/>
      <c r="Q1046" s="102"/>
      <c r="R1046" s="102"/>
    </row>
    <row r="1047" spans="1:18" ht="35.1" customHeight="1" x14ac:dyDescent="0.2">
      <c r="A1047" s="99"/>
      <c r="B1047" s="99"/>
      <c r="C1047" s="102"/>
      <c r="D1047" s="102"/>
      <c r="E1047" s="102"/>
      <c r="F1047" s="102"/>
      <c r="G1047" s="102"/>
      <c r="H1047" s="102"/>
      <c r="I1047" s="102"/>
      <c r="J1047" s="102"/>
      <c r="K1047" s="102"/>
      <c r="L1047" s="102"/>
      <c r="M1047" s="102"/>
      <c r="N1047" s="102"/>
      <c r="O1047" s="102"/>
      <c r="P1047" s="102"/>
      <c r="Q1047" s="102"/>
      <c r="R1047" s="102"/>
    </row>
    <row r="1048" spans="1:18" ht="35.1" customHeight="1" x14ac:dyDescent="0.2">
      <c r="A1048" s="99"/>
      <c r="B1048" s="99"/>
      <c r="C1048" s="102"/>
      <c r="D1048" s="102"/>
      <c r="E1048" s="102"/>
      <c r="F1048" s="102"/>
      <c r="G1048" s="102"/>
      <c r="H1048" s="102"/>
      <c r="I1048" s="102"/>
      <c r="J1048" s="102"/>
      <c r="K1048" s="102"/>
      <c r="L1048" s="102"/>
      <c r="M1048" s="102"/>
      <c r="N1048" s="102"/>
      <c r="O1048" s="102"/>
      <c r="P1048" s="102"/>
      <c r="Q1048" s="102"/>
      <c r="R1048" s="102"/>
    </row>
    <row r="1049" spans="1:18" ht="35.1" customHeight="1" x14ac:dyDescent="0.2">
      <c r="A1049" s="99"/>
      <c r="B1049" s="99"/>
      <c r="C1049" s="102"/>
      <c r="D1049" s="102"/>
      <c r="E1049" s="102"/>
      <c r="F1049" s="102"/>
      <c r="G1049" s="102"/>
      <c r="H1049" s="102"/>
      <c r="I1049" s="102"/>
      <c r="J1049" s="102"/>
      <c r="K1049" s="102"/>
      <c r="L1049" s="102"/>
      <c r="M1049" s="102"/>
      <c r="N1049" s="102"/>
      <c r="O1049" s="102"/>
      <c r="P1049" s="102"/>
      <c r="Q1049" s="102"/>
      <c r="R1049" s="102"/>
    </row>
    <row r="1050" spans="1:18" ht="35.1" customHeight="1" x14ac:dyDescent="0.2">
      <c r="A1050" s="99"/>
      <c r="B1050" s="99"/>
      <c r="C1050" s="102"/>
      <c r="D1050" s="102"/>
      <c r="E1050" s="102"/>
      <c r="F1050" s="102"/>
      <c r="G1050" s="102"/>
      <c r="H1050" s="102"/>
      <c r="I1050" s="102"/>
      <c r="J1050" s="102"/>
      <c r="K1050" s="102"/>
      <c r="L1050" s="102"/>
      <c r="M1050" s="102"/>
      <c r="N1050" s="102"/>
      <c r="O1050" s="102"/>
      <c r="P1050" s="102"/>
      <c r="Q1050" s="102"/>
      <c r="R1050" s="102"/>
    </row>
    <row r="1051" spans="1:18" ht="35.1" customHeight="1" x14ac:dyDescent="0.2">
      <c r="A1051" s="99"/>
      <c r="B1051" s="99"/>
      <c r="C1051" s="102"/>
      <c r="D1051" s="102"/>
      <c r="E1051" s="102"/>
      <c r="F1051" s="102"/>
      <c r="G1051" s="102"/>
      <c r="H1051" s="102"/>
      <c r="I1051" s="102"/>
      <c r="J1051" s="102"/>
      <c r="K1051" s="102"/>
      <c r="L1051" s="102"/>
      <c r="M1051" s="102"/>
      <c r="N1051" s="102"/>
      <c r="O1051" s="102"/>
      <c r="P1051" s="102"/>
      <c r="Q1051" s="102"/>
      <c r="R1051" s="102"/>
    </row>
    <row r="1052" spans="1:18" ht="35.1" customHeight="1" x14ac:dyDescent="0.2">
      <c r="A1052" s="99"/>
      <c r="B1052" s="99"/>
      <c r="C1052" s="102"/>
      <c r="D1052" s="102"/>
      <c r="E1052" s="102"/>
      <c r="F1052" s="102"/>
      <c r="G1052" s="102"/>
      <c r="H1052" s="102"/>
      <c r="I1052" s="102"/>
      <c r="J1052" s="102"/>
      <c r="K1052" s="102"/>
      <c r="L1052" s="102"/>
      <c r="M1052" s="102"/>
      <c r="N1052" s="102"/>
      <c r="O1052" s="102"/>
      <c r="P1052" s="102"/>
      <c r="Q1052" s="102"/>
      <c r="R1052" s="102"/>
    </row>
    <row r="1053" spans="1:18" ht="35.1" customHeight="1" x14ac:dyDescent="0.2">
      <c r="A1053" s="99"/>
      <c r="B1053" s="99"/>
      <c r="C1053" s="102"/>
      <c r="D1053" s="102"/>
      <c r="E1053" s="102"/>
      <c r="F1053" s="102"/>
      <c r="G1053" s="102"/>
      <c r="H1053" s="102"/>
      <c r="I1053" s="102"/>
      <c r="J1053" s="102"/>
      <c r="K1053" s="102"/>
      <c r="L1053" s="102"/>
      <c r="M1053" s="102"/>
      <c r="N1053" s="102"/>
      <c r="O1053" s="102"/>
      <c r="P1053" s="102"/>
      <c r="Q1053" s="102"/>
      <c r="R1053" s="102"/>
    </row>
    <row r="1054" spans="1:18" ht="35.1" customHeight="1" x14ac:dyDescent="0.2">
      <c r="A1054" s="99"/>
      <c r="B1054" s="99"/>
      <c r="C1054" s="102"/>
      <c r="D1054" s="102"/>
      <c r="E1054" s="102"/>
      <c r="F1054" s="102"/>
      <c r="G1054" s="102"/>
      <c r="H1054" s="102"/>
      <c r="I1054" s="102"/>
      <c r="J1054" s="102"/>
      <c r="K1054" s="102"/>
      <c r="L1054" s="102"/>
      <c r="M1054" s="102"/>
      <c r="N1054" s="102"/>
      <c r="O1054" s="102"/>
      <c r="P1054" s="102"/>
      <c r="Q1054" s="102"/>
      <c r="R1054" s="102"/>
    </row>
    <row r="1055" spans="1:18" ht="35.1" customHeight="1" x14ac:dyDescent="0.2">
      <c r="A1055" s="99"/>
      <c r="B1055" s="99"/>
      <c r="C1055" s="102"/>
      <c r="D1055" s="102"/>
      <c r="E1055" s="102"/>
      <c r="F1055" s="102"/>
      <c r="G1055" s="102"/>
      <c r="H1055" s="102"/>
      <c r="I1055" s="102"/>
      <c r="J1055" s="102"/>
      <c r="K1055" s="102"/>
      <c r="L1055" s="102"/>
      <c r="M1055" s="102"/>
      <c r="N1055" s="102"/>
      <c r="O1055" s="102"/>
      <c r="P1055" s="102"/>
      <c r="Q1055" s="102"/>
      <c r="R1055" s="102"/>
    </row>
    <row r="1056" spans="1:18" ht="35.1" customHeight="1" x14ac:dyDescent="0.2">
      <c r="A1056" s="99"/>
      <c r="B1056" s="99"/>
      <c r="C1056" s="102"/>
      <c r="D1056" s="102"/>
      <c r="E1056" s="102"/>
      <c r="F1056" s="102"/>
      <c r="G1056" s="102"/>
      <c r="H1056" s="102"/>
      <c r="I1056" s="102"/>
      <c r="J1056" s="102"/>
      <c r="K1056" s="102"/>
      <c r="L1056" s="102"/>
      <c r="M1056" s="102"/>
      <c r="N1056" s="102"/>
      <c r="O1056" s="102"/>
      <c r="P1056" s="102"/>
      <c r="Q1056" s="102"/>
      <c r="R1056" s="102"/>
    </row>
    <row r="1057" spans="1:18" ht="35.1" customHeight="1" x14ac:dyDescent="0.2">
      <c r="A1057" s="99"/>
      <c r="B1057" s="99"/>
      <c r="C1057" s="102"/>
      <c r="D1057" s="102"/>
      <c r="E1057" s="102"/>
      <c r="F1057" s="102"/>
      <c r="G1057" s="102"/>
      <c r="H1057" s="102"/>
      <c r="I1057" s="102"/>
      <c r="J1057" s="102"/>
      <c r="K1057" s="102"/>
      <c r="L1057" s="102"/>
      <c r="M1057" s="102"/>
      <c r="N1057" s="102"/>
      <c r="O1057" s="102"/>
      <c r="P1057" s="102"/>
      <c r="Q1057" s="102"/>
      <c r="R1057" s="102"/>
    </row>
    <row r="1058" spans="1:18" ht="35.1" customHeight="1" x14ac:dyDescent="0.2">
      <c r="A1058" s="99"/>
      <c r="B1058" s="99"/>
      <c r="C1058" s="102"/>
      <c r="D1058" s="102"/>
      <c r="E1058" s="102"/>
      <c r="F1058" s="102"/>
      <c r="G1058" s="102"/>
      <c r="H1058" s="102"/>
      <c r="I1058" s="102"/>
      <c r="J1058" s="102"/>
      <c r="K1058" s="102"/>
      <c r="L1058" s="102"/>
      <c r="M1058" s="102"/>
      <c r="N1058" s="102"/>
      <c r="O1058" s="102"/>
      <c r="P1058" s="102"/>
      <c r="Q1058" s="102"/>
      <c r="R1058" s="102"/>
    </row>
    <row r="1059" spans="1:18" ht="35.1" customHeight="1" x14ac:dyDescent="0.2">
      <c r="A1059" s="99"/>
      <c r="B1059" s="99"/>
      <c r="C1059" s="102"/>
      <c r="D1059" s="102"/>
      <c r="E1059" s="102"/>
      <c r="F1059" s="102"/>
      <c r="G1059" s="102"/>
      <c r="H1059" s="102"/>
      <c r="I1059" s="102"/>
      <c r="J1059" s="102"/>
      <c r="K1059" s="102"/>
      <c r="L1059" s="102"/>
      <c r="M1059" s="102"/>
      <c r="N1059" s="102"/>
      <c r="O1059" s="102"/>
      <c r="P1059" s="102"/>
      <c r="Q1059" s="102"/>
      <c r="R1059" s="102"/>
    </row>
    <row r="1060" spans="1:18" ht="35.1" customHeight="1" x14ac:dyDescent="0.2">
      <c r="A1060" s="99"/>
      <c r="B1060" s="99"/>
      <c r="C1060" s="102"/>
      <c r="D1060" s="102"/>
      <c r="E1060" s="102"/>
      <c r="F1060" s="102"/>
      <c r="G1060" s="102"/>
      <c r="H1060" s="102"/>
      <c r="I1060" s="102"/>
      <c r="J1060" s="102"/>
      <c r="K1060" s="102"/>
      <c r="L1060" s="102"/>
      <c r="M1060" s="102"/>
      <c r="N1060" s="102"/>
      <c r="O1060" s="102"/>
      <c r="P1060" s="102"/>
      <c r="Q1060" s="102"/>
      <c r="R1060" s="102"/>
    </row>
    <row r="1061" spans="1:18" ht="35.1" customHeight="1" x14ac:dyDescent="0.2">
      <c r="A1061" s="99"/>
      <c r="B1061" s="99"/>
      <c r="C1061" s="102"/>
      <c r="D1061" s="102"/>
      <c r="E1061" s="102"/>
      <c r="F1061" s="102"/>
      <c r="G1061" s="102"/>
      <c r="H1061" s="102"/>
      <c r="I1061" s="102"/>
      <c r="J1061" s="102"/>
      <c r="K1061" s="102"/>
      <c r="L1061" s="102"/>
      <c r="M1061" s="102"/>
      <c r="N1061" s="102"/>
      <c r="O1061" s="102"/>
      <c r="P1061" s="102"/>
      <c r="Q1061" s="102"/>
      <c r="R1061" s="102"/>
    </row>
    <row r="1062" spans="1:18" ht="35.1" customHeight="1" x14ac:dyDescent="0.2">
      <c r="A1062" s="99"/>
      <c r="B1062" s="99"/>
      <c r="C1062" s="102"/>
      <c r="D1062" s="102"/>
      <c r="E1062" s="102"/>
      <c r="F1062" s="102"/>
      <c r="G1062" s="102"/>
      <c r="H1062" s="102"/>
      <c r="I1062" s="102"/>
      <c r="J1062" s="102"/>
      <c r="K1062" s="102"/>
      <c r="L1062" s="102"/>
      <c r="M1062" s="102"/>
      <c r="N1062" s="102"/>
      <c r="O1062" s="102"/>
      <c r="P1062" s="102"/>
      <c r="Q1062" s="102"/>
      <c r="R1062" s="102"/>
    </row>
    <row r="1063" spans="1:18" ht="35.1" customHeight="1" x14ac:dyDescent="0.2">
      <c r="A1063" s="99"/>
      <c r="B1063" s="99"/>
      <c r="C1063" s="102"/>
      <c r="D1063" s="102"/>
      <c r="E1063" s="102"/>
      <c r="F1063" s="102"/>
      <c r="G1063" s="102"/>
      <c r="H1063" s="102"/>
      <c r="I1063" s="102"/>
      <c r="J1063" s="102"/>
      <c r="K1063" s="102"/>
      <c r="L1063" s="102"/>
      <c r="M1063" s="102"/>
      <c r="N1063" s="102"/>
      <c r="O1063" s="102"/>
      <c r="P1063" s="102"/>
      <c r="Q1063" s="102"/>
      <c r="R1063" s="102"/>
    </row>
    <row r="1064" spans="1:18" ht="35.1" customHeight="1" x14ac:dyDescent="0.2">
      <c r="A1064" s="99"/>
      <c r="B1064" s="99"/>
      <c r="C1064" s="102"/>
      <c r="D1064" s="102"/>
      <c r="E1064" s="102"/>
      <c r="F1064" s="102"/>
      <c r="G1064" s="102"/>
      <c r="H1064" s="102"/>
      <c r="I1064" s="102"/>
      <c r="J1064" s="102"/>
      <c r="K1064" s="102"/>
      <c r="L1064" s="102"/>
      <c r="M1064" s="102"/>
      <c r="N1064" s="102"/>
      <c r="O1064" s="102"/>
      <c r="P1064" s="102"/>
      <c r="Q1064" s="102"/>
      <c r="R1064" s="102"/>
    </row>
    <row r="1065" spans="1:18" ht="35.1" customHeight="1" x14ac:dyDescent="0.2">
      <c r="A1065" s="99"/>
      <c r="B1065" s="99"/>
      <c r="C1065" s="102"/>
      <c r="D1065" s="102"/>
      <c r="E1065" s="102"/>
      <c r="F1065" s="102"/>
      <c r="G1065" s="102"/>
      <c r="H1065" s="102"/>
      <c r="I1065" s="102"/>
      <c r="J1065" s="102"/>
      <c r="K1065" s="102"/>
      <c r="L1065" s="102"/>
      <c r="M1065" s="102"/>
      <c r="N1065" s="102"/>
      <c r="O1065" s="102"/>
      <c r="P1065" s="102"/>
      <c r="Q1065" s="102"/>
      <c r="R1065" s="102"/>
    </row>
    <row r="1066" spans="1:18" ht="35.1" customHeight="1" x14ac:dyDescent="0.2">
      <c r="A1066" s="99"/>
      <c r="B1066" s="99"/>
      <c r="C1066" s="102"/>
      <c r="D1066" s="102"/>
      <c r="E1066" s="102"/>
      <c r="F1066" s="102"/>
      <c r="G1066" s="102"/>
      <c r="H1066" s="102"/>
      <c r="I1066" s="102"/>
      <c r="J1066" s="102"/>
      <c r="K1066" s="102"/>
      <c r="L1066" s="102"/>
      <c r="M1066" s="102"/>
      <c r="N1066" s="102"/>
      <c r="O1066" s="102"/>
      <c r="P1066" s="102"/>
      <c r="Q1066" s="102"/>
      <c r="R1066" s="102"/>
    </row>
    <row r="1067" spans="1:18" ht="35.1" customHeight="1" x14ac:dyDescent="0.2">
      <c r="A1067" s="99"/>
      <c r="B1067" s="99"/>
      <c r="C1067" s="102"/>
      <c r="D1067" s="102"/>
      <c r="E1067" s="102"/>
      <c r="F1067" s="102"/>
      <c r="G1067" s="102"/>
      <c r="H1067" s="102"/>
      <c r="I1067" s="102"/>
      <c r="J1067" s="102"/>
      <c r="K1067" s="102"/>
      <c r="L1067" s="102"/>
      <c r="M1067" s="102"/>
      <c r="N1067" s="102"/>
      <c r="O1067" s="102"/>
      <c r="P1067" s="102"/>
      <c r="Q1067" s="102"/>
      <c r="R1067" s="102"/>
    </row>
    <row r="1068" spans="1:18" ht="35.1" customHeight="1" x14ac:dyDescent="0.2">
      <c r="A1068" s="99"/>
      <c r="B1068" s="99"/>
      <c r="C1068" s="102"/>
      <c r="D1068" s="102"/>
      <c r="E1068" s="102"/>
      <c r="F1068" s="102"/>
      <c r="G1068" s="102"/>
      <c r="H1068" s="102"/>
      <c r="I1068" s="102"/>
      <c r="J1068" s="102"/>
      <c r="K1068" s="102"/>
      <c r="L1068" s="102"/>
      <c r="M1068" s="102"/>
      <c r="N1068" s="102"/>
      <c r="O1068" s="102"/>
      <c r="P1068" s="102"/>
      <c r="Q1068" s="102"/>
      <c r="R1068" s="102"/>
    </row>
    <row r="1069" spans="1:18" ht="35.1" customHeight="1" x14ac:dyDescent="0.2">
      <c r="A1069" s="99"/>
      <c r="B1069" s="99"/>
      <c r="C1069" s="102"/>
      <c r="D1069" s="102"/>
      <c r="E1069" s="102"/>
      <c r="F1069" s="102"/>
      <c r="G1069" s="102"/>
      <c r="H1069" s="102"/>
      <c r="I1069" s="102"/>
      <c r="J1069" s="102"/>
      <c r="K1069" s="102"/>
      <c r="L1069" s="102"/>
      <c r="M1069" s="102"/>
      <c r="N1069" s="102"/>
      <c r="O1069" s="102"/>
      <c r="P1069" s="102"/>
      <c r="Q1069" s="102"/>
      <c r="R1069" s="102"/>
    </row>
    <row r="1070" spans="1:18" ht="35.1" customHeight="1" x14ac:dyDescent="0.2">
      <c r="A1070" s="99"/>
      <c r="B1070" s="99"/>
      <c r="C1070" s="102"/>
      <c r="D1070" s="102"/>
      <c r="E1070" s="102"/>
      <c r="F1070" s="102"/>
      <c r="G1070" s="102"/>
      <c r="H1070" s="102"/>
      <c r="I1070" s="102"/>
      <c r="J1070" s="102"/>
      <c r="K1070" s="102"/>
      <c r="L1070" s="102"/>
      <c r="M1070" s="102"/>
      <c r="N1070" s="102"/>
      <c r="O1070" s="102"/>
      <c r="P1070" s="102"/>
      <c r="Q1070" s="102"/>
      <c r="R1070" s="102"/>
    </row>
    <row r="1071" spans="1:18" ht="35.1" customHeight="1" x14ac:dyDescent="0.2">
      <c r="A1071" s="99"/>
      <c r="B1071" s="99"/>
      <c r="C1071" s="102"/>
      <c r="D1071" s="102"/>
      <c r="E1071" s="102"/>
      <c r="F1071" s="102"/>
      <c r="G1071" s="102"/>
      <c r="H1071" s="102"/>
      <c r="I1071" s="102"/>
      <c r="J1071" s="102"/>
      <c r="K1071" s="102"/>
      <c r="L1071" s="102"/>
      <c r="M1071" s="102"/>
      <c r="N1071" s="102"/>
      <c r="O1071" s="102"/>
      <c r="P1071" s="102"/>
      <c r="Q1071" s="102"/>
      <c r="R1071" s="102"/>
    </row>
    <row r="1072" spans="1:18" ht="35.1" customHeight="1" x14ac:dyDescent="0.2">
      <c r="A1072" s="99"/>
      <c r="B1072" s="99"/>
      <c r="C1072" s="102"/>
      <c r="D1072" s="102"/>
      <c r="E1072" s="102"/>
      <c r="F1072" s="102"/>
      <c r="G1072" s="102"/>
      <c r="H1072" s="102"/>
      <c r="I1072" s="102"/>
      <c r="J1072" s="102"/>
      <c r="K1072" s="102"/>
      <c r="L1072" s="102"/>
      <c r="M1072" s="102"/>
      <c r="N1072" s="102"/>
      <c r="O1072" s="102"/>
      <c r="P1072" s="102"/>
      <c r="Q1072" s="102"/>
      <c r="R1072" s="102"/>
    </row>
    <row r="1073" spans="1:18" ht="35.1" customHeight="1" x14ac:dyDescent="0.2">
      <c r="A1073" s="99"/>
      <c r="B1073" s="99"/>
      <c r="C1073" s="102"/>
      <c r="D1073" s="102"/>
      <c r="E1073" s="102"/>
      <c r="F1073" s="102"/>
      <c r="G1073" s="102"/>
      <c r="H1073" s="102"/>
      <c r="I1073" s="102"/>
      <c r="J1073" s="102"/>
      <c r="K1073" s="102"/>
      <c r="L1073" s="102"/>
      <c r="M1073" s="102"/>
      <c r="N1073" s="102"/>
      <c r="O1073" s="102"/>
      <c r="P1073" s="102"/>
      <c r="Q1073" s="102"/>
      <c r="R1073" s="102"/>
    </row>
    <row r="1074" spans="1:18" ht="35.1" customHeight="1" x14ac:dyDescent="0.2">
      <c r="A1074" s="99"/>
      <c r="B1074" s="99"/>
      <c r="C1074" s="102"/>
      <c r="D1074" s="102"/>
      <c r="E1074" s="102"/>
      <c r="F1074" s="102"/>
      <c r="G1074" s="102"/>
      <c r="H1074" s="102"/>
      <c r="I1074" s="102"/>
      <c r="J1074" s="102"/>
      <c r="K1074" s="102"/>
      <c r="L1074" s="102"/>
      <c r="M1074" s="102"/>
      <c r="N1074" s="102"/>
      <c r="O1074" s="102"/>
      <c r="P1074" s="102"/>
      <c r="Q1074" s="102"/>
      <c r="R1074" s="102"/>
    </row>
    <row r="1075" spans="1:18" ht="35.1" customHeight="1" x14ac:dyDescent="0.2">
      <c r="A1075" s="99"/>
      <c r="B1075" s="99"/>
      <c r="C1075" s="102"/>
      <c r="D1075" s="102"/>
      <c r="E1075" s="102"/>
      <c r="F1075" s="102"/>
      <c r="G1075" s="102"/>
      <c r="H1075" s="102"/>
      <c r="I1075" s="102"/>
      <c r="J1075" s="102"/>
      <c r="K1075" s="102"/>
      <c r="L1075" s="102"/>
      <c r="M1075" s="102"/>
      <c r="N1075" s="102"/>
      <c r="O1075" s="102"/>
      <c r="P1075" s="102"/>
      <c r="Q1075" s="102"/>
      <c r="R1075" s="102"/>
    </row>
    <row r="1076" spans="1:18" ht="35.1" customHeight="1" x14ac:dyDescent="0.2">
      <c r="A1076" s="99"/>
      <c r="B1076" s="99"/>
      <c r="C1076" s="102"/>
      <c r="D1076" s="102"/>
      <c r="E1076" s="102"/>
      <c r="F1076" s="102"/>
      <c r="G1076" s="102"/>
      <c r="H1076" s="102"/>
      <c r="I1076" s="102"/>
      <c r="J1076" s="102"/>
      <c r="K1076" s="102"/>
      <c r="L1076" s="102"/>
      <c r="M1076" s="102"/>
      <c r="N1076" s="102"/>
      <c r="O1076" s="102"/>
      <c r="P1076" s="102"/>
      <c r="Q1076" s="102"/>
      <c r="R1076" s="102"/>
    </row>
    <row r="1077" spans="1:18" ht="35.1" customHeight="1" x14ac:dyDescent="0.2">
      <c r="A1077" s="99"/>
      <c r="B1077" s="99"/>
      <c r="C1077" s="102"/>
      <c r="D1077" s="102"/>
      <c r="E1077" s="102"/>
      <c r="F1077" s="102"/>
      <c r="G1077" s="102"/>
      <c r="H1077" s="102"/>
      <c r="I1077" s="102"/>
      <c r="J1077" s="102"/>
      <c r="K1077" s="102"/>
      <c r="L1077" s="102"/>
      <c r="M1077" s="102"/>
      <c r="N1077" s="102"/>
      <c r="O1077" s="102"/>
      <c r="P1077" s="102"/>
      <c r="Q1077" s="102"/>
      <c r="R1077" s="102"/>
    </row>
    <row r="1078" spans="1:18" ht="35.1" customHeight="1" x14ac:dyDescent="0.2">
      <c r="A1078" s="99"/>
      <c r="B1078" s="99"/>
      <c r="C1078" s="102"/>
      <c r="D1078" s="102"/>
      <c r="E1078" s="102"/>
      <c r="F1078" s="102"/>
      <c r="G1078" s="102"/>
      <c r="H1078" s="102"/>
      <c r="I1078" s="102"/>
      <c r="J1078" s="102"/>
      <c r="K1078" s="102"/>
      <c r="L1078" s="102"/>
      <c r="M1078" s="102"/>
      <c r="N1078" s="102"/>
      <c r="O1078" s="102"/>
      <c r="P1078" s="102"/>
      <c r="Q1078" s="102"/>
      <c r="R1078" s="102"/>
    </row>
    <row r="1079" spans="1:18" ht="35.1" customHeight="1" x14ac:dyDescent="0.2">
      <c r="A1079" s="99"/>
      <c r="B1079" s="99"/>
      <c r="C1079" s="102"/>
      <c r="D1079" s="102"/>
      <c r="E1079" s="102"/>
      <c r="F1079" s="102"/>
      <c r="G1079" s="102"/>
      <c r="H1079" s="102"/>
      <c r="I1079" s="102"/>
      <c r="J1079" s="102"/>
      <c r="K1079" s="102"/>
      <c r="L1079" s="102"/>
      <c r="M1079" s="102"/>
      <c r="N1079" s="102"/>
      <c r="O1079" s="102"/>
      <c r="P1079" s="102"/>
      <c r="Q1079" s="102"/>
      <c r="R1079" s="102"/>
    </row>
    <row r="1080" spans="1:18" ht="35.1" customHeight="1" x14ac:dyDescent="0.2">
      <c r="A1080" s="99"/>
      <c r="B1080" s="99"/>
      <c r="C1080" s="102"/>
      <c r="D1080" s="102"/>
      <c r="E1080" s="102"/>
      <c r="F1080" s="102"/>
      <c r="G1080" s="102"/>
      <c r="H1080" s="102"/>
      <c r="I1080" s="102"/>
      <c r="J1080" s="102"/>
      <c r="K1080" s="102"/>
      <c r="L1080" s="102"/>
      <c r="M1080" s="102"/>
      <c r="N1080" s="102"/>
      <c r="O1080" s="102"/>
      <c r="P1080" s="102"/>
      <c r="Q1080" s="102"/>
      <c r="R1080" s="102"/>
    </row>
    <row r="1081" spans="1:18" ht="35.1" customHeight="1" x14ac:dyDescent="0.2">
      <c r="A1081" s="99"/>
      <c r="B1081" s="99"/>
      <c r="C1081" s="102"/>
      <c r="D1081" s="102"/>
      <c r="E1081" s="102"/>
      <c r="F1081" s="102"/>
      <c r="G1081" s="102"/>
      <c r="H1081" s="102"/>
      <c r="I1081" s="102"/>
      <c r="J1081" s="102"/>
      <c r="K1081" s="102"/>
      <c r="L1081" s="102"/>
      <c r="M1081" s="102"/>
      <c r="N1081" s="102"/>
      <c r="O1081" s="102"/>
      <c r="P1081" s="102"/>
      <c r="Q1081" s="102"/>
      <c r="R1081" s="102"/>
    </row>
    <row r="1082" spans="1:18" ht="35.1" customHeight="1" x14ac:dyDescent="0.2">
      <c r="A1082" s="99"/>
      <c r="B1082" s="99"/>
      <c r="C1082" s="102"/>
      <c r="D1082" s="102"/>
      <c r="E1082" s="102"/>
      <c r="F1082" s="102"/>
      <c r="G1082" s="102"/>
      <c r="H1082" s="102"/>
      <c r="I1082" s="102"/>
      <c r="J1082" s="102"/>
      <c r="K1082" s="102"/>
      <c r="L1082" s="102"/>
      <c r="M1082" s="102"/>
      <c r="N1082" s="102"/>
      <c r="O1082" s="102"/>
      <c r="P1082" s="102"/>
      <c r="Q1082" s="102"/>
      <c r="R1082" s="102"/>
    </row>
    <row r="1083" spans="1:18" ht="35.1" customHeight="1" x14ac:dyDescent="0.2">
      <c r="A1083" s="99"/>
      <c r="B1083" s="99"/>
      <c r="C1083" s="102"/>
      <c r="D1083" s="102"/>
      <c r="E1083" s="102"/>
      <c r="F1083" s="102"/>
      <c r="G1083" s="102"/>
      <c r="H1083" s="102"/>
      <c r="I1083" s="102"/>
      <c r="J1083" s="102"/>
      <c r="K1083" s="102"/>
      <c r="L1083" s="102"/>
      <c r="M1083" s="102"/>
      <c r="N1083" s="102"/>
      <c r="O1083" s="102"/>
      <c r="P1083" s="102"/>
      <c r="Q1083" s="102"/>
      <c r="R1083" s="102"/>
    </row>
    <row r="1084" spans="1:18" ht="35.1" customHeight="1" x14ac:dyDescent="0.2">
      <c r="A1084" s="99"/>
      <c r="B1084" s="99"/>
      <c r="C1084" s="102"/>
      <c r="D1084" s="102"/>
      <c r="E1084" s="102"/>
      <c r="F1084" s="102"/>
      <c r="G1084" s="102"/>
      <c r="H1084" s="102"/>
      <c r="I1084" s="102"/>
      <c r="J1084" s="102"/>
      <c r="K1084" s="102"/>
      <c r="L1084" s="102"/>
      <c r="M1084" s="102"/>
      <c r="N1084" s="102"/>
      <c r="O1084" s="102"/>
      <c r="P1084" s="102"/>
      <c r="Q1084" s="102"/>
      <c r="R1084" s="102"/>
    </row>
    <row r="1085" spans="1:18" ht="35.1" customHeight="1" x14ac:dyDescent="0.2">
      <c r="A1085" s="99"/>
      <c r="B1085" s="99"/>
      <c r="C1085" s="102"/>
      <c r="D1085" s="102"/>
      <c r="E1085" s="102"/>
      <c r="F1085" s="102"/>
      <c r="G1085" s="102"/>
      <c r="H1085" s="102"/>
      <c r="I1085" s="102"/>
      <c r="J1085" s="102"/>
      <c r="K1085" s="102"/>
      <c r="L1085" s="102"/>
      <c r="M1085" s="102"/>
      <c r="N1085" s="102"/>
      <c r="O1085" s="102"/>
      <c r="P1085" s="102"/>
      <c r="Q1085" s="102"/>
      <c r="R1085" s="102"/>
    </row>
    <row r="1086" spans="1:18" ht="35.1" customHeight="1" x14ac:dyDescent="0.2">
      <c r="A1086" s="99"/>
      <c r="B1086" s="99"/>
      <c r="C1086" s="102"/>
      <c r="D1086" s="102"/>
      <c r="E1086" s="102"/>
      <c r="F1086" s="102"/>
      <c r="G1086" s="102"/>
      <c r="H1086" s="102"/>
      <c r="I1086" s="102"/>
      <c r="J1086" s="102"/>
      <c r="K1086" s="102"/>
      <c r="L1086" s="102"/>
      <c r="M1086" s="102"/>
      <c r="N1086" s="102"/>
      <c r="O1086" s="102"/>
      <c r="P1086" s="102"/>
      <c r="Q1086" s="102"/>
      <c r="R1086" s="102"/>
    </row>
    <row r="1087" spans="1:18" ht="35.1" customHeight="1" x14ac:dyDescent="0.2">
      <c r="A1087" s="99"/>
      <c r="B1087" s="99"/>
      <c r="C1087" s="102"/>
      <c r="D1087" s="102"/>
      <c r="E1087" s="102"/>
      <c r="F1087" s="102"/>
      <c r="G1087" s="102"/>
      <c r="H1087" s="102"/>
      <c r="I1087" s="102"/>
      <c r="J1087" s="102"/>
      <c r="K1087" s="102"/>
      <c r="L1087" s="102"/>
      <c r="M1087" s="102"/>
      <c r="N1087" s="102"/>
      <c r="O1087" s="102"/>
      <c r="P1087" s="102"/>
      <c r="Q1087" s="102"/>
      <c r="R1087" s="102"/>
    </row>
    <row r="1088" spans="1:18" ht="35.1" customHeight="1" x14ac:dyDescent="0.2">
      <c r="A1088" s="99"/>
      <c r="B1088" s="99"/>
      <c r="C1088" s="102"/>
      <c r="D1088" s="102"/>
      <c r="E1088" s="102"/>
      <c r="F1088" s="102"/>
      <c r="G1088" s="102"/>
      <c r="H1088" s="102"/>
      <c r="I1088" s="102"/>
      <c r="J1088" s="102"/>
      <c r="K1088" s="102"/>
      <c r="L1088" s="102"/>
      <c r="M1088" s="102"/>
      <c r="N1088" s="102"/>
      <c r="O1088" s="102"/>
      <c r="P1088" s="102"/>
      <c r="Q1088" s="102"/>
      <c r="R1088" s="102"/>
    </row>
    <row r="1089" spans="1:18" ht="35.1" customHeight="1" x14ac:dyDescent="0.2">
      <c r="A1089" s="99"/>
      <c r="B1089" s="99"/>
      <c r="C1089" s="102"/>
      <c r="D1089" s="102"/>
      <c r="E1089" s="102"/>
      <c r="F1089" s="102"/>
      <c r="G1089" s="102"/>
      <c r="H1089" s="102"/>
      <c r="I1089" s="102"/>
      <c r="J1089" s="102"/>
      <c r="K1089" s="102"/>
      <c r="L1089" s="102"/>
      <c r="M1089" s="102"/>
      <c r="N1089" s="102"/>
      <c r="O1089" s="102"/>
      <c r="P1089" s="102"/>
      <c r="Q1089" s="102"/>
      <c r="R1089" s="102"/>
    </row>
    <row r="1090" spans="1:18" ht="35.1" customHeight="1" x14ac:dyDescent="0.2">
      <c r="A1090" s="99"/>
      <c r="B1090" s="99"/>
      <c r="C1090" s="102"/>
      <c r="D1090" s="102"/>
      <c r="E1090" s="102"/>
      <c r="F1090" s="102"/>
      <c r="G1090" s="102"/>
      <c r="H1090" s="102"/>
      <c r="I1090" s="102"/>
      <c r="J1090" s="102"/>
      <c r="K1090" s="102"/>
      <c r="L1090" s="102"/>
      <c r="M1090" s="102"/>
      <c r="N1090" s="102"/>
      <c r="O1090" s="102"/>
      <c r="P1090" s="102"/>
      <c r="Q1090" s="102"/>
      <c r="R1090" s="102"/>
    </row>
    <row r="1091" spans="1:18" ht="35.1" customHeight="1" x14ac:dyDescent="0.2">
      <c r="A1091" s="99"/>
      <c r="B1091" s="99"/>
      <c r="C1091" s="102"/>
      <c r="D1091" s="102"/>
      <c r="E1091" s="102"/>
      <c r="F1091" s="102"/>
      <c r="G1091" s="102"/>
      <c r="H1091" s="102"/>
      <c r="I1091" s="102"/>
      <c r="J1091" s="102"/>
      <c r="K1091" s="102"/>
      <c r="L1091" s="102"/>
      <c r="M1091" s="102"/>
      <c r="N1091" s="102"/>
      <c r="O1091" s="102"/>
      <c r="P1091" s="102"/>
      <c r="Q1091" s="102"/>
      <c r="R1091" s="102"/>
    </row>
    <row r="1092" spans="1:18" ht="35.1" customHeight="1" x14ac:dyDescent="0.2">
      <c r="A1092" s="99"/>
      <c r="B1092" s="99"/>
      <c r="C1092" s="102"/>
      <c r="D1092" s="102"/>
      <c r="E1092" s="102"/>
      <c r="F1092" s="102"/>
      <c r="G1092" s="102"/>
      <c r="H1092" s="102"/>
      <c r="I1092" s="102"/>
      <c r="J1092" s="102"/>
      <c r="K1092" s="102"/>
      <c r="L1092" s="102"/>
      <c r="M1092" s="102"/>
      <c r="N1092" s="102"/>
      <c r="O1092" s="102"/>
      <c r="P1092" s="102"/>
      <c r="Q1092" s="102"/>
      <c r="R1092" s="102"/>
    </row>
    <row r="1093" spans="1:18" ht="35.1" customHeight="1" x14ac:dyDescent="0.2">
      <c r="A1093" s="99"/>
      <c r="B1093" s="99"/>
      <c r="C1093" s="102"/>
      <c r="D1093" s="102"/>
      <c r="E1093" s="102"/>
      <c r="F1093" s="102"/>
      <c r="G1093" s="102"/>
      <c r="H1093" s="102"/>
      <c r="I1093" s="102"/>
      <c r="J1093" s="102"/>
      <c r="K1093" s="102"/>
      <c r="L1093" s="102"/>
      <c r="M1093" s="102"/>
      <c r="N1093" s="102"/>
      <c r="O1093" s="102"/>
      <c r="P1093" s="102"/>
      <c r="Q1093" s="102"/>
      <c r="R1093" s="102"/>
    </row>
    <row r="1094" spans="1:18" ht="35.1" customHeight="1" x14ac:dyDescent="0.2">
      <c r="A1094" s="99"/>
      <c r="B1094" s="99"/>
      <c r="C1094" s="102"/>
      <c r="D1094" s="102"/>
      <c r="E1094" s="102"/>
      <c r="F1094" s="102"/>
      <c r="G1094" s="102"/>
      <c r="H1094" s="102"/>
      <c r="I1094" s="102"/>
      <c r="J1094" s="102"/>
      <c r="K1094" s="102"/>
      <c r="L1094" s="102"/>
      <c r="M1094" s="102"/>
      <c r="N1094" s="102"/>
      <c r="O1094" s="102"/>
      <c r="P1094" s="102"/>
      <c r="Q1094" s="102"/>
      <c r="R1094" s="102"/>
    </row>
    <row r="1095" spans="1:18" ht="35.1" customHeight="1" x14ac:dyDescent="0.2">
      <c r="A1095" s="99"/>
      <c r="B1095" s="99"/>
      <c r="C1095" s="102"/>
      <c r="D1095" s="102"/>
      <c r="E1095" s="102"/>
      <c r="F1095" s="102"/>
      <c r="G1095" s="102"/>
      <c r="H1095" s="102"/>
      <c r="I1095" s="102"/>
      <c r="J1095" s="102"/>
      <c r="K1095" s="102"/>
      <c r="L1095" s="102"/>
      <c r="M1095" s="102"/>
      <c r="N1095" s="102"/>
      <c r="O1095" s="102"/>
      <c r="P1095" s="102"/>
      <c r="Q1095" s="102"/>
      <c r="R1095" s="102"/>
    </row>
    <row r="1096" spans="1:18" ht="35.1" customHeight="1" x14ac:dyDescent="0.2">
      <c r="A1096" s="99"/>
      <c r="B1096" s="99"/>
      <c r="C1096" s="102"/>
      <c r="D1096" s="102"/>
      <c r="E1096" s="102"/>
      <c r="F1096" s="102"/>
      <c r="G1096" s="102"/>
      <c r="H1096" s="102"/>
      <c r="I1096" s="102"/>
      <c r="J1096" s="102"/>
      <c r="K1096" s="102"/>
      <c r="L1096" s="102"/>
      <c r="M1096" s="102"/>
      <c r="N1096" s="102"/>
      <c r="O1096" s="102"/>
      <c r="P1096" s="102"/>
      <c r="Q1096" s="102"/>
      <c r="R1096" s="102"/>
    </row>
    <row r="1097" spans="1:18" ht="35.1" customHeight="1" x14ac:dyDescent="0.2">
      <c r="A1097" s="99"/>
      <c r="B1097" s="99"/>
      <c r="C1097" s="102"/>
      <c r="D1097" s="102"/>
      <c r="E1097" s="102"/>
      <c r="F1097" s="102"/>
      <c r="G1097" s="102"/>
      <c r="H1097" s="102"/>
      <c r="I1097" s="102"/>
      <c r="J1097" s="102"/>
      <c r="K1097" s="102"/>
      <c r="L1097" s="102"/>
      <c r="M1097" s="102"/>
      <c r="N1097" s="102"/>
      <c r="O1097" s="102"/>
      <c r="P1097" s="102"/>
      <c r="Q1097" s="102"/>
      <c r="R1097" s="102"/>
    </row>
    <row r="1098" spans="1:18" ht="35.1" customHeight="1" x14ac:dyDescent="0.2">
      <c r="A1098" s="99"/>
      <c r="B1098" s="99"/>
      <c r="C1098" s="102"/>
      <c r="D1098" s="102"/>
      <c r="E1098" s="102"/>
      <c r="F1098" s="102"/>
      <c r="G1098" s="102"/>
      <c r="H1098" s="102"/>
      <c r="I1098" s="102"/>
      <c r="J1098" s="102"/>
      <c r="K1098" s="102"/>
      <c r="L1098" s="102"/>
      <c r="M1098" s="102"/>
      <c r="N1098" s="102"/>
      <c r="O1098" s="102"/>
      <c r="P1098" s="102"/>
      <c r="Q1098" s="102"/>
      <c r="R1098" s="102"/>
    </row>
    <row r="1099" spans="1:18" ht="35.1" customHeight="1" x14ac:dyDescent="0.2">
      <c r="A1099" s="99"/>
      <c r="B1099" s="99"/>
      <c r="C1099" s="102"/>
      <c r="D1099" s="102"/>
      <c r="E1099" s="102"/>
      <c r="F1099" s="102"/>
      <c r="G1099" s="102"/>
      <c r="H1099" s="102"/>
      <c r="I1099" s="102"/>
      <c r="J1099" s="102"/>
      <c r="K1099" s="102"/>
      <c r="L1099" s="102"/>
      <c r="M1099" s="102"/>
      <c r="N1099" s="102"/>
      <c r="O1099" s="102"/>
      <c r="P1099" s="102"/>
      <c r="Q1099" s="102"/>
      <c r="R1099" s="102"/>
    </row>
    <row r="1100" spans="1:18" ht="35.1" customHeight="1" x14ac:dyDescent="0.2">
      <c r="A1100" s="99"/>
      <c r="B1100" s="99"/>
      <c r="C1100" s="102"/>
      <c r="D1100" s="102"/>
      <c r="E1100" s="102"/>
      <c r="F1100" s="102"/>
      <c r="G1100" s="102"/>
      <c r="H1100" s="102"/>
      <c r="I1100" s="102"/>
      <c r="J1100" s="102"/>
      <c r="K1100" s="102"/>
      <c r="L1100" s="102"/>
      <c r="M1100" s="102"/>
      <c r="N1100" s="102"/>
      <c r="O1100" s="102"/>
      <c r="P1100" s="102"/>
      <c r="Q1100" s="102"/>
      <c r="R1100" s="102"/>
    </row>
    <row r="1101" spans="1:18" ht="35.1" customHeight="1" x14ac:dyDescent="0.2">
      <c r="A1101" s="99"/>
      <c r="B1101" s="99"/>
      <c r="C1101" s="102"/>
      <c r="D1101" s="102"/>
      <c r="E1101" s="102"/>
      <c r="F1101" s="102"/>
      <c r="G1101" s="102"/>
      <c r="H1101" s="102"/>
      <c r="I1101" s="102"/>
      <c r="J1101" s="102"/>
      <c r="K1101" s="102"/>
      <c r="L1101" s="102"/>
      <c r="M1101" s="102"/>
      <c r="N1101" s="102"/>
      <c r="O1101" s="102"/>
      <c r="P1101" s="102"/>
      <c r="Q1101" s="102"/>
      <c r="R1101" s="102"/>
    </row>
    <row r="1102" spans="1:18" ht="35.1" customHeight="1" x14ac:dyDescent="0.2">
      <c r="A1102" s="99"/>
      <c r="B1102" s="99"/>
      <c r="C1102" s="102"/>
      <c r="D1102" s="102"/>
      <c r="E1102" s="102"/>
      <c r="F1102" s="102"/>
      <c r="G1102" s="102"/>
      <c r="H1102" s="102"/>
      <c r="I1102" s="102"/>
      <c r="J1102" s="102"/>
      <c r="K1102" s="102"/>
      <c r="L1102" s="102"/>
      <c r="M1102" s="102"/>
      <c r="N1102" s="102"/>
      <c r="O1102" s="102"/>
      <c r="P1102" s="102"/>
      <c r="Q1102" s="102"/>
      <c r="R1102" s="102"/>
    </row>
    <row r="1103" spans="1:18" ht="35.1" customHeight="1" x14ac:dyDescent="0.2">
      <c r="A1103" s="99"/>
      <c r="B1103" s="99"/>
      <c r="C1103" s="102"/>
      <c r="D1103" s="102"/>
      <c r="E1103" s="102"/>
      <c r="F1103" s="102"/>
      <c r="G1103" s="102"/>
      <c r="H1103" s="102"/>
      <c r="I1103" s="102"/>
      <c r="J1103" s="102"/>
      <c r="K1103" s="102"/>
      <c r="L1103" s="102"/>
      <c r="M1103" s="102"/>
      <c r="N1103" s="102"/>
      <c r="O1103" s="102"/>
      <c r="P1103" s="102"/>
      <c r="Q1103" s="102"/>
      <c r="R1103" s="102"/>
    </row>
    <row r="1104" spans="1:18" ht="35.1" customHeight="1" x14ac:dyDescent="0.2">
      <c r="A1104" s="99"/>
      <c r="B1104" s="99"/>
      <c r="C1104" s="102"/>
      <c r="D1104" s="102"/>
      <c r="E1104" s="102"/>
      <c r="F1104" s="102"/>
      <c r="G1104" s="102"/>
      <c r="H1104" s="102"/>
      <c r="I1104" s="102"/>
      <c r="J1104" s="102"/>
      <c r="K1104" s="102"/>
      <c r="L1104" s="102"/>
      <c r="M1104" s="102"/>
      <c r="N1104" s="102"/>
      <c r="O1104" s="102"/>
      <c r="P1104" s="102"/>
      <c r="Q1104" s="102"/>
      <c r="R1104" s="102"/>
    </row>
    <row r="1105" spans="1:18" ht="35.1" customHeight="1" x14ac:dyDescent="0.2">
      <c r="A1105" s="99"/>
      <c r="B1105" s="99"/>
      <c r="C1105" s="102"/>
      <c r="D1105" s="102"/>
      <c r="E1105" s="102"/>
      <c r="F1105" s="102"/>
      <c r="G1105" s="102"/>
      <c r="H1105" s="102"/>
      <c r="I1105" s="102"/>
      <c r="J1105" s="102"/>
      <c r="K1105" s="102"/>
      <c r="L1105" s="102"/>
      <c r="M1105" s="102"/>
      <c r="N1105" s="102"/>
      <c r="O1105" s="102"/>
      <c r="P1105" s="102"/>
      <c r="Q1105" s="102"/>
      <c r="R1105" s="102"/>
    </row>
    <row r="1106" spans="1:18" ht="35.1" customHeight="1" x14ac:dyDescent="0.2">
      <c r="A1106" s="99"/>
      <c r="B1106" s="99"/>
      <c r="C1106" s="102"/>
      <c r="D1106" s="102"/>
      <c r="E1106" s="102"/>
      <c r="F1106" s="102"/>
      <c r="G1106" s="102"/>
      <c r="H1106" s="102"/>
      <c r="I1106" s="102"/>
      <c r="J1106" s="102"/>
      <c r="K1106" s="102"/>
      <c r="L1106" s="102"/>
      <c r="M1106" s="102"/>
      <c r="N1106" s="102"/>
      <c r="O1106" s="102"/>
      <c r="P1106" s="102"/>
      <c r="Q1106" s="102"/>
      <c r="R1106" s="102"/>
    </row>
    <row r="1107" spans="1:18" ht="35.1" customHeight="1" x14ac:dyDescent="0.2">
      <c r="A1107" s="99"/>
      <c r="B1107" s="99"/>
      <c r="C1107" s="102"/>
      <c r="D1107" s="102"/>
      <c r="E1107" s="102"/>
      <c r="F1107" s="102"/>
      <c r="G1107" s="102"/>
      <c r="H1107" s="102"/>
      <c r="I1107" s="102"/>
      <c r="J1107" s="102"/>
      <c r="K1107" s="102"/>
      <c r="L1107" s="102"/>
      <c r="M1107" s="102"/>
      <c r="N1107" s="102"/>
      <c r="O1107" s="102"/>
      <c r="P1107" s="102"/>
      <c r="Q1107" s="102"/>
      <c r="R1107" s="102"/>
    </row>
    <row r="1108" spans="1:18" ht="35.1" customHeight="1" x14ac:dyDescent="0.2">
      <c r="A1108" s="99"/>
      <c r="B1108" s="99"/>
      <c r="C1108" s="102"/>
      <c r="D1108" s="102"/>
      <c r="E1108" s="102"/>
      <c r="F1108" s="102"/>
      <c r="G1108" s="102"/>
      <c r="H1108" s="102"/>
      <c r="I1108" s="102"/>
      <c r="J1108" s="102"/>
      <c r="K1108" s="102"/>
      <c r="L1108" s="102"/>
      <c r="M1108" s="102"/>
      <c r="N1108" s="102"/>
      <c r="O1108" s="102"/>
      <c r="P1108" s="102"/>
      <c r="Q1108" s="102"/>
      <c r="R1108" s="102"/>
    </row>
    <row r="1109" spans="1:18" ht="35.1" customHeight="1" x14ac:dyDescent="0.2">
      <c r="A1109" s="99"/>
      <c r="B1109" s="99"/>
      <c r="C1109" s="102"/>
      <c r="D1109" s="102"/>
      <c r="E1109" s="102"/>
      <c r="F1109" s="102"/>
      <c r="G1109" s="102"/>
      <c r="H1109" s="102"/>
      <c r="I1109" s="102"/>
      <c r="J1109" s="102"/>
      <c r="K1109" s="102"/>
      <c r="L1109" s="102"/>
      <c r="M1109" s="102"/>
      <c r="N1109" s="102"/>
      <c r="O1109" s="102"/>
      <c r="P1109" s="102"/>
      <c r="Q1109" s="102"/>
      <c r="R1109" s="102"/>
    </row>
    <row r="1110" spans="1:18" ht="35.1" customHeight="1" x14ac:dyDescent="0.2">
      <c r="A1110" s="99"/>
      <c r="B1110" s="99"/>
      <c r="C1110" s="102"/>
      <c r="D1110" s="102"/>
      <c r="E1110" s="102"/>
      <c r="F1110" s="102"/>
      <c r="G1110" s="102"/>
      <c r="H1110" s="102"/>
      <c r="I1110" s="102"/>
      <c r="J1110" s="102"/>
      <c r="K1110" s="102"/>
      <c r="L1110" s="102"/>
      <c r="M1110" s="102"/>
      <c r="N1110" s="102"/>
      <c r="O1110" s="102"/>
      <c r="P1110" s="102"/>
      <c r="Q1110" s="102"/>
      <c r="R1110" s="102"/>
    </row>
    <row r="1111" spans="1:18" ht="35.1" customHeight="1" x14ac:dyDescent="0.2">
      <c r="A1111" s="99"/>
      <c r="B1111" s="99"/>
      <c r="C1111" s="102"/>
      <c r="D1111" s="102"/>
      <c r="E1111" s="102"/>
      <c r="F1111" s="102"/>
      <c r="G1111" s="102"/>
      <c r="H1111" s="102"/>
      <c r="I1111" s="102"/>
      <c r="J1111" s="102"/>
      <c r="K1111" s="102"/>
      <c r="L1111" s="102"/>
      <c r="M1111" s="102"/>
      <c r="N1111" s="102"/>
      <c r="O1111" s="102"/>
      <c r="P1111" s="102"/>
      <c r="Q1111" s="102"/>
      <c r="R1111" s="102"/>
    </row>
    <row r="1112" spans="1:18" ht="35.1" customHeight="1" x14ac:dyDescent="0.2">
      <c r="A1112" s="99"/>
      <c r="B1112" s="99"/>
      <c r="C1112" s="102"/>
      <c r="D1112" s="102"/>
      <c r="E1112" s="102"/>
      <c r="F1112" s="102"/>
      <c r="G1112" s="102"/>
      <c r="H1112" s="102"/>
      <c r="I1112" s="102"/>
      <c r="J1112" s="102"/>
      <c r="K1112" s="102"/>
      <c r="L1112" s="102"/>
      <c r="M1112" s="102"/>
      <c r="N1112" s="102"/>
      <c r="O1112" s="102"/>
      <c r="P1112" s="102"/>
      <c r="Q1112" s="102"/>
      <c r="R1112" s="102"/>
    </row>
    <row r="1113" spans="1:18" ht="35.1" customHeight="1" x14ac:dyDescent="0.2">
      <c r="A1113" s="99"/>
      <c r="B1113" s="99"/>
      <c r="C1113" s="102"/>
      <c r="D1113" s="102"/>
      <c r="E1113" s="102"/>
      <c r="F1113" s="102"/>
      <c r="G1113" s="102"/>
      <c r="H1113" s="102"/>
      <c r="I1113" s="102"/>
      <c r="J1113" s="102"/>
      <c r="K1113" s="102"/>
      <c r="L1113" s="102"/>
      <c r="M1113" s="102"/>
      <c r="N1113" s="102"/>
      <c r="O1113" s="102"/>
      <c r="P1113" s="102"/>
      <c r="Q1113" s="102"/>
      <c r="R1113" s="102"/>
    </row>
    <row r="1114" spans="1:18" ht="35.1" customHeight="1" x14ac:dyDescent="0.2">
      <c r="A1114" s="99"/>
      <c r="B1114" s="99"/>
      <c r="C1114" s="102"/>
      <c r="D1114" s="102"/>
      <c r="E1114" s="102"/>
      <c r="F1114" s="102"/>
      <c r="G1114" s="102"/>
      <c r="H1114" s="102"/>
      <c r="I1114" s="102"/>
      <c r="J1114" s="102"/>
      <c r="K1114" s="102"/>
      <c r="L1114" s="102"/>
      <c r="M1114" s="102"/>
      <c r="N1114" s="102"/>
      <c r="O1114" s="102"/>
      <c r="P1114" s="102"/>
      <c r="Q1114" s="102"/>
      <c r="R1114" s="102"/>
    </row>
    <row r="1115" spans="1:18" ht="35.1" customHeight="1" x14ac:dyDescent="0.2">
      <c r="A1115" s="99"/>
      <c r="B1115" s="99"/>
      <c r="C1115" s="102"/>
      <c r="D1115" s="102"/>
      <c r="E1115" s="102"/>
      <c r="F1115" s="102"/>
      <c r="G1115" s="102"/>
      <c r="H1115" s="102"/>
      <c r="I1115" s="102"/>
      <c r="J1115" s="102"/>
      <c r="K1115" s="102"/>
      <c r="L1115" s="102"/>
      <c r="M1115" s="102"/>
      <c r="N1115" s="102"/>
      <c r="O1115" s="102"/>
      <c r="P1115" s="102"/>
      <c r="Q1115" s="102"/>
      <c r="R1115" s="102"/>
    </row>
    <row r="1116" spans="1:18" ht="35.1" customHeight="1" x14ac:dyDescent="0.2">
      <c r="A1116" s="99"/>
      <c r="B1116" s="99"/>
      <c r="C1116" s="102"/>
      <c r="D1116" s="102"/>
      <c r="E1116" s="102"/>
      <c r="F1116" s="102"/>
      <c r="G1116" s="102"/>
      <c r="H1116" s="102"/>
      <c r="I1116" s="102"/>
      <c r="J1116" s="102"/>
      <c r="K1116" s="102"/>
      <c r="L1116" s="102"/>
      <c r="M1116" s="102"/>
      <c r="N1116" s="102"/>
      <c r="O1116" s="102"/>
      <c r="P1116" s="102"/>
      <c r="Q1116" s="102"/>
      <c r="R1116" s="102"/>
    </row>
    <row r="1117" spans="1:18" ht="35.1" customHeight="1" x14ac:dyDescent="0.2">
      <c r="A1117" s="99"/>
      <c r="B1117" s="99"/>
      <c r="C1117" s="102"/>
      <c r="D1117" s="102"/>
      <c r="E1117" s="102"/>
      <c r="F1117" s="102"/>
      <c r="G1117" s="102"/>
      <c r="H1117" s="102"/>
      <c r="I1117" s="102"/>
      <c r="J1117" s="102"/>
      <c r="K1117" s="102"/>
      <c r="L1117" s="102"/>
      <c r="M1117" s="102"/>
      <c r="N1117" s="102"/>
      <c r="O1117" s="102"/>
      <c r="P1117" s="102"/>
      <c r="Q1117" s="102"/>
      <c r="R1117" s="102"/>
    </row>
    <row r="1118" spans="1:18" ht="35.1" customHeight="1" x14ac:dyDescent="0.2">
      <c r="A1118" s="99"/>
      <c r="B1118" s="99"/>
      <c r="C1118" s="102"/>
      <c r="D1118" s="102"/>
      <c r="E1118" s="102"/>
      <c r="F1118" s="102"/>
      <c r="G1118" s="102"/>
      <c r="H1118" s="102"/>
      <c r="I1118" s="102"/>
      <c r="J1118" s="102"/>
      <c r="K1118" s="102"/>
      <c r="L1118" s="102"/>
      <c r="M1118" s="102"/>
      <c r="N1118" s="102"/>
      <c r="O1118" s="102"/>
      <c r="P1118" s="102"/>
      <c r="Q1118" s="102"/>
      <c r="R1118" s="102"/>
    </row>
    <row r="1119" spans="1:18" ht="35.1" customHeight="1" x14ac:dyDescent="0.2">
      <c r="A1119" s="99"/>
      <c r="B1119" s="99"/>
      <c r="C1119" s="102"/>
      <c r="D1119" s="102"/>
      <c r="E1119" s="102"/>
      <c r="F1119" s="102"/>
      <c r="G1119" s="102"/>
      <c r="H1119" s="102"/>
      <c r="I1119" s="102"/>
      <c r="J1119" s="102"/>
      <c r="K1119" s="102"/>
      <c r="L1119" s="102"/>
      <c r="M1119" s="102"/>
      <c r="N1119" s="102"/>
      <c r="O1119" s="102"/>
      <c r="P1119" s="102"/>
      <c r="Q1119" s="102"/>
      <c r="R1119" s="102"/>
    </row>
    <row r="1120" spans="1:18" ht="35.1" customHeight="1" x14ac:dyDescent="0.2">
      <c r="A1120" s="99"/>
      <c r="B1120" s="99"/>
      <c r="C1120" s="102"/>
      <c r="D1120" s="102"/>
      <c r="E1120" s="102"/>
      <c r="F1120" s="102"/>
      <c r="G1120" s="102"/>
      <c r="H1120" s="102"/>
      <c r="I1120" s="102"/>
      <c r="J1120" s="102"/>
      <c r="K1120" s="102"/>
      <c r="L1120" s="102"/>
      <c r="M1120" s="102"/>
      <c r="N1120" s="102"/>
      <c r="O1120" s="102"/>
      <c r="P1120" s="102"/>
      <c r="Q1120" s="102"/>
      <c r="R1120" s="102"/>
    </row>
    <row r="1121" spans="1:18" ht="35.1" customHeight="1" x14ac:dyDescent="0.2">
      <c r="A1121" s="99"/>
      <c r="B1121" s="99"/>
      <c r="C1121" s="102"/>
      <c r="D1121" s="102"/>
      <c r="E1121" s="102"/>
      <c r="F1121" s="102"/>
      <c r="G1121" s="102"/>
      <c r="H1121" s="102"/>
      <c r="I1121" s="102"/>
      <c r="J1121" s="102"/>
      <c r="K1121" s="102"/>
      <c r="L1121" s="102"/>
      <c r="M1121" s="102"/>
      <c r="N1121" s="102"/>
      <c r="O1121" s="102"/>
      <c r="P1121" s="102"/>
      <c r="Q1121" s="102"/>
      <c r="R1121" s="102"/>
    </row>
    <row r="1122" spans="1:18" ht="35.1" customHeight="1" x14ac:dyDescent="0.2">
      <c r="A1122" s="99"/>
      <c r="B1122" s="99"/>
      <c r="C1122" s="102"/>
      <c r="D1122" s="102"/>
      <c r="E1122" s="102"/>
      <c r="F1122" s="102"/>
      <c r="G1122" s="102"/>
      <c r="H1122" s="102"/>
      <c r="I1122" s="102"/>
      <c r="J1122" s="102"/>
      <c r="K1122" s="102"/>
      <c r="L1122" s="102"/>
      <c r="M1122" s="102"/>
      <c r="N1122" s="102"/>
      <c r="O1122" s="102"/>
      <c r="P1122" s="102"/>
      <c r="Q1122" s="102"/>
      <c r="R1122" s="102"/>
    </row>
    <row r="1123" spans="1:18" ht="35.1" customHeight="1" x14ac:dyDescent="0.2">
      <c r="A1123" s="99"/>
      <c r="B1123" s="99"/>
      <c r="C1123" s="102"/>
      <c r="D1123" s="102"/>
      <c r="E1123" s="102"/>
      <c r="F1123" s="102"/>
      <c r="G1123" s="102"/>
      <c r="H1123" s="102"/>
      <c r="I1123" s="102"/>
      <c r="J1123" s="102"/>
      <c r="K1123" s="102"/>
      <c r="L1123" s="102"/>
      <c r="M1123" s="102"/>
      <c r="N1123" s="102"/>
      <c r="O1123" s="102"/>
      <c r="P1123" s="102"/>
      <c r="Q1123" s="102"/>
      <c r="R1123" s="102"/>
    </row>
    <row r="1124" spans="1:18" ht="35.1" customHeight="1" x14ac:dyDescent="0.2">
      <c r="A1124" s="99"/>
      <c r="B1124" s="99"/>
      <c r="C1124" s="102"/>
      <c r="D1124" s="102"/>
      <c r="E1124" s="102"/>
      <c r="F1124" s="102"/>
      <c r="G1124" s="102"/>
      <c r="H1124" s="102"/>
      <c r="I1124" s="102"/>
      <c r="J1124" s="102"/>
      <c r="K1124" s="102"/>
      <c r="L1124" s="102"/>
      <c r="M1124" s="102"/>
      <c r="N1124" s="102"/>
      <c r="O1124" s="102"/>
      <c r="P1124" s="102"/>
      <c r="Q1124" s="102"/>
      <c r="R1124" s="102"/>
    </row>
    <row r="1125" spans="1:18" ht="35.1" customHeight="1" x14ac:dyDescent="0.2">
      <c r="A1125" s="99"/>
      <c r="B1125" s="99"/>
      <c r="C1125" s="102"/>
      <c r="D1125" s="102"/>
      <c r="E1125" s="102"/>
      <c r="F1125" s="102"/>
      <c r="G1125" s="102"/>
      <c r="H1125" s="102"/>
      <c r="I1125" s="102"/>
      <c r="J1125" s="102"/>
      <c r="K1125" s="102"/>
      <c r="L1125" s="102"/>
      <c r="M1125" s="102"/>
      <c r="N1125" s="102"/>
      <c r="O1125" s="102"/>
      <c r="P1125" s="102"/>
      <c r="Q1125" s="102"/>
      <c r="R1125" s="102"/>
    </row>
    <row r="1126" spans="1:18" ht="35.1" customHeight="1" x14ac:dyDescent="0.2">
      <c r="A1126" s="99"/>
      <c r="B1126" s="99"/>
      <c r="C1126" s="102"/>
      <c r="D1126" s="102"/>
      <c r="E1126" s="102"/>
      <c r="F1126" s="102"/>
      <c r="G1126" s="102"/>
      <c r="H1126" s="102"/>
      <c r="I1126" s="102"/>
      <c r="J1126" s="102"/>
      <c r="K1126" s="102"/>
      <c r="L1126" s="102"/>
      <c r="M1126" s="102"/>
      <c r="N1126" s="102"/>
      <c r="O1126" s="102"/>
      <c r="P1126" s="102"/>
      <c r="Q1126" s="102"/>
      <c r="R1126" s="102"/>
    </row>
    <row r="1127" spans="1:18" ht="35.1" customHeight="1" x14ac:dyDescent="0.2">
      <c r="A1127" s="99"/>
      <c r="B1127" s="99"/>
      <c r="C1127" s="102"/>
      <c r="D1127" s="102"/>
      <c r="E1127" s="102"/>
      <c r="F1127" s="102"/>
      <c r="G1127" s="102"/>
      <c r="H1127" s="102"/>
      <c r="I1127" s="102"/>
      <c r="J1127" s="102"/>
      <c r="K1127" s="102"/>
      <c r="L1127" s="102"/>
      <c r="M1127" s="102"/>
      <c r="N1127" s="102"/>
      <c r="O1127" s="102"/>
      <c r="P1127" s="102"/>
      <c r="Q1127" s="102"/>
      <c r="R1127" s="102"/>
    </row>
    <row r="1128" spans="1:18" ht="35.1" customHeight="1" x14ac:dyDescent="0.2">
      <c r="A1128" s="99"/>
      <c r="B1128" s="99"/>
      <c r="C1128" s="102"/>
      <c r="D1128" s="102"/>
      <c r="E1128" s="102"/>
      <c r="F1128" s="102"/>
      <c r="G1128" s="102"/>
      <c r="H1128" s="102"/>
      <c r="I1128" s="102"/>
      <c r="J1128" s="102"/>
      <c r="K1128" s="102"/>
      <c r="L1128" s="102"/>
      <c r="M1128" s="102"/>
      <c r="N1128" s="102"/>
      <c r="O1128" s="102"/>
      <c r="P1128" s="102"/>
      <c r="Q1128" s="102"/>
      <c r="R1128" s="102"/>
    </row>
    <row r="1129" spans="1:18" ht="35.1" customHeight="1" x14ac:dyDescent="0.2">
      <c r="A1129" s="99"/>
      <c r="B1129" s="99"/>
      <c r="C1129" s="102"/>
      <c r="D1129" s="102"/>
      <c r="E1129" s="102"/>
      <c r="F1129" s="102"/>
      <c r="G1129" s="102"/>
      <c r="H1129" s="102"/>
      <c r="I1129" s="102"/>
      <c r="J1129" s="102"/>
      <c r="K1129" s="102"/>
      <c r="L1129" s="102"/>
      <c r="M1129" s="102"/>
      <c r="N1129" s="102"/>
      <c r="O1129" s="102"/>
      <c r="P1129" s="102"/>
      <c r="Q1129" s="102"/>
      <c r="R1129" s="102"/>
    </row>
    <row r="1130" spans="1:18" ht="35.1" customHeight="1" x14ac:dyDescent="0.2">
      <c r="A1130" s="99"/>
      <c r="B1130" s="99"/>
      <c r="C1130" s="102"/>
      <c r="D1130" s="102"/>
      <c r="E1130" s="102"/>
      <c r="F1130" s="102"/>
      <c r="G1130" s="102"/>
      <c r="H1130" s="102"/>
      <c r="I1130" s="102"/>
      <c r="J1130" s="102"/>
      <c r="K1130" s="102"/>
      <c r="L1130" s="102"/>
      <c r="M1130" s="102"/>
      <c r="N1130" s="102"/>
      <c r="O1130" s="102"/>
      <c r="P1130" s="102"/>
      <c r="Q1130" s="102"/>
      <c r="R1130" s="102"/>
    </row>
    <row r="1131" spans="1:18" ht="35.1" customHeight="1" x14ac:dyDescent="0.2">
      <c r="A1131" s="99"/>
      <c r="B1131" s="99"/>
      <c r="C1131" s="102"/>
      <c r="D1131" s="102"/>
      <c r="E1131" s="102"/>
      <c r="F1131" s="102"/>
      <c r="G1131" s="102"/>
      <c r="H1131" s="102"/>
      <c r="I1131" s="102"/>
      <c r="J1131" s="102"/>
      <c r="K1131" s="102"/>
      <c r="L1131" s="102"/>
      <c r="M1131" s="102"/>
      <c r="N1131" s="102"/>
      <c r="O1131" s="102"/>
      <c r="P1131" s="102"/>
      <c r="Q1131" s="102"/>
      <c r="R1131" s="102"/>
    </row>
    <row r="1132" spans="1:18" ht="35.1" customHeight="1" x14ac:dyDescent="0.2">
      <c r="A1132" s="99"/>
      <c r="B1132" s="99"/>
      <c r="C1132" s="102"/>
      <c r="D1132" s="102"/>
      <c r="E1132" s="102"/>
      <c r="F1132" s="102"/>
      <c r="G1132" s="102"/>
      <c r="H1132" s="102"/>
      <c r="I1132" s="102"/>
      <c r="J1132" s="102"/>
      <c r="K1132" s="102"/>
      <c r="L1132" s="102"/>
      <c r="M1132" s="102"/>
      <c r="N1132" s="102"/>
      <c r="O1132" s="102"/>
      <c r="P1132" s="102"/>
      <c r="Q1132" s="102"/>
      <c r="R1132" s="102"/>
    </row>
    <row r="1133" spans="1:18" ht="35.1" customHeight="1" x14ac:dyDescent="0.2">
      <c r="A1133" s="99"/>
      <c r="B1133" s="99"/>
      <c r="C1133" s="102"/>
      <c r="D1133" s="102"/>
      <c r="E1133" s="102"/>
      <c r="F1133" s="102"/>
      <c r="G1133" s="102"/>
      <c r="H1133" s="102"/>
      <c r="I1133" s="102"/>
      <c r="J1133" s="102"/>
      <c r="K1133" s="102"/>
      <c r="L1133" s="102"/>
      <c r="M1133" s="102"/>
      <c r="N1133" s="102"/>
      <c r="O1133" s="102"/>
      <c r="P1133" s="102"/>
      <c r="Q1133" s="102"/>
      <c r="R1133" s="102"/>
    </row>
    <row r="1134" spans="1:18" ht="35.1" customHeight="1" x14ac:dyDescent="0.2">
      <c r="A1134" s="99"/>
      <c r="B1134" s="99"/>
      <c r="C1134" s="102"/>
      <c r="D1134" s="102"/>
      <c r="E1134" s="102"/>
      <c r="F1134" s="102"/>
      <c r="G1134" s="102"/>
      <c r="H1134" s="102"/>
      <c r="I1134" s="102"/>
      <c r="J1134" s="102"/>
      <c r="K1134" s="102"/>
      <c r="L1134" s="102"/>
      <c r="M1134" s="102"/>
      <c r="N1134" s="102"/>
      <c r="O1134" s="102"/>
      <c r="P1134" s="102"/>
      <c r="Q1134" s="102"/>
      <c r="R1134" s="102"/>
    </row>
    <row r="1135" spans="1:18" ht="35.1" customHeight="1" x14ac:dyDescent="0.2">
      <c r="A1135" s="99"/>
      <c r="B1135" s="99"/>
      <c r="C1135" s="102"/>
      <c r="D1135" s="102"/>
      <c r="E1135" s="102"/>
      <c r="F1135" s="102"/>
      <c r="G1135" s="102"/>
      <c r="H1135" s="102"/>
      <c r="I1135" s="102"/>
      <c r="J1135" s="102"/>
      <c r="K1135" s="102"/>
      <c r="L1135" s="102"/>
      <c r="M1135" s="102"/>
      <c r="N1135" s="102"/>
      <c r="O1135" s="102"/>
      <c r="P1135" s="102"/>
      <c r="Q1135" s="102"/>
      <c r="R1135" s="102"/>
    </row>
    <row r="1136" spans="1:18" ht="35.1" customHeight="1" x14ac:dyDescent="0.2">
      <c r="A1136" s="99"/>
      <c r="B1136" s="99"/>
      <c r="C1136" s="102"/>
      <c r="D1136" s="102"/>
      <c r="E1136" s="102"/>
      <c r="F1136" s="102"/>
      <c r="G1136" s="102"/>
      <c r="H1136" s="102"/>
      <c r="I1136" s="102"/>
      <c r="J1136" s="102"/>
      <c r="K1136" s="102"/>
      <c r="L1136" s="102"/>
      <c r="M1136" s="102"/>
      <c r="N1136" s="102"/>
      <c r="O1136" s="102"/>
      <c r="P1136" s="102"/>
      <c r="Q1136" s="102"/>
      <c r="R1136" s="102"/>
    </row>
    <row r="1137" spans="1:18" ht="35.1" customHeight="1" x14ac:dyDescent="0.2">
      <c r="A1137" s="99"/>
      <c r="B1137" s="99"/>
      <c r="C1137" s="102"/>
      <c r="D1137" s="102"/>
      <c r="E1137" s="102"/>
      <c r="F1137" s="102"/>
      <c r="G1137" s="102"/>
      <c r="H1137" s="102"/>
      <c r="I1137" s="102"/>
      <c r="J1137" s="102"/>
      <c r="K1137" s="102"/>
      <c r="L1137" s="102"/>
      <c r="M1137" s="102"/>
      <c r="N1137" s="102"/>
      <c r="O1137" s="102"/>
      <c r="P1137" s="102"/>
      <c r="Q1137" s="102"/>
      <c r="R1137" s="102"/>
    </row>
    <row r="1138" spans="1:18" ht="35.1" customHeight="1" x14ac:dyDescent="0.2">
      <c r="A1138" s="99"/>
      <c r="B1138" s="99"/>
      <c r="C1138" s="102"/>
      <c r="D1138" s="102"/>
      <c r="E1138" s="102"/>
      <c r="F1138" s="102"/>
      <c r="G1138" s="102"/>
      <c r="H1138" s="102"/>
      <c r="I1138" s="102"/>
      <c r="J1138" s="102"/>
      <c r="K1138" s="102"/>
      <c r="L1138" s="102"/>
      <c r="M1138" s="102"/>
      <c r="N1138" s="102"/>
      <c r="O1138" s="102"/>
      <c r="P1138" s="102"/>
      <c r="Q1138" s="102"/>
      <c r="R1138" s="102"/>
    </row>
    <row r="1139" spans="1:18" ht="35.1" customHeight="1" x14ac:dyDescent="0.2">
      <c r="A1139" s="99"/>
      <c r="B1139" s="99"/>
      <c r="C1139" s="102"/>
      <c r="D1139" s="102"/>
      <c r="E1139" s="102"/>
      <c r="F1139" s="102"/>
      <c r="G1139" s="102"/>
      <c r="H1139" s="102"/>
      <c r="I1139" s="102"/>
      <c r="J1139" s="102"/>
      <c r="K1139" s="102"/>
      <c r="L1139" s="102"/>
      <c r="M1139" s="102"/>
      <c r="N1139" s="102"/>
      <c r="O1139" s="102"/>
      <c r="P1139" s="102"/>
      <c r="Q1139" s="102"/>
      <c r="R1139" s="102"/>
    </row>
    <row r="1140" spans="1:18" ht="35.1" customHeight="1" x14ac:dyDescent="0.2">
      <c r="A1140" s="99"/>
      <c r="B1140" s="99"/>
      <c r="C1140" s="102"/>
      <c r="D1140" s="102"/>
      <c r="E1140" s="102"/>
      <c r="F1140" s="102"/>
      <c r="G1140" s="102"/>
      <c r="H1140" s="102"/>
      <c r="I1140" s="102"/>
      <c r="J1140" s="102"/>
      <c r="K1140" s="102"/>
      <c r="L1140" s="102"/>
      <c r="M1140" s="102"/>
      <c r="N1140" s="102"/>
      <c r="O1140" s="102"/>
      <c r="P1140" s="102"/>
      <c r="Q1140" s="102"/>
      <c r="R1140" s="102"/>
    </row>
    <row r="1141" spans="1:18" ht="35.1" customHeight="1" x14ac:dyDescent="0.2">
      <c r="A1141" s="99"/>
      <c r="B1141" s="99"/>
      <c r="C1141" s="102"/>
      <c r="D1141" s="102"/>
      <c r="E1141" s="102"/>
      <c r="F1141" s="102"/>
      <c r="G1141" s="102"/>
      <c r="H1141" s="102"/>
      <c r="I1141" s="102"/>
      <c r="J1141" s="102"/>
      <c r="K1141" s="102"/>
      <c r="L1141" s="102"/>
      <c r="M1141" s="102"/>
      <c r="N1141" s="102"/>
      <c r="O1141" s="102"/>
      <c r="P1141" s="102"/>
      <c r="Q1141" s="102"/>
      <c r="R1141" s="102"/>
    </row>
    <row r="1142" spans="1:18" ht="35.1" customHeight="1" x14ac:dyDescent="0.2">
      <c r="A1142" s="99"/>
      <c r="B1142" s="99"/>
      <c r="C1142" s="102"/>
      <c r="D1142" s="102"/>
      <c r="E1142" s="102"/>
      <c r="F1142" s="102"/>
      <c r="G1142" s="102"/>
      <c r="H1142" s="102"/>
      <c r="I1142" s="102"/>
      <c r="J1142" s="102"/>
      <c r="K1142" s="102"/>
      <c r="L1142" s="102"/>
      <c r="M1142" s="102"/>
      <c r="N1142" s="102"/>
      <c r="O1142" s="102"/>
      <c r="P1142" s="102"/>
      <c r="Q1142" s="102"/>
      <c r="R1142" s="102"/>
    </row>
    <row r="1143" spans="1:18" ht="35.1" customHeight="1" x14ac:dyDescent="0.2">
      <c r="A1143" s="99"/>
      <c r="B1143" s="99"/>
      <c r="C1143" s="102"/>
      <c r="D1143" s="102"/>
      <c r="E1143" s="102"/>
      <c r="F1143" s="102"/>
      <c r="G1143" s="102"/>
      <c r="H1143" s="102"/>
      <c r="I1143" s="102"/>
      <c r="J1143" s="102"/>
      <c r="K1143" s="102"/>
      <c r="L1143" s="102"/>
      <c r="M1143" s="102"/>
      <c r="N1143" s="102"/>
      <c r="O1143" s="102"/>
      <c r="P1143" s="102"/>
      <c r="Q1143" s="102"/>
      <c r="R1143" s="102"/>
    </row>
    <row r="1144" spans="1:18" ht="35.1" customHeight="1" x14ac:dyDescent="0.2">
      <c r="A1144" s="99"/>
      <c r="B1144" s="99"/>
      <c r="C1144" s="102"/>
      <c r="D1144" s="102"/>
      <c r="E1144" s="102"/>
      <c r="F1144" s="102"/>
      <c r="G1144" s="102"/>
      <c r="H1144" s="102"/>
      <c r="I1144" s="102"/>
      <c r="J1144" s="102"/>
      <c r="K1144" s="102"/>
      <c r="L1144" s="102"/>
      <c r="M1144" s="102"/>
      <c r="N1144" s="102"/>
      <c r="O1144" s="102"/>
      <c r="P1144" s="102"/>
      <c r="Q1144" s="102"/>
      <c r="R1144" s="102"/>
    </row>
    <row r="1145" spans="1:18" ht="35.1" customHeight="1" x14ac:dyDescent="0.2">
      <c r="A1145" s="99"/>
      <c r="B1145" s="99"/>
      <c r="C1145" s="102"/>
      <c r="D1145" s="102"/>
      <c r="E1145" s="102"/>
      <c r="F1145" s="102"/>
      <c r="G1145" s="102"/>
      <c r="H1145" s="102"/>
      <c r="I1145" s="102"/>
      <c r="J1145" s="102"/>
      <c r="K1145" s="102"/>
      <c r="L1145" s="102"/>
      <c r="M1145" s="102"/>
      <c r="N1145" s="102"/>
      <c r="O1145" s="102"/>
      <c r="P1145" s="102"/>
      <c r="Q1145" s="102"/>
      <c r="R1145" s="102"/>
    </row>
    <row r="1146" spans="1:18" ht="35.1" customHeight="1" x14ac:dyDescent="0.2">
      <c r="A1146" s="99"/>
      <c r="B1146" s="99"/>
      <c r="C1146" s="102"/>
      <c r="D1146" s="102"/>
      <c r="E1146" s="102"/>
      <c r="F1146" s="102"/>
      <c r="G1146" s="102"/>
      <c r="H1146" s="102"/>
      <c r="I1146" s="102"/>
      <c r="J1146" s="102"/>
      <c r="K1146" s="102"/>
      <c r="L1146" s="102"/>
      <c r="M1146" s="102"/>
      <c r="N1146" s="102"/>
      <c r="O1146" s="102"/>
      <c r="P1146" s="102"/>
      <c r="Q1146" s="102"/>
      <c r="R1146" s="102"/>
    </row>
    <row r="1147" spans="1:18" ht="35.1" customHeight="1" x14ac:dyDescent="0.2">
      <c r="A1147" s="99"/>
      <c r="B1147" s="99"/>
      <c r="C1147" s="102"/>
      <c r="D1147" s="102"/>
      <c r="E1147" s="102"/>
      <c r="F1147" s="102"/>
      <c r="G1147" s="102"/>
      <c r="H1147" s="102"/>
      <c r="I1147" s="102"/>
      <c r="J1147" s="102"/>
      <c r="K1147" s="102"/>
      <c r="L1147" s="102"/>
      <c r="M1147" s="102"/>
      <c r="N1147" s="102"/>
      <c r="O1147" s="102"/>
      <c r="P1147" s="102"/>
      <c r="Q1147" s="102"/>
      <c r="R1147" s="102"/>
    </row>
    <row r="1148" spans="1:18" ht="35.1" customHeight="1" x14ac:dyDescent="0.2">
      <c r="A1148" s="99"/>
      <c r="B1148" s="99"/>
      <c r="C1148" s="102"/>
      <c r="D1148" s="102"/>
      <c r="E1148" s="102"/>
      <c r="F1148" s="102"/>
      <c r="G1148" s="102"/>
      <c r="H1148" s="102"/>
      <c r="I1148" s="102"/>
      <c r="J1148" s="102"/>
      <c r="K1148" s="102"/>
      <c r="L1148" s="102"/>
      <c r="M1148" s="102"/>
      <c r="N1148" s="102"/>
      <c r="O1148" s="102"/>
      <c r="P1148" s="102"/>
      <c r="Q1148" s="102"/>
      <c r="R1148" s="102"/>
    </row>
    <row r="1149" spans="1:18" ht="35.1" customHeight="1" x14ac:dyDescent="0.2">
      <c r="A1149" s="99"/>
      <c r="B1149" s="99"/>
      <c r="C1149" s="102"/>
      <c r="D1149" s="102"/>
      <c r="E1149" s="102"/>
      <c r="F1149" s="102"/>
      <c r="G1149" s="102"/>
      <c r="H1149" s="102"/>
      <c r="I1149" s="102"/>
      <c r="J1149" s="102"/>
      <c r="K1149" s="102"/>
      <c r="L1149" s="102"/>
      <c r="M1149" s="102"/>
      <c r="N1149" s="102"/>
      <c r="O1149" s="102"/>
      <c r="P1149" s="102"/>
      <c r="Q1149" s="102"/>
      <c r="R1149" s="102"/>
    </row>
    <row r="1150" spans="1:18" ht="35.1" customHeight="1" x14ac:dyDescent="0.2">
      <c r="A1150" s="99"/>
      <c r="B1150" s="99"/>
      <c r="C1150" s="102"/>
      <c r="D1150" s="102"/>
      <c r="E1150" s="102"/>
      <c r="F1150" s="102"/>
      <c r="G1150" s="102"/>
      <c r="H1150" s="102"/>
      <c r="I1150" s="102"/>
      <c r="J1150" s="102"/>
      <c r="K1150" s="102"/>
      <c r="L1150" s="102"/>
      <c r="M1150" s="102"/>
      <c r="N1150" s="102"/>
      <c r="O1150" s="102"/>
      <c r="P1150" s="102"/>
      <c r="Q1150" s="102"/>
      <c r="R1150" s="102"/>
    </row>
    <row r="1151" spans="1:18" ht="35.1" customHeight="1" x14ac:dyDescent="0.2">
      <c r="A1151" s="99"/>
      <c r="B1151" s="99"/>
      <c r="C1151" s="102"/>
      <c r="D1151" s="102"/>
      <c r="E1151" s="102"/>
      <c r="F1151" s="102"/>
      <c r="G1151" s="102"/>
      <c r="H1151" s="102"/>
      <c r="I1151" s="102"/>
      <c r="J1151" s="102"/>
      <c r="K1151" s="102"/>
      <c r="L1151" s="102"/>
      <c r="M1151" s="102"/>
      <c r="N1151" s="102"/>
      <c r="O1151" s="102"/>
      <c r="P1151" s="102"/>
      <c r="Q1151" s="102"/>
      <c r="R1151" s="102"/>
    </row>
    <row r="1152" spans="1:18" ht="35.1" customHeight="1" x14ac:dyDescent="0.2">
      <c r="A1152" s="99"/>
      <c r="B1152" s="99"/>
      <c r="C1152" s="102"/>
      <c r="D1152" s="102"/>
      <c r="E1152" s="102"/>
      <c r="F1152" s="102"/>
      <c r="G1152" s="102"/>
      <c r="H1152" s="102"/>
      <c r="I1152" s="102"/>
      <c r="J1152" s="102"/>
      <c r="K1152" s="102"/>
      <c r="L1152" s="102"/>
      <c r="M1152" s="102"/>
      <c r="N1152" s="102"/>
      <c r="O1152" s="102"/>
      <c r="P1152" s="102"/>
      <c r="Q1152" s="102"/>
      <c r="R1152" s="102"/>
    </row>
    <row r="1153" spans="1:18" ht="35.1" customHeight="1" x14ac:dyDescent="0.2">
      <c r="A1153" s="99"/>
      <c r="B1153" s="99"/>
      <c r="C1153" s="102"/>
      <c r="D1153" s="102"/>
      <c r="E1153" s="102"/>
      <c r="F1153" s="102"/>
      <c r="G1153" s="102"/>
      <c r="H1153" s="102"/>
      <c r="I1153" s="102"/>
      <c r="J1153" s="102"/>
      <c r="K1153" s="102"/>
      <c r="L1153" s="102"/>
      <c r="M1153" s="102"/>
      <c r="N1153" s="102"/>
      <c r="O1153" s="102"/>
      <c r="P1153" s="102"/>
      <c r="Q1153" s="102"/>
      <c r="R1153" s="102"/>
    </row>
    <row r="1154" spans="1:18" ht="35.1" customHeight="1" x14ac:dyDescent="0.2">
      <c r="A1154" s="99"/>
      <c r="B1154" s="99"/>
      <c r="C1154" s="102"/>
      <c r="D1154" s="102"/>
      <c r="E1154" s="102"/>
      <c r="F1154" s="102"/>
      <c r="G1154" s="102"/>
      <c r="H1154" s="102"/>
      <c r="I1154" s="102"/>
      <c r="J1154" s="102"/>
      <c r="K1154" s="102"/>
      <c r="L1154" s="102"/>
      <c r="M1154" s="102"/>
      <c r="N1154" s="102"/>
      <c r="O1154" s="102"/>
      <c r="P1154" s="102"/>
      <c r="Q1154" s="102"/>
      <c r="R1154" s="102"/>
    </row>
    <row r="1155" spans="1:18" ht="35.1" customHeight="1" x14ac:dyDescent="0.2">
      <c r="A1155" s="99"/>
      <c r="B1155" s="99"/>
      <c r="C1155" s="102"/>
      <c r="D1155" s="102"/>
      <c r="E1155" s="102"/>
      <c r="F1155" s="102"/>
      <c r="G1155" s="102"/>
      <c r="H1155" s="102"/>
      <c r="I1155" s="102"/>
      <c r="J1155" s="102"/>
      <c r="K1155" s="102"/>
      <c r="L1155" s="102"/>
      <c r="M1155" s="102"/>
      <c r="N1155" s="102"/>
      <c r="O1155" s="102"/>
      <c r="P1155" s="102"/>
      <c r="Q1155" s="102"/>
      <c r="R1155" s="102"/>
    </row>
    <row r="1156" spans="1:18" ht="35.1" customHeight="1" x14ac:dyDescent="0.2">
      <c r="A1156" s="99"/>
      <c r="B1156" s="99"/>
      <c r="C1156" s="102"/>
      <c r="D1156" s="102"/>
      <c r="E1156" s="102"/>
      <c r="F1156" s="102"/>
      <c r="G1156" s="102"/>
      <c r="H1156" s="102"/>
      <c r="I1156" s="102"/>
      <c r="J1156" s="102"/>
      <c r="K1156" s="102"/>
      <c r="L1156" s="102"/>
      <c r="M1156" s="102"/>
      <c r="N1156" s="102"/>
      <c r="O1156" s="102"/>
      <c r="P1156" s="102"/>
      <c r="Q1156" s="102"/>
      <c r="R1156" s="102"/>
    </row>
    <row r="1157" spans="1:18" ht="35.1" customHeight="1" x14ac:dyDescent="0.2">
      <c r="A1157" s="99"/>
      <c r="B1157" s="99"/>
      <c r="C1157" s="102"/>
      <c r="D1157" s="102"/>
      <c r="E1157" s="102"/>
      <c r="F1157" s="102"/>
      <c r="G1157" s="102"/>
      <c r="H1157" s="102"/>
      <c r="I1157" s="102"/>
      <c r="J1157" s="102"/>
      <c r="K1157" s="102"/>
      <c r="L1157" s="102"/>
      <c r="M1157" s="102"/>
      <c r="N1157" s="102"/>
      <c r="O1157" s="102"/>
      <c r="P1157" s="102"/>
      <c r="Q1157" s="102"/>
      <c r="R1157" s="102"/>
    </row>
    <row r="1158" spans="1:18" ht="35.1" customHeight="1" x14ac:dyDescent="0.2">
      <c r="A1158" s="99"/>
      <c r="B1158" s="99"/>
      <c r="C1158" s="102"/>
      <c r="D1158" s="102"/>
      <c r="E1158" s="102"/>
      <c r="F1158" s="102"/>
      <c r="G1158" s="102"/>
      <c r="H1158" s="102"/>
      <c r="I1158" s="102"/>
      <c r="J1158" s="102"/>
      <c r="K1158" s="102"/>
      <c r="L1158" s="102"/>
      <c r="M1158" s="102"/>
      <c r="N1158" s="102"/>
      <c r="O1158" s="102"/>
      <c r="P1158" s="102"/>
      <c r="Q1158" s="102"/>
      <c r="R1158" s="102"/>
    </row>
    <row r="1159" spans="1:18" ht="35.1" customHeight="1" x14ac:dyDescent="0.2">
      <c r="A1159" s="99"/>
      <c r="B1159" s="99"/>
      <c r="C1159" s="102"/>
      <c r="D1159" s="102"/>
      <c r="E1159" s="102"/>
      <c r="F1159" s="102"/>
      <c r="G1159" s="102"/>
      <c r="H1159" s="102"/>
      <c r="I1159" s="102"/>
      <c r="J1159" s="102"/>
      <c r="K1159" s="102"/>
      <c r="L1159" s="102"/>
      <c r="M1159" s="102"/>
      <c r="N1159" s="102"/>
      <c r="O1159" s="102"/>
      <c r="P1159" s="102"/>
      <c r="Q1159" s="102"/>
      <c r="R1159" s="102"/>
    </row>
    <row r="1160" spans="1:18" ht="35.1" customHeight="1" x14ac:dyDescent="0.2">
      <c r="A1160" s="99"/>
      <c r="B1160" s="99"/>
      <c r="C1160" s="102"/>
      <c r="D1160" s="102"/>
      <c r="E1160" s="102"/>
      <c r="F1160" s="102"/>
      <c r="G1160" s="102"/>
      <c r="H1160" s="102"/>
      <c r="I1160" s="102"/>
      <c r="J1160" s="102"/>
      <c r="K1160" s="102"/>
      <c r="L1160" s="102"/>
      <c r="M1160" s="102"/>
      <c r="N1160" s="102"/>
      <c r="O1160" s="102"/>
      <c r="P1160" s="102"/>
      <c r="Q1160" s="102"/>
      <c r="R1160" s="102"/>
    </row>
    <row r="1161" spans="1:18" ht="35.1" customHeight="1" x14ac:dyDescent="0.2">
      <c r="A1161" s="99"/>
      <c r="B1161" s="99"/>
      <c r="C1161" s="102"/>
      <c r="D1161" s="102"/>
      <c r="E1161" s="102"/>
      <c r="F1161" s="102"/>
      <c r="G1161" s="102"/>
      <c r="H1161" s="102"/>
      <c r="I1161" s="102"/>
      <c r="J1161" s="102"/>
      <c r="K1161" s="102"/>
      <c r="L1161" s="102"/>
      <c r="M1161" s="102"/>
      <c r="N1161" s="102"/>
      <c r="O1161" s="102"/>
      <c r="P1161" s="102"/>
      <c r="Q1161" s="102"/>
      <c r="R1161" s="102"/>
    </row>
    <row r="1162" spans="1:18" ht="35.1" customHeight="1" x14ac:dyDescent="0.2">
      <c r="A1162" s="99"/>
      <c r="B1162" s="99"/>
      <c r="C1162" s="102"/>
      <c r="D1162" s="102"/>
      <c r="E1162" s="102"/>
      <c r="F1162" s="102"/>
      <c r="G1162" s="102"/>
      <c r="H1162" s="102"/>
      <c r="I1162" s="102"/>
      <c r="J1162" s="102"/>
      <c r="K1162" s="102"/>
      <c r="L1162" s="102"/>
      <c r="M1162" s="102"/>
      <c r="N1162" s="102"/>
      <c r="O1162" s="102"/>
      <c r="P1162" s="102"/>
      <c r="Q1162" s="102"/>
      <c r="R1162" s="102"/>
    </row>
    <row r="1163" spans="1:18" ht="35.1" customHeight="1" x14ac:dyDescent="0.2">
      <c r="A1163" s="99"/>
      <c r="B1163" s="99"/>
      <c r="C1163" s="102"/>
      <c r="D1163" s="102"/>
      <c r="E1163" s="102"/>
      <c r="F1163" s="102"/>
      <c r="G1163" s="102"/>
      <c r="H1163" s="102"/>
      <c r="I1163" s="102"/>
      <c r="J1163" s="102"/>
      <c r="K1163" s="102"/>
      <c r="L1163" s="102"/>
      <c r="M1163" s="102"/>
      <c r="N1163" s="102"/>
      <c r="O1163" s="102"/>
      <c r="P1163" s="102"/>
      <c r="Q1163" s="102"/>
      <c r="R1163" s="102"/>
    </row>
    <row r="1164" spans="1:18" ht="35.1" customHeight="1" x14ac:dyDescent="0.2">
      <c r="A1164" s="99"/>
      <c r="B1164" s="99"/>
      <c r="C1164" s="102"/>
      <c r="D1164" s="102"/>
      <c r="E1164" s="102"/>
      <c r="F1164" s="102"/>
      <c r="G1164" s="102"/>
      <c r="H1164" s="102"/>
      <c r="I1164" s="102"/>
      <c r="J1164" s="102"/>
      <c r="K1164" s="102"/>
      <c r="L1164" s="102"/>
      <c r="M1164" s="102"/>
      <c r="N1164" s="102"/>
      <c r="O1164" s="102"/>
      <c r="P1164" s="102"/>
      <c r="Q1164" s="102"/>
      <c r="R1164" s="102"/>
    </row>
    <row r="1165" spans="1:18" ht="35.1" customHeight="1" x14ac:dyDescent="0.2">
      <c r="A1165" s="99"/>
      <c r="B1165" s="99"/>
      <c r="C1165" s="102"/>
      <c r="D1165" s="102"/>
      <c r="E1165" s="102"/>
      <c r="F1165" s="102"/>
      <c r="G1165" s="102"/>
      <c r="H1165" s="102"/>
      <c r="I1165" s="102"/>
      <c r="J1165" s="102"/>
      <c r="K1165" s="102"/>
      <c r="L1165" s="102"/>
      <c r="M1165" s="102"/>
      <c r="N1165" s="102"/>
      <c r="O1165" s="102"/>
      <c r="P1165" s="102"/>
      <c r="Q1165" s="102"/>
      <c r="R1165" s="102"/>
    </row>
    <row r="1166" spans="1:18" ht="35.1" customHeight="1" x14ac:dyDescent="0.2">
      <c r="A1166" s="99"/>
      <c r="B1166" s="99"/>
      <c r="C1166" s="102"/>
      <c r="D1166" s="102"/>
      <c r="E1166" s="102"/>
      <c r="F1166" s="102"/>
      <c r="G1166" s="102"/>
      <c r="H1166" s="102"/>
      <c r="I1166" s="102"/>
      <c r="J1166" s="102"/>
      <c r="K1166" s="102"/>
      <c r="L1166" s="102"/>
      <c r="M1166" s="102"/>
      <c r="N1166" s="102"/>
      <c r="O1166" s="102"/>
      <c r="P1166" s="102"/>
      <c r="Q1166" s="102"/>
      <c r="R1166" s="102"/>
    </row>
    <row r="1167" spans="1:18" ht="35.1" customHeight="1" x14ac:dyDescent="0.2">
      <c r="A1167" s="99"/>
      <c r="B1167" s="99"/>
      <c r="C1167" s="102"/>
      <c r="D1167" s="102"/>
      <c r="E1167" s="102"/>
      <c r="F1167" s="102"/>
      <c r="G1167" s="102"/>
      <c r="H1167" s="102"/>
      <c r="I1167" s="102"/>
      <c r="J1167" s="102"/>
      <c r="K1167" s="102"/>
      <c r="L1167" s="102"/>
      <c r="M1167" s="102"/>
      <c r="N1167" s="102"/>
      <c r="O1167" s="102"/>
      <c r="P1167" s="102"/>
      <c r="Q1167" s="102"/>
      <c r="R1167" s="102"/>
    </row>
    <row r="1168" spans="1:18" ht="35.1" customHeight="1" x14ac:dyDescent="0.2">
      <c r="A1168" s="99"/>
      <c r="B1168" s="99"/>
      <c r="C1168" s="102"/>
      <c r="D1168" s="102"/>
      <c r="E1168" s="102"/>
      <c r="F1168" s="102"/>
      <c r="G1168" s="102"/>
      <c r="H1168" s="102"/>
      <c r="I1168" s="102"/>
      <c r="J1168" s="102"/>
      <c r="K1168" s="102"/>
      <c r="L1168" s="102"/>
      <c r="M1168" s="102"/>
      <c r="N1168" s="102"/>
      <c r="O1168" s="102"/>
      <c r="P1168" s="102"/>
      <c r="Q1168" s="102"/>
      <c r="R1168" s="102"/>
    </row>
    <row r="1169" spans="1:18" ht="35.1" customHeight="1" x14ac:dyDescent="0.2">
      <c r="A1169" s="99"/>
      <c r="B1169" s="99"/>
      <c r="C1169" s="102"/>
      <c r="D1169" s="102"/>
      <c r="E1169" s="102"/>
      <c r="F1169" s="102"/>
      <c r="G1169" s="102"/>
      <c r="H1169" s="102"/>
      <c r="I1169" s="102"/>
      <c r="J1169" s="102"/>
      <c r="K1169" s="102"/>
      <c r="L1169" s="102"/>
      <c r="M1169" s="102"/>
      <c r="N1169" s="102"/>
      <c r="O1169" s="102"/>
      <c r="P1169" s="102"/>
      <c r="Q1169" s="102"/>
      <c r="R1169" s="102"/>
    </row>
    <row r="1170" spans="1:18" ht="35.1" customHeight="1" x14ac:dyDescent="0.2">
      <c r="A1170" s="99"/>
      <c r="B1170" s="99"/>
      <c r="C1170" s="102"/>
      <c r="D1170" s="102"/>
      <c r="E1170" s="102"/>
      <c r="F1170" s="102"/>
      <c r="G1170" s="102"/>
      <c r="H1170" s="102"/>
      <c r="I1170" s="102"/>
      <c r="J1170" s="102"/>
      <c r="K1170" s="102"/>
      <c r="L1170" s="102"/>
      <c r="M1170" s="102"/>
      <c r="N1170" s="102"/>
      <c r="O1170" s="102"/>
      <c r="P1170" s="102"/>
      <c r="Q1170" s="102"/>
      <c r="R1170" s="102"/>
    </row>
    <row r="1171" spans="1:18" ht="35.1" customHeight="1" x14ac:dyDescent="0.2">
      <c r="A1171" s="99"/>
      <c r="B1171" s="99"/>
      <c r="C1171" s="102"/>
      <c r="D1171" s="102"/>
      <c r="E1171" s="102"/>
      <c r="F1171" s="102"/>
      <c r="G1171" s="102"/>
      <c r="H1171" s="102"/>
      <c r="I1171" s="102"/>
      <c r="J1171" s="102"/>
      <c r="K1171" s="102"/>
      <c r="L1171" s="102"/>
      <c r="M1171" s="102"/>
      <c r="N1171" s="102"/>
      <c r="O1171" s="102"/>
      <c r="P1171" s="102"/>
      <c r="Q1171" s="102"/>
      <c r="R1171" s="102"/>
    </row>
    <row r="1172" spans="1:18" ht="35.1" customHeight="1" x14ac:dyDescent="0.2">
      <c r="A1172" s="99"/>
      <c r="B1172" s="99"/>
      <c r="C1172" s="102"/>
      <c r="D1172" s="102"/>
      <c r="E1172" s="102"/>
      <c r="F1172" s="102"/>
      <c r="G1172" s="102"/>
      <c r="H1172" s="102"/>
      <c r="I1172" s="102"/>
      <c r="J1172" s="102"/>
      <c r="K1172" s="102"/>
      <c r="L1172" s="102"/>
      <c r="M1172" s="102"/>
      <c r="N1172" s="102"/>
      <c r="O1172" s="102"/>
      <c r="P1172" s="102"/>
      <c r="Q1172" s="102"/>
      <c r="R1172" s="102"/>
    </row>
    <row r="1173" spans="1:18" ht="35.1" customHeight="1" x14ac:dyDescent="0.2">
      <c r="A1173" s="99"/>
      <c r="B1173" s="99"/>
      <c r="C1173" s="102"/>
      <c r="D1173" s="102"/>
      <c r="E1173" s="102"/>
      <c r="F1173" s="102"/>
      <c r="G1173" s="102"/>
      <c r="H1173" s="102"/>
      <c r="I1173" s="102"/>
      <c r="J1173" s="102"/>
      <c r="K1173" s="102"/>
      <c r="L1173" s="102"/>
      <c r="M1173" s="102"/>
      <c r="N1173" s="102"/>
      <c r="O1173" s="102"/>
      <c r="P1173" s="102"/>
      <c r="Q1173" s="102"/>
      <c r="R1173" s="102"/>
    </row>
    <row r="1174" spans="1:18" ht="35.1" customHeight="1" x14ac:dyDescent="0.2">
      <c r="A1174" s="99"/>
      <c r="B1174" s="99"/>
      <c r="C1174" s="102"/>
      <c r="D1174" s="102"/>
      <c r="E1174" s="102"/>
      <c r="F1174" s="102"/>
      <c r="G1174" s="102"/>
      <c r="H1174" s="102"/>
      <c r="I1174" s="102"/>
      <c r="J1174" s="102"/>
      <c r="K1174" s="102"/>
      <c r="L1174" s="102"/>
      <c r="M1174" s="102"/>
      <c r="N1174" s="102"/>
      <c r="O1174" s="102"/>
      <c r="P1174" s="102"/>
      <c r="Q1174" s="102"/>
      <c r="R1174" s="102"/>
    </row>
    <row r="1175" spans="1:18" ht="35.1" customHeight="1" x14ac:dyDescent="0.2">
      <c r="A1175" s="99"/>
      <c r="B1175" s="99"/>
      <c r="C1175" s="102"/>
      <c r="D1175" s="102"/>
      <c r="E1175" s="102"/>
      <c r="F1175" s="102"/>
      <c r="G1175" s="102"/>
      <c r="H1175" s="102"/>
      <c r="I1175" s="102"/>
      <c r="J1175" s="102"/>
      <c r="K1175" s="102"/>
      <c r="L1175" s="102"/>
      <c r="M1175" s="102"/>
      <c r="N1175" s="102"/>
      <c r="O1175" s="102"/>
      <c r="P1175" s="102"/>
      <c r="Q1175" s="102"/>
      <c r="R1175" s="102"/>
    </row>
    <row r="1176" spans="1:18" ht="35.1" customHeight="1" x14ac:dyDescent="0.2">
      <c r="A1176" s="99"/>
      <c r="B1176" s="99"/>
      <c r="C1176" s="102"/>
      <c r="D1176" s="102"/>
      <c r="E1176" s="102"/>
      <c r="F1176" s="102"/>
      <c r="G1176" s="102"/>
      <c r="H1176" s="102"/>
      <c r="I1176" s="102"/>
      <c r="J1176" s="102"/>
      <c r="K1176" s="102"/>
      <c r="L1176" s="102"/>
      <c r="M1176" s="102"/>
      <c r="N1176" s="102"/>
      <c r="O1176" s="102"/>
      <c r="P1176" s="102"/>
      <c r="Q1176" s="102"/>
      <c r="R1176" s="102"/>
    </row>
    <row r="1177" spans="1:18" ht="35.1" customHeight="1" x14ac:dyDescent="0.2">
      <c r="A1177" s="99"/>
      <c r="B1177" s="99"/>
      <c r="C1177" s="102"/>
      <c r="D1177" s="102"/>
      <c r="E1177" s="102"/>
      <c r="F1177" s="102"/>
      <c r="G1177" s="102"/>
      <c r="H1177" s="102"/>
      <c r="I1177" s="102"/>
      <c r="J1177" s="102"/>
      <c r="K1177" s="102"/>
      <c r="L1177" s="102"/>
      <c r="M1177" s="102"/>
      <c r="N1177" s="102"/>
      <c r="O1177" s="102"/>
      <c r="P1177" s="102"/>
      <c r="Q1177" s="102"/>
      <c r="R1177" s="102"/>
    </row>
    <row r="1178" spans="1:18" ht="35.1" customHeight="1" x14ac:dyDescent="0.2">
      <c r="A1178" s="99"/>
      <c r="B1178" s="99"/>
      <c r="C1178" s="102"/>
      <c r="D1178" s="102"/>
      <c r="E1178" s="102"/>
      <c r="F1178" s="102"/>
      <c r="G1178" s="102"/>
      <c r="H1178" s="102"/>
      <c r="I1178" s="102"/>
      <c r="J1178" s="102"/>
      <c r="K1178" s="102"/>
      <c r="L1178" s="102"/>
      <c r="M1178" s="102"/>
      <c r="N1178" s="102"/>
      <c r="O1178" s="102"/>
      <c r="P1178" s="102"/>
      <c r="Q1178" s="102"/>
      <c r="R1178" s="102"/>
    </row>
    <row r="1179" spans="1:18" ht="35.1" customHeight="1" x14ac:dyDescent="0.2">
      <c r="A1179" s="99"/>
      <c r="B1179" s="99"/>
      <c r="C1179" s="102"/>
      <c r="D1179" s="102"/>
      <c r="E1179" s="102"/>
      <c r="F1179" s="102"/>
      <c r="G1179" s="102"/>
      <c r="H1179" s="102"/>
      <c r="I1179" s="102"/>
      <c r="J1179" s="102"/>
      <c r="K1179" s="102"/>
      <c r="L1179" s="102"/>
      <c r="M1179" s="102"/>
      <c r="N1179" s="102"/>
      <c r="O1179" s="102"/>
      <c r="P1179" s="102"/>
      <c r="Q1179" s="102"/>
      <c r="R1179" s="102"/>
    </row>
    <row r="1180" spans="1:18" ht="35.1" customHeight="1" x14ac:dyDescent="0.2">
      <c r="A1180" s="99"/>
      <c r="B1180" s="99"/>
      <c r="C1180" s="102"/>
      <c r="D1180" s="102"/>
      <c r="E1180" s="102"/>
      <c r="F1180" s="102"/>
      <c r="G1180" s="102"/>
      <c r="H1180" s="102"/>
      <c r="I1180" s="102"/>
      <c r="J1180" s="102"/>
      <c r="K1180" s="102"/>
      <c r="L1180" s="102"/>
      <c r="M1180" s="102"/>
      <c r="N1180" s="102"/>
      <c r="O1180" s="102"/>
      <c r="P1180" s="102"/>
      <c r="Q1180" s="102"/>
      <c r="R1180" s="102"/>
    </row>
    <row r="1181" spans="1:18" ht="35.1" customHeight="1" x14ac:dyDescent="0.2">
      <c r="A1181" s="99"/>
      <c r="B1181" s="99"/>
      <c r="C1181" s="102"/>
      <c r="D1181" s="102"/>
      <c r="E1181" s="102"/>
      <c r="F1181" s="102"/>
      <c r="G1181" s="102"/>
      <c r="H1181" s="102"/>
      <c r="I1181" s="102"/>
      <c r="J1181" s="102"/>
      <c r="K1181" s="102"/>
      <c r="L1181" s="102"/>
      <c r="M1181" s="102"/>
      <c r="N1181" s="102"/>
      <c r="O1181" s="102"/>
      <c r="P1181" s="102"/>
      <c r="Q1181" s="102"/>
      <c r="R1181" s="102"/>
    </row>
    <row r="1182" spans="1:18" ht="35.1" customHeight="1" x14ac:dyDescent="0.2">
      <c r="A1182" s="99"/>
      <c r="B1182" s="99"/>
      <c r="C1182" s="102"/>
      <c r="D1182" s="102"/>
      <c r="E1182" s="102"/>
      <c r="F1182" s="102"/>
      <c r="G1182" s="102"/>
      <c r="H1182" s="102"/>
      <c r="I1182" s="102"/>
      <c r="J1182" s="102"/>
      <c r="K1182" s="102"/>
      <c r="L1182" s="102"/>
      <c r="M1182" s="102"/>
      <c r="N1182" s="102"/>
      <c r="O1182" s="102"/>
      <c r="P1182" s="102"/>
      <c r="Q1182" s="102"/>
      <c r="R1182" s="102"/>
    </row>
    <row r="1183" spans="1:18" ht="35.1" customHeight="1" x14ac:dyDescent="0.2">
      <c r="A1183" s="99"/>
      <c r="B1183" s="99"/>
      <c r="C1183" s="102"/>
      <c r="D1183" s="102"/>
      <c r="E1183" s="102"/>
      <c r="F1183" s="102"/>
      <c r="G1183" s="102"/>
      <c r="H1183" s="102"/>
      <c r="I1183" s="102"/>
      <c r="J1183" s="102"/>
      <c r="K1183" s="102"/>
      <c r="L1183" s="102"/>
      <c r="M1183" s="102"/>
      <c r="N1183" s="102"/>
      <c r="O1183" s="102"/>
      <c r="P1183" s="102"/>
      <c r="Q1183" s="102"/>
      <c r="R1183" s="102"/>
    </row>
    <row r="1184" spans="1:18" ht="35.1" customHeight="1" x14ac:dyDescent="0.2">
      <c r="A1184" s="99"/>
      <c r="B1184" s="99"/>
      <c r="C1184" s="102"/>
      <c r="D1184" s="102"/>
      <c r="E1184" s="102"/>
      <c r="F1184" s="102"/>
      <c r="G1184" s="102"/>
      <c r="H1184" s="102"/>
      <c r="I1184" s="102"/>
      <c r="J1184" s="102"/>
      <c r="K1184" s="102"/>
      <c r="L1184" s="102"/>
      <c r="M1184" s="102"/>
      <c r="N1184" s="102"/>
      <c r="O1184" s="102"/>
      <c r="P1184" s="102"/>
      <c r="Q1184" s="102"/>
      <c r="R1184" s="102"/>
    </row>
    <row r="1185" spans="1:18" ht="35.1" customHeight="1" x14ac:dyDescent="0.2">
      <c r="A1185" s="99"/>
      <c r="B1185" s="99"/>
      <c r="C1185" s="102"/>
      <c r="D1185" s="102"/>
      <c r="E1185" s="102"/>
      <c r="F1185" s="102"/>
      <c r="G1185" s="102"/>
      <c r="H1185" s="102"/>
      <c r="I1185" s="102"/>
      <c r="J1185" s="102"/>
      <c r="K1185" s="102"/>
      <c r="L1185" s="102"/>
      <c r="M1185" s="102"/>
      <c r="N1185" s="102"/>
      <c r="O1185" s="102"/>
      <c r="P1185" s="102"/>
      <c r="Q1185" s="102"/>
      <c r="R1185" s="102"/>
    </row>
    <row r="1186" spans="1:18" ht="35.1" customHeight="1" x14ac:dyDescent="0.2">
      <c r="A1186" s="99"/>
      <c r="B1186" s="99"/>
      <c r="C1186" s="102"/>
      <c r="D1186" s="102"/>
      <c r="E1186" s="102"/>
      <c r="F1186" s="102"/>
      <c r="G1186" s="102"/>
      <c r="H1186" s="102"/>
      <c r="I1186" s="102"/>
      <c r="J1186" s="102"/>
      <c r="K1186" s="102"/>
      <c r="L1186" s="102"/>
      <c r="M1186" s="102"/>
      <c r="N1186" s="102"/>
      <c r="O1186" s="102"/>
      <c r="P1186" s="102"/>
      <c r="Q1186" s="102"/>
      <c r="R1186" s="102"/>
    </row>
    <row r="1187" spans="1:18" ht="35.1" customHeight="1" x14ac:dyDescent="0.2">
      <c r="A1187" s="99"/>
      <c r="B1187" s="99"/>
      <c r="C1187" s="102"/>
      <c r="D1187" s="102"/>
      <c r="E1187" s="102"/>
      <c r="F1187" s="102"/>
      <c r="G1187" s="102"/>
      <c r="H1187" s="102"/>
      <c r="I1187" s="102"/>
      <c r="J1187" s="102"/>
      <c r="K1187" s="102"/>
      <c r="L1187" s="102"/>
      <c r="M1187" s="102"/>
      <c r="N1187" s="102"/>
      <c r="O1187" s="102"/>
      <c r="P1187" s="102"/>
      <c r="Q1187" s="102"/>
      <c r="R1187" s="102"/>
    </row>
    <row r="1188" spans="1:18" ht="35.1" customHeight="1" x14ac:dyDescent="0.2">
      <c r="A1188" s="99"/>
      <c r="B1188" s="99"/>
      <c r="C1188" s="102"/>
      <c r="D1188" s="102"/>
      <c r="E1188" s="102"/>
      <c r="F1188" s="102"/>
      <c r="G1188" s="102"/>
      <c r="H1188" s="102"/>
      <c r="I1188" s="102"/>
      <c r="J1188" s="102"/>
      <c r="K1188" s="102"/>
      <c r="L1188" s="102"/>
      <c r="M1188" s="102"/>
      <c r="N1188" s="102"/>
      <c r="O1188" s="102"/>
      <c r="P1188" s="102"/>
      <c r="Q1188" s="102"/>
      <c r="R1188" s="102"/>
    </row>
    <row r="1189" spans="1:18" ht="35.1" customHeight="1" x14ac:dyDescent="0.2">
      <c r="A1189" s="99"/>
      <c r="B1189" s="99"/>
      <c r="C1189" s="102"/>
      <c r="D1189" s="102"/>
      <c r="E1189" s="102"/>
      <c r="F1189" s="102"/>
      <c r="G1189" s="102"/>
      <c r="H1189" s="102"/>
      <c r="I1189" s="102"/>
      <c r="J1189" s="102"/>
      <c r="K1189" s="102"/>
      <c r="L1189" s="102"/>
      <c r="M1189" s="102"/>
      <c r="N1189" s="102"/>
      <c r="O1189" s="102"/>
      <c r="P1189" s="102"/>
      <c r="Q1189" s="102"/>
      <c r="R1189" s="102"/>
    </row>
    <row r="1190" spans="1:18" ht="35.1" customHeight="1" x14ac:dyDescent="0.2">
      <c r="A1190" s="99"/>
      <c r="B1190" s="99"/>
      <c r="C1190" s="102"/>
      <c r="D1190" s="102"/>
      <c r="E1190" s="102"/>
      <c r="F1190" s="102"/>
      <c r="G1190" s="102"/>
      <c r="H1190" s="102"/>
      <c r="I1190" s="102"/>
      <c r="J1190" s="102"/>
      <c r="K1190" s="102"/>
      <c r="L1190" s="102"/>
      <c r="M1190" s="102"/>
      <c r="N1190" s="102"/>
      <c r="O1190" s="102"/>
      <c r="P1190" s="102"/>
      <c r="Q1190" s="102"/>
      <c r="R1190" s="102"/>
    </row>
    <row r="1191" spans="1:18" ht="35.1" customHeight="1" x14ac:dyDescent="0.2">
      <c r="A1191" s="99"/>
      <c r="B1191" s="99"/>
      <c r="C1191" s="102"/>
      <c r="D1191" s="102"/>
      <c r="E1191" s="102"/>
      <c r="F1191" s="102"/>
      <c r="G1191" s="102"/>
      <c r="H1191" s="102"/>
      <c r="I1191" s="102"/>
      <c r="J1191" s="102"/>
      <c r="K1191" s="102"/>
      <c r="L1191" s="102"/>
      <c r="M1191" s="102"/>
      <c r="N1191" s="102"/>
      <c r="O1191" s="102"/>
      <c r="P1191" s="102"/>
      <c r="Q1191" s="102"/>
      <c r="R1191" s="102"/>
    </row>
    <row r="1192" spans="1:18" ht="35.1" customHeight="1" x14ac:dyDescent="0.2">
      <c r="A1192" s="99"/>
      <c r="B1192" s="99"/>
      <c r="C1192" s="102"/>
      <c r="D1192" s="102"/>
      <c r="E1192" s="102"/>
      <c r="F1192" s="102"/>
      <c r="G1192" s="102"/>
      <c r="H1192" s="102"/>
      <c r="I1192" s="102"/>
      <c r="J1192" s="102"/>
      <c r="K1192" s="102"/>
      <c r="L1192" s="102"/>
      <c r="M1192" s="102"/>
      <c r="N1192" s="102"/>
      <c r="O1192" s="102"/>
      <c r="P1192" s="102"/>
      <c r="Q1192" s="102"/>
      <c r="R1192" s="102"/>
    </row>
    <row r="1193" spans="1:18" ht="35.1" customHeight="1" x14ac:dyDescent="0.2">
      <c r="A1193" s="99"/>
      <c r="B1193" s="99"/>
      <c r="C1193" s="102"/>
      <c r="D1193" s="102"/>
      <c r="E1193" s="102"/>
      <c r="F1193" s="102"/>
      <c r="G1193" s="102"/>
      <c r="H1193" s="102"/>
      <c r="I1193" s="102"/>
      <c r="J1193" s="102"/>
      <c r="K1193" s="102"/>
      <c r="L1193" s="102"/>
      <c r="M1193" s="102"/>
      <c r="N1193" s="102"/>
      <c r="O1193" s="102"/>
      <c r="P1193" s="102"/>
      <c r="Q1193" s="102"/>
      <c r="R1193" s="102"/>
    </row>
    <row r="1194" spans="1:18" ht="35.1" customHeight="1" x14ac:dyDescent="0.2">
      <c r="A1194" s="99"/>
      <c r="B1194" s="99"/>
      <c r="C1194" s="102"/>
      <c r="D1194" s="102"/>
      <c r="E1194" s="102"/>
      <c r="F1194" s="102"/>
      <c r="G1194" s="102"/>
      <c r="H1194" s="102"/>
      <c r="I1194" s="102"/>
      <c r="J1194" s="102"/>
      <c r="K1194" s="102"/>
      <c r="L1194" s="102"/>
      <c r="M1194" s="102"/>
      <c r="N1194" s="102"/>
      <c r="O1194" s="102"/>
      <c r="P1194" s="102"/>
      <c r="Q1194" s="102"/>
      <c r="R1194" s="102"/>
    </row>
    <row r="1195" spans="1:18" ht="35.1" customHeight="1" x14ac:dyDescent="0.2">
      <c r="A1195" s="99"/>
      <c r="B1195" s="99"/>
      <c r="C1195" s="102"/>
      <c r="D1195" s="102"/>
      <c r="E1195" s="102"/>
      <c r="F1195" s="102"/>
      <c r="G1195" s="102"/>
      <c r="H1195" s="102"/>
      <c r="I1195" s="102"/>
      <c r="J1195" s="102"/>
      <c r="K1195" s="102"/>
      <c r="L1195" s="102"/>
      <c r="M1195" s="102"/>
      <c r="N1195" s="102"/>
      <c r="O1195" s="102"/>
      <c r="P1195" s="102"/>
      <c r="Q1195" s="102"/>
      <c r="R1195" s="102"/>
    </row>
    <row r="1196" spans="1:18" ht="35.1" customHeight="1" x14ac:dyDescent="0.2">
      <c r="A1196" s="99"/>
      <c r="B1196" s="99"/>
      <c r="C1196" s="102"/>
      <c r="D1196" s="102"/>
      <c r="E1196" s="102"/>
      <c r="F1196" s="102"/>
      <c r="G1196" s="102"/>
      <c r="H1196" s="102"/>
      <c r="I1196" s="102"/>
      <c r="J1196" s="102"/>
      <c r="K1196" s="102"/>
      <c r="L1196" s="102"/>
      <c r="M1196" s="102"/>
      <c r="N1196" s="102"/>
      <c r="O1196" s="102"/>
      <c r="P1196" s="102"/>
      <c r="Q1196" s="102"/>
      <c r="R1196" s="102"/>
    </row>
    <row r="1197" spans="1:18" ht="35.1" customHeight="1" x14ac:dyDescent="0.2">
      <c r="A1197" s="99"/>
      <c r="B1197" s="99"/>
      <c r="C1197" s="102"/>
      <c r="D1197" s="102"/>
      <c r="E1197" s="102"/>
      <c r="F1197" s="102"/>
      <c r="G1197" s="102"/>
      <c r="H1197" s="102"/>
      <c r="I1197" s="102"/>
      <c r="J1197" s="102"/>
      <c r="K1197" s="102"/>
      <c r="L1197" s="102"/>
      <c r="M1197" s="102"/>
      <c r="N1197" s="102"/>
      <c r="O1197" s="102"/>
      <c r="P1197" s="102"/>
      <c r="Q1197" s="102"/>
      <c r="R1197" s="102"/>
    </row>
    <row r="1198" spans="1:18" ht="35.1" customHeight="1" x14ac:dyDescent="0.2">
      <c r="A1198" s="99"/>
      <c r="B1198" s="99"/>
      <c r="C1198" s="102"/>
      <c r="D1198" s="102"/>
      <c r="E1198" s="102"/>
      <c r="F1198" s="102"/>
      <c r="G1198" s="102"/>
      <c r="H1198" s="102"/>
      <c r="I1198" s="102"/>
      <c r="J1198" s="102"/>
      <c r="K1198" s="102"/>
      <c r="L1198" s="102"/>
      <c r="M1198" s="102"/>
      <c r="N1198" s="102"/>
      <c r="O1198" s="102"/>
      <c r="P1198" s="102"/>
      <c r="Q1198" s="102"/>
      <c r="R1198" s="102"/>
    </row>
    <row r="1199" spans="1:18" ht="35.1" customHeight="1" x14ac:dyDescent="0.2">
      <c r="A1199" s="99"/>
      <c r="B1199" s="99"/>
      <c r="C1199" s="102"/>
      <c r="D1199" s="102"/>
      <c r="E1199" s="102"/>
      <c r="F1199" s="102"/>
      <c r="G1199" s="102"/>
      <c r="H1199" s="102"/>
      <c r="I1199" s="102"/>
      <c r="J1199" s="102"/>
      <c r="K1199" s="102"/>
      <c r="L1199" s="102"/>
      <c r="M1199" s="102"/>
      <c r="N1199" s="102"/>
      <c r="O1199" s="102"/>
      <c r="P1199" s="102"/>
      <c r="Q1199" s="102"/>
      <c r="R1199" s="102"/>
    </row>
    <row r="1200" spans="1:18" ht="35.1" customHeight="1" x14ac:dyDescent="0.2">
      <c r="A1200" s="99"/>
      <c r="B1200" s="99"/>
      <c r="C1200" s="102"/>
      <c r="D1200" s="102"/>
      <c r="E1200" s="102"/>
      <c r="F1200" s="102"/>
      <c r="G1200" s="102"/>
      <c r="H1200" s="102"/>
      <c r="I1200" s="102"/>
      <c r="J1200" s="102"/>
      <c r="K1200" s="102"/>
      <c r="L1200" s="102"/>
      <c r="M1200" s="102"/>
      <c r="N1200" s="102"/>
      <c r="O1200" s="102"/>
      <c r="P1200" s="102"/>
      <c r="Q1200" s="102"/>
      <c r="R1200" s="102"/>
    </row>
    <row r="1201" spans="1:18" ht="35.1" customHeight="1" x14ac:dyDescent="0.2">
      <c r="A1201" s="99"/>
      <c r="B1201" s="99"/>
      <c r="C1201" s="102"/>
      <c r="D1201" s="102"/>
      <c r="E1201" s="102"/>
      <c r="F1201" s="102"/>
      <c r="G1201" s="102"/>
      <c r="H1201" s="102"/>
      <c r="I1201" s="102"/>
      <c r="J1201" s="102"/>
      <c r="K1201" s="102"/>
      <c r="L1201" s="102"/>
      <c r="M1201" s="102"/>
      <c r="N1201" s="102"/>
      <c r="O1201" s="102"/>
      <c r="P1201" s="102"/>
      <c r="Q1201" s="102"/>
      <c r="R1201" s="102"/>
    </row>
    <row r="1202" spans="1:18" ht="35.1" customHeight="1" x14ac:dyDescent="0.2">
      <c r="A1202" s="99"/>
      <c r="B1202" s="99"/>
      <c r="C1202" s="102"/>
      <c r="D1202" s="102"/>
      <c r="E1202" s="102"/>
      <c r="F1202" s="102"/>
      <c r="G1202" s="102"/>
      <c r="H1202" s="102"/>
      <c r="I1202" s="102"/>
      <c r="J1202" s="102"/>
      <c r="K1202" s="102"/>
      <c r="L1202" s="102"/>
      <c r="M1202" s="102"/>
      <c r="N1202" s="102"/>
      <c r="O1202" s="102"/>
      <c r="P1202" s="102"/>
      <c r="Q1202" s="102"/>
      <c r="R1202" s="102"/>
    </row>
    <row r="1203" spans="1:18" ht="35.1" customHeight="1" x14ac:dyDescent="0.2">
      <c r="A1203" s="99"/>
      <c r="B1203" s="99"/>
      <c r="C1203" s="102"/>
      <c r="D1203" s="102"/>
      <c r="E1203" s="102"/>
      <c r="F1203" s="102"/>
      <c r="G1203" s="102"/>
      <c r="H1203" s="102"/>
      <c r="I1203" s="102"/>
      <c r="J1203" s="102"/>
      <c r="K1203" s="102"/>
      <c r="L1203" s="102"/>
      <c r="M1203" s="102"/>
      <c r="N1203" s="102"/>
      <c r="O1203" s="102"/>
      <c r="P1203" s="102"/>
      <c r="Q1203" s="102"/>
      <c r="R1203" s="102"/>
    </row>
    <row r="1204" spans="1:18" ht="35.1" customHeight="1" x14ac:dyDescent="0.2">
      <c r="A1204" s="99"/>
      <c r="B1204" s="99"/>
      <c r="C1204" s="102"/>
      <c r="D1204" s="102"/>
      <c r="E1204" s="102"/>
      <c r="F1204" s="102"/>
      <c r="G1204" s="102"/>
      <c r="H1204" s="102"/>
      <c r="I1204" s="102"/>
      <c r="J1204" s="102"/>
      <c r="K1204" s="102"/>
      <c r="L1204" s="102"/>
      <c r="M1204" s="102"/>
      <c r="N1204" s="102"/>
      <c r="O1204" s="102"/>
      <c r="P1204" s="102"/>
      <c r="Q1204" s="102"/>
      <c r="R1204" s="102"/>
    </row>
    <row r="1205" spans="1:18" ht="35.1" customHeight="1" x14ac:dyDescent="0.2">
      <c r="A1205" s="99"/>
      <c r="B1205" s="99"/>
      <c r="C1205" s="102"/>
      <c r="D1205" s="102"/>
      <c r="E1205" s="102"/>
      <c r="F1205" s="102"/>
      <c r="G1205" s="102"/>
      <c r="H1205" s="102"/>
      <c r="I1205" s="102"/>
      <c r="J1205" s="102"/>
      <c r="K1205" s="102"/>
      <c r="L1205" s="102"/>
      <c r="M1205" s="102"/>
      <c r="N1205" s="102"/>
      <c r="O1205" s="102"/>
      <c r="P1205" s="102"/>
      <c r="Q1205" s="102"/>
      <c r="R1205" s="102"/>
    </row>
    <row r="1206" spans="1:18" ht="35.1" customHeight="1" x14ac:dyDescent="0.2">
      <c r="A1206" s="99"/>
      <c r="B1206" s="99"/>
      <c r="C1206" s="102"/>
      <c r="D1206" s="102"/>
      <c r="E1206" s="102"/>
      <c r="F1206" s="102"/>
      <c r="G1206" s="102"/>
      <c r="H1206" s="102"/>
      <c r="I1206" s="102"/>
      <c r="J1206" s="102"/>
      <c r="K1206" s="102"/>
      <c r="L1206" s="102"/>
      <c r="M1206" s="102"/>
      <c r="N1206" s="102"/>
      <c r="O1206" s="102"/>
      <c r="P1206" s="102"/>
      <c r="Q1206" s="102"/>
      <c r="R1206" s="102"/>
    </row>
    <row r="1207" spans="1:18" ht="35.1" customHeight="1" x14ac:dyDescent="0.2">
      <c r="A1207" s="99"/>
      <c r="B1207" s="99"/>
      <c r="C1207" s="102"/>
      <c r="D1207" s="102"/>
      <c r="E1207" s="102"/>
      <c r="F1207" s="102"/>
      <c r="G1207" s="102"/>
      <c r="H1207" s="102"/>
      <c r="I1207" s="102"/>
      <c r="J1207" s="102"/>
      <c r="K1207" s="102"/>
      <c r="L1207" s="102"/>
      <c r="M1207" s="102"/>
      <c r="N1207" s="102"/>
      <c r="O1207" s="102"/>
      <c r="P1207" s="102"/>
      <c r="Q1207" s="102"/>
      <c r="R1207" s="102"/>
    </row>
    <row r="1208" spans="1:18" ht="35.1" customHeight="1" x14ac:dyDescent="0.2">
      <c r="A1208" s="99"/>
      <c r="B1208" s="99"/>
      <c r="C1208" s="102"/>
      <c r="D1208" s="102"/>
      <c r="E1208" s="102"/>
      <c r="F1208" s="102"/>
      <c r="G1208" s="102"/>
      <c r="H1208" s="102"/>
      <c r="I1208" s="102"/>
      <c r="J1208" s="102"/>
      <c r="K1208" s="102"/>
      <c r="L1208" s="102"/>
      <c r="M1208" s="102"/>
      <c r="N1208" s="102"/>
      <c r="O1208" s="102"/>
      <c r="P1208" s="102"/>
      <c r="Q1208" s="102"/>
      <c r="R1208" s="102"/>
    </row>
    <row r="1209" spans="1:18" ht="35.1" customHeight="1" x14ac:dyDescent="0.2">
      <c r="A1209" s="99"/>
      <c r="B1209" s="99"/>
      <c r="C1209" s="102"/>
      <c r="D1209" s="102"/>
      <c r="E1209" s="102"/>
      <c r="F1209" s="102"/>
      <c r="G1209" s="102"/>
      <c r="H1209" s="102"/>
      <c r="I1209" s="102"/>
      <c r="J1209" s="102"/>
      <c r="K1209" s="102"/>
      <c r="L1209" s="102"/>
      <c r="M1209" s="102"/>
      <c r="N1209" s="102"/>
      <c r="O1209" s="102"/>
      <c r="P1209" s="102"/>
      <c r="Q1209" s="102"/>
      <c r="R1209" s="102"/>
    </row>
    <row r="1210" spans="1:18" ht="35.1" customHeight="1" x14ac:dyDescent="0.2">
      <c r="A1210" s="99"/>
      <c r="B1210" s="99"/>
      <c r="C1210" s="102"/>
      <c r="D1210" s="102"/>
      <c r="E1210" s="102"/>
      <c r="F1210" s="102"/>
      <c r="G1210" s="102"/>
      <c r="H1210" s="102"/>
      <c r="I1210" s="102"/>
      <c r="J1210" s="102"/>
      <c r="K1210" s="102"/>
      <c r="L1210" s="102"/>
      <c r="M1210" s="102"/>
      <c r="N1210" s="102"/>
      <c r="O1210" s="102"/>
      <c r="P1210" s="102"/>
      <c r="Q1210" s="102"/>
      <c r="R1210" s="102"/>
    </row>
    <row r="1211" spans="1:18" ht="35.1" customHeight="1" x14ac:dyDescent="0.2">
      <c r="A1211" s="99"/>
      <c r="B1211" s="99"/>
      <c r="C1211" s="102"/>
      <c r="D1211" s="102"/>
      <c r="E1211" s="102"/>
      <c r="F1211" s="102"/>
      <c r="G1211" s="102"/>
      <c r="H1211" s="102"/>
      <c r="I1211" s="102"/>
      <c r="J1211" s="102"/>
      <c r="K1211" s="102"/>
      <c r="L1211" s="102"/>
      <c r="M1211" s="102"/>
      <c r="N1211" s="102"/>
      <c r="O1211" s="102"/>
      <c r="P1211" s="102"/>
      <c r="Q1211" s="102"/>
      <c r="R1211" s="102"/>
    </row>
    <row r="1212" spans="1:18" ht="35.1" customHeight="1" x14ac:dyDescent="0.2">
      <c r="A1212" s="99"/>
      <c r="B1212" s="99"/>
      <c r="C1212" s="102"/>
      <c r="D1212" s="102"/>
      <c r="E1212" s="102"/>
      <c r="F1212" s="102"/>
      <c r="G1212" s="102"/>
      <c r="H1212" s="102"/>
      <c r="I1212" s="102"/>
      <c r="J1212" s="102"/>
      <c r="K1212" s="102"/>
      <c r="L1212" s="102"/>
      <c r="M1212" s="102"/>
      <c r="N1212" s="102"/>
      <c r="O1212" s="102"/>
      <c r="P1212" s="102"/>
      <c r="Q1212" s="102"/>
      <c r="R1212" s="102"/>
    </row>
    <row r="1213" spans="1:18" ht="35.1" customHeight="1" x14ac:dyDescent="0.2">
      <c r="A1213" s="99"/>
      <c r="B1213" s="99"/>
      <c r="C1213" s="102"/>
      <c r="D1213" s="102"/>
      <c r="E1213" s="102"/>
      <c r="F1213" s="102"/>
      <c r="G1213" s="102"/>
      <c r="H1213" s="102"/>
      <c r="I1213" s="102"/>
      <c r="J1213" s="102"/>
      <c r="K1213" s="102"/>
      <c r="L1213" s="102"/>
      <c r="M1213" s="102"/>
      <c r="N1213" s="102"/>
      <c r="O1213" s="102"/>
      <c r="P1213" s="102"/>
      <c r="Q1213" s="102"/>
      <c r="R1213" s="102"/>
    </row>
    <row r="1214" spans="1:18" ht="35.1" customHeight="1" x14ac:dyDescent="0.2">
      <c r="A1214" s="99"/>
      <c r="B1214" s="99"/>
      <c r="C1214" s="102"/>
      <c r="D1214" s="102"/>
      <c r="E1214" s="102"/>
      <c r="F1214" s="102"/>
      <c r="G1214" s="102"/>
      <c r="H1214" s="102"/>
      <c r="I1214" s="102"/>
      <c r="J1214" s="102"/>
      <c r="K1214" s="102"/>
      <c r="L1214" s="102"/>
      <c r="M1214" s="102"/>
      <c r="N1214" s="102"/>
      <c r="O1214" s="102"/>
      <c r="P1214" s="102"/>
      <c r="Q1214" s="102"/>
      <c r="R1214" s="102"/>
    </row>
    <row r="1215" spans="1:18" ht="35.1" customHeight="1" x14ac:dyDescent="0.2">
      <c r="A1215" s="99"/>
      <c r="B1215" s="99"/>
      <c r="C1215" s="102"/>
      <c r="D1215" s="102"/>
      <c r="E1215" s="102"/>
      <c r="F1215" s="102"/>
      <c r="G1215" s="102"/>
      <c r="H1215" s="102"/>
      <c r="I1215" s="102"/>
      <c r="J1215" s="102"/>
      <c r="K1215" s="102"/>
      <c r="L1215" s="102"/>
      <c r="M1215" s="102"/>
      <c r="N1215" s="102"/>
      <c r="O1215" s="102"/>
      <c r="P1215" s="102"/>
      <c r="Q1215" s="102"/>
      <c r="R1215" s="102"/>
    </row>
    <row r="1216" spans="1:18" ht="35.1" customHeight="1" x14ac:dyDescent="0.2">
      <c r="A1216" s="99"/>
      <c r="B1216" s="99"/>
      <c r="C1216" s="102"/>
      <c r="D1216" s="102"/>
      <c r="E1216" s="102"/>
      <c r="F1216" s="102"/>
      <c r="G1216" s="102"/>
      <c r="H1216" s="102"/>
      <c r="I1216" s="102"/>
      <c r="J1216" s="102"/>
      <c r="K1216" s="102"/>
      <c r="L1216" s="102"/>
      <c r="M1216" s="102"/>
      <c r="N1216" s="102"/>
      <c r="O1216" s="102"/>
      <c r="P1216" s="102"/>
      <c r="Q1216" s="102"/>
      <c r="R1216" s="102"/>
    </row>
    <row r="1217" spans="1:18" ht="35.1" customHeight="1" x14ac:dyDescent="0.2">
      <c r="A1217" s="99"/>
      <c r="B1217" s="99"/>
      <c r="C1217" s="102"/>
      <c r="D1217" s="102"/>
      <c r="E1217" s="102"/>
      <c r="F1217" s="102"/>
      <c r="G1217" s="102"/>
      <c r="H1217" s="102"/>
      <c r="I1217" s="102"/>
      <c r="J1217" s="102"/>
      <c r="K1217" s="102"/>
      <c r="L1217" s="102"/>
      <c r="M1217" s="102"/>
      <c r="N1217" s="102"/>
      <c r="O1217" s="102"/>
      <c r="P1217" s="102"/>
      <c r="Q1217" s="102"/>
      <c r="R1217" s="102"/>
    </row>
    <row r="1218" spans="1:18" ht="35.1" customHeight="1" x14ac:dyDescent="0.2">
      <c r="A1218" s="99"/>
      <c r="B1218" s="99"/>
      <c r="C1218" s="102"/>
      <c r="D1218" s="102"/>
      <c r="E1218" s="102"/>
      <c r="F1218" s="102"/>
      <c r="G1218" s="102"/>
      <c r="H1218" s="102"/>
      <c r="I1218" s="102"/>
      <c r="J1218" s="102"/>
      <c r="K1218" s="102"/>
      <c r="L1218" s="102"/>
      <c r="M1218" s="102"/>
      <c r="N1218" s="102"/>
      <c r="O1218" s="102"/>
      <c r="P1218" s="102"/>
      <c r="Q1218" s="102"/>
      <c r="R1218" s="102"/>
    </row>
    <row r="1219" spans="1:18" ht="35.1" customHeight="1" x14ac:dyDescent="0.2">
      <c r="A1219" s="99"/>
      <c r="B1219" s="99"/>
      <c r="C1219" s="102"/>
      <c r="D1219" s="102"/>
      <c r="E1219" s="102"/>
      <c r="F1219" s="102"/>
      <c r="G1219" s="102"/>
      <c r="H1219" s="102"/>
      <c r="I1219" s="102"/>
      <c r="J1219" s="102"/>
      <c r="K1219" s="102"/>
      <c r="L1219" s="102"/>
      <c r="M1219" s="102"/>
      <c r="N1219" s="102"/>
      <c r="O1219" s="102"/>
      <c r="P1219" s="102"/>
      <c r="Q1219" s="102"/>
      <c r="R1219" s="102"/>
    </row>
    <row r="1220" spans="1:18" ht="35.1" customHeight="1" x14ac:dyDescent="0.2">
      <c r="A1220" s="99"/>
      <c r="B1220" s="99"/>
      <c r="C1220" s="102"/>
      <c r="D1220" s="102"/>
      <c r="E1220" s="102"/>
      <c r="F1220" s="102"/>
      <c r="G1220" s="102"/>
      <c r="H1220" s="102"/>
      <c r="I1220" s="102"/>
      <c r="J1220" s="102"/>
      <c r="K1220" s="102"/>
      <c r="L1220" s="102"/>
      <c r="M1220" s="102"/>
      <c r="N1220" s="102"/>
      <c r="O1220" s="102"/>
      <c r="P1220" s="102"/>
      <c r="Q1220" s="102"/>
      <c r="R1220" s="102"/>
    </row>
    <row r="1221" spans="1:18" ht="35.1" customHeight="1" x14ac:dyDescent="0.2">
      <c r="A1221" s="99"/>
      <c r="B1221" s="99"/>
      <c r="C1221" s="102"/>
      <c r="D1221" s="102"/>
      <c r="E1221" s="102"/>
      <c r="F1221" s="102"/>
      <c r="G1221" s="102"/>
      <c r="H1221" s="102"/>
      <c r="I1221" s="102"/>
      <c r="J1221" s="102"/>
      <c r="K1221" s="102"/>
      <c r="L1221" s="102"/>
      <c r="M1221" s="102"/>
      <c r="N1221" s="102"/>
      <c r="O1221" s="102"/>
      <c r="P1221" s="102"/>
      <c r="Q1221" s="102"/>
      <c r="R1221" s="102"/>
    </row>
    <row r="1222" spans="1:18" ht="35.1" customHeight="1" x14ac:dyDescent="0.2">
      <c r="A1222" s="99"/>
      <c r="B1222" s="99"/>
      <c r="C1222" s="102"/>
      <c r="D1222" s="102"/>
      <c r="E1222" s="102"/>
      <c r="F1222" s="102"/>
      <c r="G1222" s="102"/>
      <c r="H1222" s="102"/>
      <c r="I1222" s="102"/>
      <c r="J1222" s="102"/>
      <c r="K1222" s="102"/>
      <c r="L1222" s="102"/>
      <c r="M1222" s="102"/>
      <c r="N1222" s="102"/>
      <c r="O1222" s="102"/>
      <c r="P1222" s="102"/>
      <c r="Q1222" s="102"/>
      <c r="R1222" s="102"/>
    </row>
    <row r="1223" spans="1:18" ht="35.1" customHeight="1" x14ac:dyDescent="0.2">
      <c r="A1223" s="99"/>
      <c r="B1223" s="99"/>
      <c r="C1223" s="102"/>
      <c r="D1223" s="102"/>
      <c r="E1223" s="102"/>
      <c r="F1223" s="102"/>
      <c r="G1223" s="102"/>
      <c r="H1223" s="102"/>
      <c r="I1223" s="102"/>
      <c r="J1223" s="102"/>
      <c r="K1223" s="102"/>
      <c r="L1223" s="102"/>
      <c r="M1223" s="102"/>
      <c r="N1223" s="102"/>
      <c r="O1223" s="102"/>
      <c r="P1223" s="102"/>
      <c r="Q1223" s="102"/>
      <c r="R1223" s="102"/>
    </row>
    <row r="1224" spans="1:18" ht="35.1" customHeight="1" x14ac:dyDescent="0.2">
      <c r="A1224" s="99"/>
      <c r="B1224" s="99"/>
      <c r="C1224" s="102"/>
      <c r="D1224" s="102"/>
      <c r="E1224" s="102"/>
      <c r="F1224" s="102"/>
      <c r="G1224" s="102"/>
      <c r="H1224" s="102"/>
      <c r="I1224" s="102"/>
      <c r="J1224" s="102"/>
      <c r="K1224" s="102"/>
      <c r="L1224" s="102"/>
      <c r="M1224" s="102"/>
      <c r="N1224" s="102"/>
      <c r="O1224" s="102"/>
      <c r="P1224" s="102"/>
      <c r="Q1224" s="102"/>
      <c r="R1224" s="102"/>
    </row>
    <row r="1225" spans="1:18" ht="35.1" customHeight="1" x14ac:dyDescent="0.2">
      <c r="A1225" s="99"/>
      <c r="B1225" s="99"/>
      <c r="C1225" s="102"/>
      <c r="D1225" s="102"/>
      <c r="E1225" s="102"/>
      <c r="F1225" s="102"/>
      <c r="G1225" s="102"/>
      <c r="H1225" s="102"/>
      <c r="I1225" s="102"/>
      <c r="J1225" s="102"/>
      <c r="K1225" s="102"/>
      <c r="L1225" s="102"/>
      <c r="M1225" s="102"/>
      <c r="N1225" s="102"/>
      <c r="O1225" s="102"/>
      <c r="P1225" s="102"/>
      <c r="Q1225" s="102"/>
      <c r="R1225" s="102"/>
    </row>
    <row r="1226" spans="1:18" ht="35.1" customHeight="1" x14ac:dyDescent="0.2">
      <c r="A1226" s="99"/>
      <c r="B1226" s="99"/>
      <c r="C1226" s="102"/>
      <c r="D1226" s="102"/>
      <c r="E1226" s="102"/>
      <c r="F1226" s="102"/>
      <c r="G1226" s="102"/>
      <c r="H1226" s="102"/>
      <c r="I1226" s="102"/>
      <c r="J1226" s="102"/>
      <c r="K1226" s="102"/>
      <c r="L1226" s="102"/>
      <c r="M1226" s="102"/>
      <c r="N1226" s="102"/>
      <c r="O1226" s="102"/>
      <c r="P1226" s="102"/>
      <c r="Q1226" s="102"/>
      <c r="R1226" s="102"/>
    </row>
    <row r="1227" spans="1:18" ht="35.1" customHeight="1" x14ac:dyDescent="0.2">
      <c r="A1227" s="99"/>
      <c r="B1227" s="99"/>
      <c r="C1227" s="102"/>
      <c r="D1227" s="102"/>
      <c r="E1227" s="102"/>
      <c r="F1227" s="102"/>
      <c r="G1227" s="102"/>
      <c r="H1227" s="102"/>
      <c r="I1227" s="102"/>
      <c r="J1227" s="102"/>
      <c r="K1227" s="102"/>
      <c r="L1227" s="102"/>
      <c r="M1227" s="102"/>
      <c r="N1227" s="102"/>
      <c r="O1227" s="102"/>
      <c r="P1227" s="102"/>
      <c r="Q1227" s="102"/>
      <c r="R1227" s="102"/>
    </row>
    <row r="1228" spans="1:18" ht="35.1" customHeight="1" x14ac:dyDescent="0.2">
      <c r="A1228" s="99"/>
      <c r="B1228" s="99"/>
      <c r="C1228" s="102"/>
      <c r="D1228" s="102"/>
      <c r="E1228" s="102"/>
      <c r="F1228" s="102"/>
      <c r="G1228" s="102"/>
      <c r="H1228" s="102"/>
      <c r="I1228" s="102"/>
      <c r="J1228" s="102"/>
      <c r="K1228" s="102"/>
      <c r="L1228" s="102"/>
      <c r="M1228" s="102"/>
      <c r="N1228" s="102"/>
      <c r="O1228" s="102"/>
      <c r="P1228" s="102"/>
      <c r="Q1228" s="102"/>
      <c r="R1228" s="102"/>
    </row>
    <row r="1229" spans="1:18" ht="35.1" customHeight="1" x14ac:dyDescent="0.2">
      <c r="A1229" s="99"/>
      <c r="B1229" s="99"/>
      <c r="C1229" s="102"/>
      <c r="D1229" s="102"/>
      <c r="E1229" s="102"/>
      <c r="F1229" s="102"/>
      <c r="G1229" s="102"/>
      <c r="H1229" s="102"/>
      <c r="I1229" s="102"/>
      <c r="J1229" s="102"/>
      <c r="K1229" s="102"/>
      <c r="L1229" s="102"/>
      <c r="M1229" s="102"/>
      <c r="N1229" s="102"/>
      <c r="O1229" s="102"/>
      <c r="P1229" s="102"/>
      <c r="Q1229" s="102"/>
      <c r="R1229" s="102"/>
    </row>
    <row r="1230" spans="1:18" ht="35.1" customHeight="1" x14ac:dyDescent="0.2">
      <c r="A1230" s="99"/>
      <c r="B1230" s="99"/>
      <c r="C1230" s="102"/>
      <c r="D1230" s="102"/>
      <c r="E1230" s="102"/>
      <c r="F1230" s="102"/>
      <c r="G1230" s="102"/>
      <c r="H1230" s="102"/>
      <c r="I1230" s="102"/>
      <c r="J1230" s="102"/>
      <c r="K1230" s="102"/>
      <c r="L1230" s="102"/>
      <c r="M1230" s="102"/>
      <c r="N1230" s="102"/>
      <c r="O1230" s="102"/>
      <c r="P1230" s="102"/>
      <c r="Q1230" s="102"/>
      <c r="R1230" s="102"/>
    </row>
    <row r="1231" spans="1:18" ht="35.1" customHeight="1" x14ac:dyDescent="0.2">
      <c r="A1231" s="99"/>
      <c r="B1231" s="99"/>
      <c r="C1231" s="102"/>
      <c r="D1231" s="102"/>
      <c r="E1231" s="102"/>
      <c r="F1231" s="102"/>
      <c r="G1231" s="102"/>
      <c r="H1231" s="102"/>
      <c r="I1231" s="102"/>
      <c r="J1231" s="102"/>
      <c r="K1231" s="102"/>
      <c r="L1231" s="102"/>
      <c r="M1231" s="102"/>
      <c r="N1231" s="102"/>
      <c r="O1231" s="102"/>
      <c r="P1231" s="102"/>
      <c r="Q1231" s="102"/>
      <c r="R1231" s="102"/>
    </row>
    <row r="1232" spans="1:18" ht="35.1" customHeight="1" x14ac:dyDescent="0.2">
      <c r="A1232" s="99"/>
      <c r="B1232" s="99"/>
      <c r="C1232" s="102"/>
      <c r="D1232" s="102"/>
      <c r="E1232" s="102"/>
      <c r="F1232" s="102"/>
      <c r="G1232" s="102"/>
      <c r="H1232" s="102"/>
      <c r="I1232" s="102"/>
      <c r="J1232" s="102"/>
      <c r="K1232" s="102"/>
      <c r="L1232" s="102"/>
      <c r="M1232" s="102"/>
      <c r="N1232" s="102"/>
      <c r="O1232" s="102"/>
      <c r="P1232" s="102"/>
      <c r="Q1232" s="102"/>
      <c r="R1232" s="102"/>
    </row>
    <row r="1233" spans="1:18" ht="35.1" customHeight="1" x14ac:dyDescent="0.2">
      <c r="A1233" s="99"/>
      <c r="B1233" s="99"/>
      <c r="C1233" s="102"/>
      <c r="D1233" s="102"/>
      <c r="E1233" s="102"/>
      <c r="F1233" s="102"/>
      <c r="G1233" s="102"/>
      <c r="H1233" s="102"/>
      <c r="I1233" s="102"/>
      <c r="J1233" s="102"/>
      <c r="K1233" s="102"/>
      <c r="L1233" s="102"/>
      <c r="M1233" s="102"/>
      <c r="N1233" s="102"/>
      <c r="O1233" s="102"/>
      <c r="P1233" s="102"/>
      <c r="Q1233" s="102"/>
      <c r="R1233" s="102"/>
    </row>
    <row r="1234" spans="1:18" ht="35.1" customHeight="1" x14ac:dyDescent="0.2">
      <c r="A1234" s="99"/>
      <c r="B1234" s="99"/>
      <c r="C1234" s="102"/>
      <c r="D1234" s="102"/>
      <c r="E1234" s="102"/>
      <c r="F1234" s="102"/>
      <c r="G1234" s="102"/>
      <c r="H1234" s="102"/>
      <c r="I1234" s="102"/>
      <c r="J1234" s="102"/>
      <c r="K1234" s="102"/>
      <c r="L1234" s="102"/>
      <c r="M1234" s="102"/>
      <c r="N1234" s="102"/>
      <c r="O1234" s="102"/>
      <c r="P1234" s="102"/>
      <c r="Q1234" s="102"/>
      <c r="R1234" s="102"/>
    </row>
    <row r="1235" spans="1:18" ht="35.1" customHeight="1" x14ac:dyDescent="0.2">
      <c r="A1235" s="99"/>
      <c r="B1235" s="99"/>
      <c r="C1235" s="102"/>
      <c r="D1235" s="102"/>
      <c r="E1235" s="102"/>
      <c r="F1235" s="102"/>
      <c r="G1235" s="102"/>
      <c r="H1235" s="102"/>
      <c r="I1235" s="102"/>
      <c r="J1235" s="102"/>
      <c r="K1235" s="102"/>
      <c r="L1235" s="102"/>
      <c r="M1235" s="102"/>
      <c r="N1235" s="102"/>
      <c r="O1235" s="102"/>
      <c r="P1235" s="102"/>
      <c r="Q1235" s="102"/>
      <c r="R1235" s="102"/>
    </row>
    <row r="1236" spans="1:18" ht="35.1" customHeight="1" x14ac:dyDescent="0.2">
      <c r="A1236" s="99"/>
      <c r="B1236" s="99"/>
      <c r="C1236" s="102"/>
      <c r="D1236" s="102"/>
      <c r="E1236" s="102"/>
      <c r="F1236" s="102"/>
      <c r="G1236" s="102"/>
      <c r="H1236" s="102"/>
      <c r="I1236" s="102"/>
      <c r="J1236" s="102"/>
      <c r="K1236" s="102"/>
      <c r="L1236" s="102"/>
      <c r="M1236" s="102"/>
      <c r="N1236" s="102"/>
      <c r="O1236" s="102"/>
      <c r="P1236" s="102"/>
      <c r="Q1236" s="102"/>
      <c r="R1236" s="102"/>
    </row>
    <row r="1237" spans="1:18" ht="35.1" customHeight="1" x14ac:dyDescent="0.2">
      <c r="A1237" s="99"/>
      <c r="B1237" s="99"/>
      <c r="C1237" s="102"/>
      <c r="D1237" s="102"/>
      <c r="E1237" s="102"/>
      <c r="F1237" s="102"/>
      <c r="G1237" s="102"/>
      <c r="H1237" s="102"/>
      <c r="I1237" s="102"/>
      <c r="J1237" s="102"/>
      <c r="K1237" s="102"/>
      <c r="L1237" s="102"/>
      <c r="M1237" s="102"/>
      <c r="N1237" s="102"/>
      <c r="O1237" s="102"/>
      <c r="P1237" s="102"/>
      <c r="Q1237" s="102"/>
      <c r="R1237" s="102"/>
    </row>
    <row r="1238" spans="1:18" ht="35.1" customHeight="1" x14ac:dyDescent="0.2">
      <c r="A1238" s="99"/>
      <c r="B1238" s="99"/>
      <c r="C1238" s="102"/>
      <c r="D1238" s="102"/>
      <c r="E1238" s="102"/>
      <c r="F1238" s="102"/>
      <c r="G1238" s="102"/>
      <c r="H1238" s="102"/>
      <c r="I1238" s="102"/>
      <c r="J1238" s="102"/>
      <c r="K1238" s="102"/>
      <c r="L1238" s="102"/>
      <c r="M1238" s="102"/>
      <c r="N1238" s="102"/>
      <c r="O1238" s="102"/>
      <c r="P1238" s="102"/>
      <c r="Q1238" s="102"/>
      <c r="R1238" s="102"/>
    </row>
    <row r="1239" spans="1:18" ht="35.1" customHeight="1" x14ac:dyDescent="0.2">
      <c r="A1239" s="99"/>
      <c r="B1239" s="99"/>
      <c r="C1239" s="102"/>
      <c r="D1239" s="102"/>
      <c r="E1239" s="102"/>
      <c r="F1239" s="102"/>
      <c r="G1239" s="102"/>
      <c r="H1239" s="102"/>
      <c r="I1239" s="102"/>
      <c r="J1239" s="102"/>
      <c r="K1239" s="102"/>
      <c r="L1239" s="102"/>
      <c r="M1239" s="102"/>
      <c r="N1239" s="102"/>
      <c r="O1239" s="102"/>
      <c r="P1239" s="102"/>
      <c r="Q1239" s="102"/>
      <c r="R1239" s="102"/>
    </row>
    <row r="1240" spans="1:18" ht="35.1" customHeight="1" x14ac:dyDescent="0.2">
      <c r="A1240" s="99"/>
      <c r="B1240" s="99"/>
      <c r="C1240" s="102"/>
      <c r="D1240" s="102"/>
      <c r="E1240" s="102"/>
      <c r="F1240" s="102"/>
      <c r="G1240" s="102"/>
      <c r="H1240" s="102"/>
      <c r="I1240" s="102"/>
      <c r="J1240" s="102"/>
      <c r="K1240" s="102"/>
      <c r="L1240" s="102"/>
      <c r="M1240" s="102"/>
      <c r="N1240" s="102"/>
      <c r="O1240" s="102"/>
      <c r="P1240" s="102"/>
      <c r="Q1240" s="102"/>
      <c r="R1240" s="102"/>
    </row>
    <row r="1241" spans="1:18" ht="35.1" customHeight="1" x14ac:dyDescent="0.2">
      <c r="A1241" s="99"/>
      <c r="B1241" s="99"/>
      <c r="C1241" s="102"/>
      <c r="D1241" s="102"/>
      <c r="E1241" s="102"/>
      <c r="F1241" s="102"/>
      <c r="G1241" s="102"/>
      <c r="H1241" s="102"/>
      <c r="I1241" s="102"/>
      <c r="J1241" s="102"/>
      <c r="K1241" s="102"/>
      <c r="L1241" s="102"/>
      <c r="M1241" s="102"/>
      <c r="N1241" s="102"/>
      <c r="O1241" s="102"/>
      <c r="P1241" s="102"/>
      <c r="Q1241" s="102"/>
      <c r="R1241" s="102"/>
    </row>
    <row r="1242" spans="1:18" ht="35.1" customHeight="1" x14ac:dyDescent="0.2">
      <c r="A1242" s="99"/>
      <c r="B1242" s="99"/>
      <c r="C1242" s="102"/>
      <c r="D1242" s="102"/>
      <c r="E1242" s="102"/>
      <c r="F1242" s="102"/>
      <c r="G1242" s="102"/>
      <c r="H1242" s="102"/>
      <c r="I1242" s="102"/>
      <c r="J1242" s="102"/>
      <c r="K1242" s="102"/>
      <c r="L1242" s="102"/>
      <c r="M1242" s="102"/>
      <c r="N1242" s="102"/>
      <c r="O1242" s="102"/>
      <c r="P1242" s="102"/>
      <c r="Q1242" s="102"/>
      <c r="R1242" s="102"/>
    </row>
    <row r="1243" spans="1:18" ht="35.1" customHeight="1" x14ac:dyDescent="0.2">
      <c r="A1243" s="99"/>
      <c r="B1243" s="99"/>
      <c r="C1243" s="102"/>
      <c r="D1243" s="102"/>
      <c r="E1243" s="102"/>
      <c r="F1243" s="102"/>
      <c r="G1243" s="102"/>
      <c r="H1243" s="102"/>
      <c r="I1243" s="102"/>
      <c r="J1243" s="102"/>
      <c r="K1243" s="102"/>
      <c r="L1243" s="102"/>
      <c r="M1243" s="102"/>
      <c r="N1243" s="102"/>
      <c r="O1243" s="102"/>
      <c r="P1243" s="102"/>
      <c r="Q1243" s="102"/>
      <c r="R1243" s="102"/>
    </row>
    <row r="1244" spans="1:18" ht="35.1" customHeight="1" x14ac:dyDescent="0.2">
      <c r="A1244" s="99"/>
      <c r="B1244" s="99"/>
      <c r="C1244" s="102"/>
      <c r="D1244" s="102"/>
      <c r="E1244" s="102"/>
      <c r="F1244" s="102"/>
      <c r="G1244" s="102"/>
      <c r="H1244" s="102"/>
      <c r="I1244" s="102"/>
      <c r="J1244" s="102"/>
      <c r="K1244" s="102"/>
      <c r="L1244" s="102"/>
      <c r="M1244" s="102"/>
      <c r="N1244" s="102"/>
      <c r="O1244" s="102"/>
      <c r="P1244" s="102"/>
      <c r="Q1244" s="102"/>
      <c r="R1244" s="102"/>
    </row>
    <row r="1245" spans="1:18" ht="35.1" customHeight="1" x14ac:dyDescent="0.2">
      <c r="A1245" s="99"/>
      <c r="B1245" s="99"/>
      <c r="C1245" s="102"/>
      <c r="D1245" s="102"/>
      <c r="E1245" s="102"/>
      <c r="F1245" s="102"/>
      <c r="G1245" s="102"/>
      <c r="H1245" s="102"/>
      <c r="I1245" s="102"/>
      <c r="J1245" s="102"/>
      <c r="K1245" s="102"/>
      <c r="L1245" s="102"/>
      <c r="M1245" s="102"/>
      <c r="N1245" s="102"/>
      <c r="O1245" s="102"/>
      <c r="P1245" s="102"/>
      <c r="Q1245" s="102"/>
      <c r="R1245" s="102"/>
    </row>
    <row r="1246" spans="1:18" ht="35.1" customHeight="1" x14ac:dyDescent="0.2">
      <c r="A1246" s="99"/>
      <c r="B1246" s="99"/>
      <c r="C1246" s="102"/>
      <c r="D1246" s="102"/>
      <c r="E1246" s="102"/>
      <c r="F1246" s="102"/>
      <c r="G1246" s="102"/>
      <c r="H1246" s="102"/>
      <c r="I1246" s="102"/>
      <c r="J1246" s="102"/>
      <c r="K1246" s="102"/>
      <c r="L1246" s="102"/>
      <c r="M1246" s="102"/>
      <c r="N1246" s="102"/>
      <c r="O1246" s="102"/>
      <c r="P1246" s="102"/>
      <c r="Q1246" s="102"/>
      <c r="R1246" s="102"/>
    </row>
    <row r="1247" spans="1:18" ht="35.1" customHeight="1" x14ac:dyDescent="0.2">
      <c r="A1247" s="99"/>
      <c r="B1247" s="99"/>
      <c r="C1247" s="102"/>
      <c r="D1247" s="102"/>
      <c r="E1247" s="102"/>
      <c r="F1247" s="102"/>
      <c r="G1247" s="102"/>
      <c r="H1247" s="102"/>
      <c r="I1247" s="102"/>
      <c r="J1247" s="102"/>
      <c r="K1247" s="102"/>
      <c r="L1247" s="102"/>
      <c r="M1247" s="102"/>
      <c r="N1247" s="102"/>
      <c r="O1247" s="102"/>
      <c r="P1247" s="102"/>
      <c r="Q1247" s="102"/>
      <c r="R1247" s="102"/>
    </row>
    <row r="1248" spans="1:18" ht="35.1" customHeight="1" x14ac:dyDescent="0.2">
      <c r="A1248" s="99"/>
      <c r="B1248" s="99"/>
      <c r="C1248" s="102"/>
      <c r="D1248" s="102"/>
      <c r="E1248" s="102"/>
      <c r="F1248" s="102"/>
      <c r="G1248" s="102"/>
      <c r="H1248" s="102"/>
      <c r="I1248" s="102"/>
      <c r="J1248" s="102"/>
      <c r="K1248" s="102"/>
      <c r="L1248" s="102"/>
      <c r="M1248" s="102"/>
      <c r="N1248" s="102"/>
      <c r="O1248" s="102"/>
      <c r="P1248" s="102"/>
      <c r="Q1248" s="102"/>
      <c r="R1248" s="102"/>
    </row>
    <row r="1249" spans="1:18" ht="35.1" customHeight="1" x14ac:dyDescent="0.2">
      <c r="A1249" s="99"/>
      <c r="B1249" s="99"/>
      <c r="C1249" s="102"/>
      <c r="D1249" s="102"/>
      <c r="E1249" s="102"/>
      <c r="F1249" s="102"/>
      <c r="G1249" s="102"/>
      <c r="H1249" s="102"/>
      <c r="I1249" s="102"/>
      <c r="J1249" s="102"/>
      <c r="K1249" s="102"/>
      <c r="L1249" s="102"/>
      <c r="M1249" s="102"/>
      <c r="N1249" s="102"/>
      <c r="O1249" s="102"/>
      <c r="P1249" s="102"/>
      <c r="Q1249" s="102"/>
      <c r="R1249" s="102"/>
    </row>
    <row r="1250" spans="1:18" ht="35.1" customHeight="1" x14ac:dyDescent="0.2">
      <c r="A1250" s="99"/>
      <c r="B1250" s="99"/>
      <c r="C1250" s="102"/>
      <c r="D1250" s="102"/>
      <c r="E1250" s="102"/>
      <c r="F1250" s="102"/>
      <c r="G1250" s="102"/>
      <c r="H1250" s="102"/>
      <c r="I1250" s="102"/>
      <c r="J1250" s="102"/>
      <c r="K1250" s="102"/>
      <c r="L1250" s="102"/>
      <c r="M1250" s="102"/>
      <c r="N1250" s="102"/>
      <c r="O1250" s="102"/>
      <c r="P1250" s="102"/>
      <c r="Q1250" s="102"/>
      <c r="R1250" s="102"/>
    </row>
    <row r="1251" spans="1:18" ht="35.1" customHeight="1" x14ac:dyDescent="0.2">
      <c r="A1251" s="99"/>
      <c r="B1251" s="99"/>
      <c r="C1251" s="102"/>
      <c r="D1251" s="102"/>
      <c r="E1251" s="102"/>
      <c r="F1251" s="102"/>
      <c r="G1251" s="102"/>
      <c r="H1251" s="102"/>
      <c r="I1251" s="102"/>
      <c r="J1251" s="102"/>
      <c r="K1251" s="102"/>
      <c r="L1251" s="102"/>
      <c r="M1251" s="102"/>
      <c r="N1251" s="102"/>
      <c r="O1251" s="102"/>
      <c r="P1251" s="102"/>
      <c r="Q1251" s="102"/>
      <c r="R1251" s="102"/>
    </row>
    <row r="1252" spans="1:18" ht="35.1" customHeight="1" x14ac:dyDescent="0.2">
      <c r="A1252" s="99"/>
      <c r="B1252" s="99"/>
      <c r="C1252" s="102"/>
      <c r="D1252" s="102"/>
      <c r="E1252" s="102"/>
      <c r="F1252" s="102"/>
      <c r="G1252" s="102"/>
      <c r="H1252" s="102"/>
      <c r="I1252" s="102"/>
      <c r="J1252" s="102"/>
      <c r="K1252" s="102"/>
      <c r="L1252" s="102"/>
      <c r="M1252" s="102"/>
      <c r="N1252" s="102"/>
      <c r="O1252" s="102"/>
      <c r="P1252" s="102"/>
      <c r="Q1252" s="102"/>
      <c r="R1252" s="102"/>
    </row>
    <row r="1253" spans="1:18" ht="35.1" customHeight="1" x14ac:dyDescent="0.2">
      <c r="A1253" s="99"/>
      <c r="B1253" s="99"/>
      <c r="C1253" s="102"/>
      <c r="D1253" s="102"/>
      <c r="E1253" s="102"/>
      <c r="F1253" s="102"/>
      <c r="G1253" s="102"/>
      <c r="H1253" s="102"/>
      <c r="I1253" s="102"/>
      <c r="J1253" s="102"/>
      <c r="K1253" s="102"/>
      <c r="L1253" s="102"/>
      <c r="M1253" s="102"/>
      <c r="N1253" s="102"/>
      <c r="O1253" s="102"/>
      <c r="P1253" s="102"/>
      <c r="Q1253" s="102"/>
      <c r="R1253" s="102"/>
    </row>
    <row r="1254" spans="1:18" ht="35.1" customHeight="1" x14ac:dyDescent="0.2">
      <c r="A1254" s="99"/>
      <c r="B1254" s="99"/>
      <c r="C1254" s="102"/>
      <c r="D1254" s="102"/>
      <c r="E1254" s="102"/>
      <c r="F1254" s="102"/>
      <c r="G1254" s="102"/>
      <c r="H1254" s="102"/>
      <c r="I1254" s="102"/>
      <c r="J1254" s="102"/>
      <c r="K1254" s="102"/>
      <c r="L1254" s="102"/>
      <c r="M1254" s="102"/>
      <c r="N1254" s="102"/>
      <c r="O1254" s="102"/>
      <c r="P1254" s="102"/>
      <c r="Q1254" s="102"/>
      <c r="R1254" s="102"/>
    </row>
    <row r="1255" spans="1:18" ht="35.1" customHeight="1" x14ac:dyDescent="0.2">
      <c r="A1255" s="99"/>
      <c r="B1255" s="99"/>
      <c r="C1255" s="102"/>
      <c r="D1255" s="102"/>
      <c r="E1255" s="102"/>
      <c r="F1255" s="102"/>
      <c r="G1255" s="102"/>
      <c r="H1255" s="102"/>
      <c r="I1255" s="102"/>
      <c r="J1255" s="102"/>
      <c r="K1255" s="102"/>
      <c r="L1255" s="102"/>
      <c r="M1255" s="102"/>
      <c r="N1255" s="102"/>
      <c r="O1255" s="102"/>
      <c r="P1255" s="102"/>
      <c r="Q1255" s="102"/>
      <c r="R1255" s="102"/>
    </row>
    <row r="1256" spans="1:18" ht="35.1" customHeight="1" x14ac:dyDescent="0.2">
      <c r="A1256" s="99"/>
      <c r="B1256" s="99"/>
      <c r="C1256" s="102"/>
      <c r="D1256" s="102"/>
      <c r="E1256" s="102"/>
      <c r="F1256" s="102"/>
      <c r="G1256" s="102"/>
      <c r="H1256" s="102"/>
      <c r="I1256" s="102"/>
      <c r="J1256" s="102"/>
      <c r="K1256" s="102"/>
      <c r="L1256" s="102"/>
      <c r="M1256" s="102"/>
      <c r="N1256" s="102"/>
      <c r="O1256" s="102"/>
      <c r="P1256" s="102"/>
      <c r="Q1256" s="102"/>
      <c r="R1256" s="102"/>
    </row>
    <row r="1257" spans="1:18" ht="35.1" customHeight="1" x14ac:dyDescent="0.2">
      <c r="A1257" s="99"/>
      <c r="B1257" s="99"/>
      <c r="C1257" s="102"/>
      <c r="D1257" s="102"/>
      <c r="E1257" s="102"/>
      <c r="F1257" s="102"/>
      <c r="G1257" s="102"/>
      <c r="H1257" s="102"/>
      <c r="I1257" s="102"/>
      <c r="J1257" s="102"/>
      <c r="K1257" s="102"/>
      <c r="L1257" s="102"/>
      <c r="M1257" s="102"/>
      <c r="N1257" s="102"/>
      <c r="O1257" s="102"/>
      <c r="P1257" s="102"/>
      <c r="Q1257" s="102"/>
      <c r="R1257" s="102"/>
    </row>
    <row r="1258" spans="1:18" ht="35.1" customHeight="1" x14ac:dyDescent="0.2">
      <c r="A1258" s="99"/>
      <c r="B1258" s="99"/>
      <c r="C1258" s="102"/>
      <c r="D1258" s="102"/>
      <c r="E1258" s="102"/>
      <c r="F1258" s="102"/>
      <c r="G1258" s="102"/>
      <c r="H1258" s="102"/>
      <c r="I1258" s="102"/>
      <c r="J1258" s="102"/>
      <c r="K1258" s="102"/>
      <c r="L1258" s="102"/>
      <c r="M1258" s="102"/>
      <c r="N1258" s="102"/>
      <c r="O1258" s="102"/>
      <c r="P1258" s="102"/>
      <c r="Q1258" s="102"/>
      <c r="R1258" s="102"/>
    </row>
    <row r="1259" spans="1:18" ht="35.1" customHeight="1" x14ac:dyDescent="0.2">
      <c r="A1259" s="99"/>
      <c r="B1259" s="99"/>
      <c r="C1259" s="102"/>
      <c r="D1259" s="102"/>
      <c r="E1259" s="102"/>
      <c r="F1259" s="102"/>
      <c r="G1259" s="102"/>
      <c r="H1259" s="102"/>
      <c r="I1259" s="102"/>
      <c r="J1259" s="102"/>
      <c r="K1259" s="102"/>
      <c r="L1259" s="102"/>
      <c r="M1259" s="102"/>
      <c r="N1259" s="102"/>
      <c r="O1259" s="102"/>
      <c r="P1259" s="102"/>
      <c r="Q1259" s="102"/>
      <c r="R1259" s="102"/>
    </row>
    <row r="1260" spans="1:18" ht="35.1" customHeight="1" x14ac:dyDescent="0.2">
      <c r="A1260" s="99"/>
      <c r="B1260" s="99"/>
      <c r="C1260" s="102"/>
      <c r="D1260" s="102"/>
      <c r="E1260" s="102"/>
      <c r="F1260" s="102"/>
      <c r="G1260" s="102"/>
      <c r="H1260" s="102"/>
      <c r="I1260" s="102"/>
      <c r="J1260" s="102"/>
      <c r="K1260" s="102"/>
      <c r="L1260" s="102"/>
      <c r="M1260" s="102"/>
      <c r="N1260" s="102"/>
      <c r="O1260" s="102"/>
      <c r="P1260" s="102"/>
      <c r="Q1260" s="102"/>
      <c r="R1260" s="102"/>
    </row>
    <row r="1261" spans="1:18" ht="35.1" customHeight="1" x14ac:dyDescent="0.2">
      <c r="A1261" s="99"/>
      <c r="B1261" s="99"/>
      <c r="C1261" s="102"/>
      <c r="D1261" s="102"/>
      <c r="E1261" s="102"/>
      <c r="F1261" s="102"/>
      <c r="G1261" s="102"/>
      <c r="H1261" s="102"/>
      <c r="I1261" s="102"/>
      <c r="J1261" s="102"/>
      <c r="K1261" s="102"/>
      <c r="L1261" s="102"/>
      <c r="M1261" s="102"/>
      <c r="N1261" s="102"/>
      <c r="O1261" s="102"/>
      <c r="P1261" s="102"/>
      <c r="Q1261" s="102"/>
      <c r="R1261" s="102"/>
    </row>
    <row r="1262" spans="1:18" ht="35.1" customHeight="1" x14ac:dyDescent="0.2">
      <c r="A1262" s="99"/>
      <c r="B1262" s="99"/>
      <c r="C1262" s="102"/>
      <c r="D1262" s="102"/>
      <c r="E1262" s="102"/>
      <c r="F1262" s="102"/>
      <c r="G1262" s="102"/>
      <c r="H1262" s="102"/>
      <c r="I1262" s="102"/>
      <c r="J1262" s="102"/>
      <c r="K1262" s="102"/>
      <c r="L1262" s="102"/>
      <c r="M1262" s="102"/>
      <c r="N1262" s="102"/>
      <c r="O1262" s="102"/>
      <c r="P1262" s="102"/>
      <c r="Q1262" s="102"/>
      <c r="R1262" s="102"/>
    </row>
    <row r="1263" spans="1:18" ht="35.1" customHeight="1" x14ac:dyDescent="0.2">
      <c r="A1263" s="99"/>
      <c r="B1263" s="99"/>
      <c r="C1263" s="102"/>
      <c r="D1263" s="102"/>
      <c r="E1263" s="102"/>
      <c r="F1263" s="102"/>
      <c r="G1263" s="102"/>
      <c r="H1263" s="102"/>
      <c r="I1263" s="102"/>
      <c r="J1263" s="102"/>
      <c r="K1263" s="102"/>
      <c r="L1263" s="102"/>
      <c r="M1263" s="102"/>
      <c r="N1263" s="102"/>
      <c r="O1263" s="102"/>
      <c r="P1263" s="102"/>
      <c r="Q1263" s="102"/>
      <c r="R1263" s="102"/>
    </row>
    <row r="1264" spans="1:18" ht="35.1" customHeight="1" x14ac:dyDescent="0.2">
      <c r="A1264" s="99"/>
      <c r="B1264" s="99"/>
      <c r="C1264" s="102"/>
      <c r="D1264" s="102"/>
      <c r="E1264" s="102"/>
      <c r="F1264" s="102"/>
      <c r="G1264" s="102"/>
      <c r="H1264" s="102"/>
      <c r="I1264" s="102"/>
      <c r="J1264" s="102"/>
      <c r="K1264" s="102"/>
      <c r="L1264" s="102"/>
      <c r="M1264" s="102"/>
      <c r="N1264" s="102"/>
      <c r="O1264" s="102"/>
      <c r="P1264" s="102"/>
      <c r="Q1264" s="102"/>
      <c r="R1264" s="102"/>
    </row>
    <row r="1265" spans="1:18" ht="35.1" customHeight="1" x14ac:dyDescent="0.2">
      <c r="A1265" s="99"/>
      <c r="B1265" s="99"/>
      <c r="C1265" s="102"/>
      <c r="D1265" s="102"/>
      <c r="E1265" s="102"/>
      <c r="F1265" s="102"/>
      <c r="G1265" s="102"/>
      <c r="H1265" s="102"/>
      <c r="I1265" s="102"/>
      <c r="J1265" s="102"/>
      <c r="K1265" s="102"/>
      <c r="L1265" s="102"/>
      <c r="M1265" s="102"/>
      <c r="N1265" s="102"/>
      <c r="O1265" s="102"/>
      <c r="P1265" s="102"/>
      <c r="Q1265" s="102"/>
      <c r="R1265" s="102"/>
    </row>
    <row r="1266" spans="1:18" ht="35.1" customHeight="1" x14ac:dyDescent="0.2">
      <c r="A1266" s="99"/>
      <c r="B1266" s="99"/>
      <c r="C1266" s="102"/>
      <c r="D1266" s="102"/>
      <c r="E1266" s="102"/>
      <c r="F1266" s="102"/>
      <c r="G1266" s="102"/>
      <c r="H1266" s="102"/>
      <c r="I1266" s="102"/>
      <c r="J1266" s="102"/>
      <c r="K1266" s="102"/>
      <c r="L1266" s="102"/>
      <c r="M1266" s="102"/>
      <c r="N1266" s="102"/>
      <c r="O1266" s="102"/>
      <c r="P1266" s="102"/>
      <c r="Q1266" s="102"/>
      <c r="R1266" s="102"/>
    </row>
    <row r="1267" spans="1:18" ht="35.1" customHeight="1" x14ac:dyDescent="0.2">
      <c r="A1267" s="99"/>
      <c r="B1267" s="99"/>
      <c r="C1267" s="102"/>
      <c r="D1267" s="102"/>
      <c r="E1267" s="102"/>
      <c r="F1267" s="102"/>
      <c r="G1267" s="102"/>
      <c r="H1267" s="102"/>
      <c r="I1267" s="102"/>
      <c r="J1267" s="102"/>
      <c r="K1267" s="102"/>
      <c r="L1267" s="102"/>
      <c r="M1267" s="102"/>
      <c r="N1267" s="102"/>
      <c r="O1267" s="102"/>
      <c r="P1267" s="102"/>
      <c r="Q1267" s="102"/>
      <c r="R1267" s="102"/>
    </row>
    <row r="1268" spans="1:18" ht="35.1" customHeight="1" x14ac:dyDescent="0.2">
      <c r="A1268" s="99"/>
      <c r="B1268" s="99"/>
      <c r="C1268" s="102"/>
      <c r="D1268" s="102"/>
      <c r="E1268" s="102"/>
      <c r="F1268" s="102"/>
      <c r="G1268" s="102"/>
      <c r="H1268" s="102"/>
      <c r="I1268" s="102"/>
      <c r="J1268" s="102"/>
      <c r="K1268" s="102"/>
      <c r="L1268" s="102"/>
      <c r="M1268" s="102"/>
      <c r="N1268" s="102"/>
      <c r="O1268" s="102"/>
      <c r="P1268" s="102"/>
      <c r="Q1268" s="102"/>
      <c r="R1268" s="102"/>
    </row>
    <row r="1269" spans="1:18" ht="35.1" customHeight="1" x14ac:dyDescent="0.2">
      <c r="A1269" s="99"/>
      <c r="B1269" s="99"/>
      <c r="C1269" s="102"/>
      <c r="D1269" s="102"/>
      <c r="E1269" s="102"/>
      <c r="F1269" s="102"/>
      <c r="G1269" s="102"/>
      <c r="H1269" s="102"/>
      <c r="I1269" s="102"/>
      <c r="J1269" s="102"/>
      <c r="K1269" s="102"/>
      <c r="L1269" s="102"/>
      <c r="M1269" s="102"/>
      <c r="N1269" s="102"/>
      <c r="O1269" s="102"/>
      <c r="P1269" s="102"/>
      <c r="Q1269" s="102"/>
      <c r="R1269" s="102"/>
    </row>
    <row r="1270" spans="1:18" ht="35.1" customHeight="1" x14ac:dyDescent="0.2">
      <c r="A1270" s="99"/>
      <c r="B1270" s="99"/>
      <c r="C1270" s="102"/>
      <c r="D1270" s="102"/>
      <c r="E1270" s="102"/>
      <c r="F1270" s="102"/>
      <c r="G1270" s="102"/>
      <c r="H1270" s="102"/>
      <c r="I1270" s="102"/>
      <c r="J1270" s="102"/>
      <c r="K1270" s="102"/>
      <c r="L1270" s="102"/>
      <c r="M1270" s="102"/>
      <c r="N1270" s="102"/>
      <c r="O1270" s="102"/>
      <c r="P1270" s="102"/>
      <c r="Q1270" s="102"/>
      <c r="R1270" s="102"/>
    </row>
    <row r="1271" spans="1:18" ht="35.1" customHeight="1" x14ac:dyDescent="0.2">
      <c r="A1271" s="99"/>
      <c r="B1271" s="99"/>
      <c r="C1271" s="102"/>
      <c r="D1271" s="102"/>
      <c r="E1271" s="102"/>
      <c r="F1271" s="102"/>
      <c r="G1271" s="102"/>
      <c r="H1271" s="102"/>
      <c r="I1271" s="102"/>
      <c r="J1271" s="102"/>
      <c r="K1271" s="102"/>
      <c r="L1271" s="102"/>
      <c r="M1271" s="102"/>
      <c r="N1271" s="102"/>
      <c r="O1271" s="102"/>
      <c r="P1271" s="102"/>
      <c r="Q1271" s="102"/>
      <c r="R1271" s="102"/>
    </row>
    <row r="1272" spans="1:18" ht="35.1" customHeight="1" x14ac:dyDescent="0.2">
      <c r="A1272" s="99"/>
      <c r="B1272" s="99"/>
      <c r="C1272" s="102"/>
      <c r="D1272" s="102"/>
      <c r="E1272" s="102"/>
      <c r="F1272" s="102"/>
      <c r="G1272" s="102"/>
      <c r="H1272" s="102"/>
      <c r="I1272" s="102"/>
      <c r="J1272" s="102"/>
      <c r="K1272" s="102"/>
      <c r="L1272" s="102"/>
      <c r="M1272" s="102"/>
      <c r="N1272" s="102"/>
      <c r="O1272" s="102"/>
      <c r="P1272" s="102"/>
      <c r="Q1272" s="102"/>
      <c r="R1272" s="102"/>
    </row>
    <row r="1273" spans="1:18" ht="35.1" customHeight="1" x14ac:dyDescent="0.2">
      <c r="A1273" s="99"/>
      <c r="B1273" s="99"/>
      <c r="C1273" s="102"/>
      <c r="D1273" s="102"/>
      <c r="E1273" s="102"/>
      <c r="F1273" s="102"/>
      <c r="G1273" s="102"/>
      <c r="H1273" s="102"/>
      <c r="I1273" s="102"/>
      <c r="J1273" s="102"/>
      <c r="K1273" s="102"/>
      <c r="L1273" s="102"/>
      <c r="M1273" s="102"/>
      <c r="N1273" s="102"/>
      <c r="O1273" s="102"/>
      <c r="P1273" s="102"/>
      <c r="Q1273" s="102"/>
      <c r="R1273" s="102"/>
    </row>
    <row r="1274" spans="1:18" ht="35.1" customHeight="1" x14ac:dyDescent="0.2">
      <c r="A1274" s="99"/>
      <c r="B1274" s="99"/>
      <c r="C1274" s="102"/>
      <c r="D1274" s="102"/>
      <c r="E1274" s="102"/>
      <c r="F1274" s="102"/>
      <c r="G1274" s="102"/>
      <c r="H1274" s="102"/>
      <c r="I1274" s="102"/>
      <c r="J1274" s="102"/>
      <c r="K1274" s="102"/>
      <c r="L1274" s="102"/>
      <c r="M1274" s="102"/>
      <c r="N1274" s="102"/>
      <c r="O1274" s="102"/>
      <c r="P1274" s="102"/>
      <c r="Q1274" s="102"/>
      <c r="R1274" s="102"/>
    </row>
    <row r="1275" spans="1:18" ht="35.1" customHeight="1" x14ac:dyDescent="0.2">
      <c r="A1275" s="99"/>
      <c r="B1275" s="99"/>
      <c r="C1275" s="102"/>
      <c r="D1275" s="102"/>
      <c r="E1275" s="102"/>
      <c r="F1275" s="102"/>
      <c r="G1275" s="102"/>
      <c r="H1275" s="102"/>
      <c r="I1275" s="102"/>
      <c r="J1275" s="102"/>
      <c r="K1275" s="102"/>
      <c r="L1275" s="102"/>
      <c r="M1275" s="102"/>
      <c r="N1275" s="102"/>
      <c r="O1275" s="102"/>
      <c r="P1275" s="102"/>
      <c r="Q1275" s="102"/>
      <c r="R1275" s="102"/>
    </row>
    <row r="1276" spans="1:18" ht="35.1" customHeight="1" x14ac:dyDescent="0.2">
      <c r="A1276" s="99"/>
      <c r="B1276" s="99"/>
      <c r="C1276" s="102"/>
      <c r="D1276" s="102"/>
      <c r="E1276" s="102"/>
      <c r="F1276" s="102"/>
      <c r="G1276" s="102"/>
      <c r="H1276" s="102"/>
      <c r="I1276" s="102"/>
      <c r="J1276" s="102"/>
      <c r="K1276" s="102"/>
      <c r="L1276" s="102"/>
      <c r="M1276" s="102"/>
      <c r="N1276" s="102"/>
      <c r="O1276" s="102"/>
      <c r="P1276" s="102"/>
      <c r="Q1276" s="102"/>
      <c r="R1276" s="102"/>
    </row>
    <row r="1277" spans="1:18" ht="35.1" customHeight="1" x14ac:dyDescent="0.2">
      <c r="A1277" s="99"/>
      <c r="B1277" s="99"/>
      <c r="C1277" s="102"/>
      <c r="D1277" s="102"/>
      <c r="E1277" s="102"/>
      <c r="F1277" s="102"/>
      <c r="G1277" s="102"/>
      <c r="H1277" s="102"/>
      <c r="I1277" s="102"/>
      <c r="J1277" s="102"/>
      <c r="K1277" s="102"/>
      <c r="L1277" s="102"/>
      <c r="M1277" s="102"/>
      <c r="N1277" s="102"/>
      <c r="O1277" s="102"/>
      <c r="P1277" s="102"/>
      <c r="Q1277" s="102"/>
      <c r="R1277" s="102"/>
    </row>
    <row r="1278" spans="1:18" ht="35.1" customHeight="1" x14ac:dyDescent="0.2">
      <c r="A1278" s="99"/>
      <c r="B1278" s="99"/>
      <c r="C1278" s="102"/>
      <c r="D1278" s="102"/>
      <c r="E1278" s="102"/>
      <c r="F1278" s="102"/>
      <c r="G1278" s="102"/>
      <c r="H1278" s="102"/>
      <c r="I1278" s="102"/>
      <c r="J1278" s="102"/>
      <c r="K1278" s="102"/>
      <c r="L1278" s="102"/>
      <c r="M1278" s="102"/>
      <c r="N1278" s="102"/>
      <c r="O1278" s="102"/>
      <c r="P1278" s="102"/>
      <c r="Q1278" s="102"/>
      <c r="R1278" s="102"/>
    </row>
    <row r="1279" spans="1:18" ht="35.1" customHeight="1" x14ac:dyDescent="0.2">
      <c r="A1279" s="99"/>
      <c r="B1279" s="99"/>
      <c r="C1279" s="102"/>
      <c r="D1279" s="102"/>
      <c r="E1279" s="102"/>
      <c r="F1279" s="102"/>
      <c r="G1279" s="102"/>
      <c r="H1279" s="102"/>
      <c r="I1279" s="102"/>
      <c r="J1279" s="102"/>
      <c r="K1279" s="102"/>
      <c r="L1279" s="102"/>
      <c r="M1279" s="102"/>
      <c r="N1279" s="102"/>
      <c r="O1279" s="102"/>
      <c r="P1279" s="102"/>
      <c r="Q1279" s="102"/>
      <c r="R1279" s="102"/>
    </row>
    <row r="1280" spans="1:18" ht="35.1" customHeight="1" x14ac:dyDescent="0.2">
      <c r="A1280" s="99"/>
      <c r="B1280" s="99"/>
      <c r="C1280" s="102"/>
      <c r="D1280" s="102"/>
      <c r="E1280" s="102"/>
      <c r="F1280" s="102"/>
      <c r="G1280" s="102"/>
      <c r="H1280" s="102"/>
      <c r="I1280" s="102"/>
      <c r="J1280" s="102"/>
      <c r="K1280" s="102"/>
      <c r="L1280" s="102"/>
      <c r="M1280" s="102"/>
      <c r="N1280" s="102"/>
      <c r="O1280" s="102"/>
      <c r="P1280" s="102"/>
      <c r="Q1280" s="102"/>
      <c r="R1280" s="102"/>
    </row>
    <row r="1281" spans="1:18" ht="35.1" customHeight="1" x14ac:dyDescent="0.2">
      <c r="A1281" s="99"/>
      <c r="B1281" s="99"/>
      <c r="C1281" s="102"/>
      <c r="D1281" s="102"/>
      <c r="E1281" s="102"/>
      <c r="F1281" s="102"/>
      <c r="G1281" s="102"/>
      <c r="H1281" s="102"/>
      <c r="I1281" s="102"/>
      <c r="J1281" s="102"/>
      <c r="K1281" s="102"/>
      <c r="L1281" s="102"/>
      <c r="M1281" s="102"/>
      <c r="N1281" s="102"/>
      <c r="O1281" s="102"/>
      <c r="P1281" s="102"/>
      <c r="Q1281" s="102"/>
      <c r="R1281" s="102"/>
    </row>
    <row r="1282" spans="1:18" ht="35.1" customHeight="1" x14ac:dyDescent="0.2">
      <c r="A1282" s="99"/>
      <c r="B1282" s="99"/>
      <c r="C1282" s="102"/>
      <c r="D1282" s="102"/>
      <c r="E1282" s="102"/>
      <c r="F1282" s="102"/>
      <c r="G1282" s="102"/>
      <c r="H1282" s="102"/>
      <c r="I1282" s="102"/>
      <c r="J1282" s="102"/>
      <c r="K1282" s="102"/>
      <c r="L1282" s="102"/>
      <c r="M1282" s="102"/>
      <c r="N1282" s="102"/>
      <c r="O1282" s="102"/>
      <c r="P1282" s="102"/>
      <c r="Q1282" s="102"/>
      <c r="R1282" s="102"/>
    </row>
    <row r="1283" spans="1:18" ht="35.1" customHeight="1" x14ac:dyDescent="0.2">
      <c r="A1283" s="99"/>
      <c r="B1283" s="99"/>
      <c r="C1283" s="102"/>
      <c r="D1283" s="102"/>
      <c r="E1283" s="102"/>
      <c r="F1283" s="102"/>
      <c r="G1283" s="102"/>
      <c r="H1283" s="102"/>
      <c r="I1283" s="102"/>
      <c r="J1283" s="102"/>
      <c r="K1283" s="102"/>
      <c r="L1283" s="102"/>
      <c r="M1283" s="102"/>
      <c r="N1283" s="102"/>
      <c r="O1283" s="102"/>
      <c r="P1283" s="102"/>
      <c r="Q1283" s="102"/>
      <c r="R1283" s="102"/>
    </row>
    <row r="1284" spans="1:18" ht="35.1" customHeight="1" x14ac:dyDescent="0.2">
      <c r="A1284" s="99"/>
      <c r="B1284" s="99"/>
      <c r="C1284" s="102"/>
      <c r="D1284" s="102"/>
      <c r="E1284" s="102"/>
      <c r="F1284" s="102"/>
      <c r="G1284" s="102"/>
      <c r="H1284" s="102"/>
      <c r="I1284" s="102"/>
      <c r="J1284" s="102"/>
      <c r="K1284" s="102"/>
      <c r="L1284" s="102"/>
      <c r="M1284" s="102"/>
      <c r="N1284" s="102"/>
      <c r="O1284" s="102"/>
      <c r="P1284" s="102"/>
      <c r="Q1284" s="102"/>
      <c r="R1284" s="102"/>
    </row>
    <row r="1285" spans="1:18" ht="35.1" customHeight="1" x14ac:dyDescent="0.2">
      <c r="A1285" s="99"/>
      <c r="B1285" s="99"/>
      <c r="C1285" s="102"/>
      <c r="D1285" s="102"/>
      <c r="E1285" s="102"/>
      <c r="F1285" s="102"/>
      <c r="G1285" s="102"/>
      <c r="H1285" s="102"/>
      <c r="I1285" s="102"/>
      <c r="J1285" s="102"/>
      <c r="K1285" s="102"/>
      <c r="L1285" s="102"/>
      <c r="M1285" s="102"/>
      <c r="N1285" s="102"/>
      <c r="O1285" s="102"/>
      <c r="P1285" s="102"/>
      <c r="Q1285" s="102"/>
      <c r="R1285" s="102"/>
    </row>
    <row r="1286" spans="1:18" ht="35.1" customHeight="1" x14ac:dyDescent="0.2">
      <c r="A1286" s="99"/>
      <c r="B1286" s="99"/>
      <c r="C1286" s="102"/>
      <c r="D1286" s="102"/>
      <c r="E1286" s="102"/>
      <c r="F1286" s="102"/>
      <c r="G1286" s="102"/>
      <c r="H1286" s="102"/>
      <c r="I1286" s="102"/>
      <c r="J1286" s="102"/>
      <c r="K1286" s="102"/>
      <c r="L1286" s="102"/>
      <c r="M1286" s="102"/>
      <c r="N1286" s="102"/>
      <c r="O1286" s="102"/>
      <c r="P1286" s="102"/>
      <c r="Q1286" s="102"/>
      <c r="R1286" s="102"/>
    </row>
    <row r="1287" spans="1:18" ht="35.1" customHeight="1" x14ac:dyDescent="0.2">
      <c r="A1287" s="99"/>
      <c r="B1287" s="99"/>
      <c r="C1287" s="102"/>
      <c r="D1287" s="102"/>
      <c r="E1287" s="102"/>
      <c r="F1287" s="102"/>
      <c r="G1287" s="102"/>
      <c r="H1287" s="102"/>
      <c r="I1287" s="102"/>
      <c r="J1287" s="102"/>
      <c r="K1287" s="102"/>
      <c r="L1287" s="102"/>
      <c r="M1287" s="102"/>
      <c r="N1287" s="102"/>
      <c r="O1287" s="102"/>
      <c r="P1287" s="102"/>
      <c r="Q1287" s="102"/>
      <c r="R1287" s="102"/>
    </row>
    <row r="1288" spans="1:18" ht="35.1" customHeight="1" x14ac:dyDescent="0.2">
      <c r="A1288" s="99"/>
      <c r="B1288" s="99"/>
      <c r="C1288" s="102"/>
      <c r="D1288" s="102"/>
      <c r="E1288" s="102"/>
      <c r="F1288" s="102"/>
      <c r="G1288" s="102"/>
      <c r="H1288" s="102"/>
      <c r="I1288" s="102"/>
      <c r="J1288" s="102"/>
      <c r="K1288" s="102"/>
      <c r="L1288" s="102"/>
      <c r="M1288" s="102"/>
      <c r="N1288" s="102"/>
      <c r="O1288" s="102"/>
      <c r="P1288" s="102"/>
      <c r="Q1288" s="102"/>
      <c r="R1288" s="102"/>
    </row>
    <row r="1289" spans="1:18" ht="35.1" customHeight="1" x14ac:dyDescent="0.2">
      <c r="A1289" s="99"/>
      <c r="B1289" s="99"/>
      <c r="C1289" s="102"/>
      <c r="D1289" s="102"/>
      <c r="E1289" s="102"/>
      <c r="F1289" s="102"/>
      <c r="G1289" s="102"/>
      <c r="H1289" s="102"/>
      <c r="I1289" s="102"/>
      <c r="J1289" s="102"/>
      <c r="K1289" s="102"/>
      <c r="L1289" s="102"/>
      <c r="M1289" s="102"/>
      <c r="N1289" s="102"/>
      <c r="O1289" s="102"/>
      <c r="P1289" s="102"/>
      <c r="Q1289" s="102"/>
      <c r="R1289" s="102"/>
    </row>
    <row r="1290" spans="1:18" ht="35.1" customHeight="1" x14ac:dyDescent="0.2">
      <c r="A1290" s="99"/>
      <c r="B1290" s="99"/>
      <c r="C1290" s="102"/>
      <c r="D1290" s="102"/>
      <c r="E1290" s="102"/>
      <c r="F1290" s="102"/>
      <c r="G1290" s="102"/>
      <c r="H1290" s="102"/>
      <c r="I1290" s="102"/>
      <c r="J1290" s="102"/>
      <c r="K1290" s="102"/>
      <c r="L1290" s="102"/>
      <c r="M1290" s="102"/>
      <c r="N1290" s="102"/>
      <c r="O1290" s="102"/>
      <c r="P1290" s="102"/>
      <c r="Q1290" s="102"/>
      <c r="R1290" s="102"/>
    </row>
    <row r="1291" spans="1:18" ht="35.1" customHeight="1" x14ac:dyDescent="0.2">
      <c r="A1291" s="99"/>
      <c r="B1291" s="99"/>
      <c r="C1291" s="102"/>
      <c r="D1291" s="102"/>
      <c r="E1291" s="102"/>
      <c r="F1291" s="102"/>
      <c r="G1291" s="102"/>
      <c r="H1291" s="102"/>
      <c r="I1291" s="102"/>
      <c r="J1291" s="102"/>
      <c r="K1291" s="102"/>
      <c r="L1291" s="102"/>
      <c r="M1291" s="102"/>
      <c r="N1291" s="102"/>
      <c r="O1291" s="102"/>
      <c r="P1291" s="102"/>
      <c r="Q1291" s="102"/>
      <c r="R1291" s="102"/>
    </row>
    <row r="1292" spans="1:18" ht="35.1" customHeight="1" x14ac:dyDescent="0.2">
      <c r="A1292" s="99"/>
      <c r="B1292" s="99"/>
      <c r="C1292" s="102"/>
      <c r="D1292" s="102"/>
      <c r="E1292" s="102"/>
      <c r="F1292" s="102"/>
      <c r="G1292" s="102"/>
      <c r="H1292" s="102"/>
      <c r="I1292" s="102"/>
      <c r="J1292" s="102"/>
      <c r="K1292" s="102"/>
      <c r="L1292" s="102"/>
      <c r="M1292" s="102"/>
      <c r="N1292" s="102"/>
      <c r="O1292" s="102"/>
      <c r="P1292" s="102"/>
      <c r="Q1292" s="102"/>
      <c r="R1292" s="102"/>
    </row>
    <row r="1293" spans="1:18" ht="35.1" customHeight="1" x14ac:dyDescent="0.2">
      <c r="A1293" s="99"/>
      <c r="B1293" s="99"/>
      <c r="C1293" s="102"/>
      <c r="D1293" s="102"/>
      <c r="E1293" s="102"/>
      <c r="F1293" s="102"/>
      <c r="G1293" s="102"/>
      <c r="H1293" s="102"/>
      <c r="I1293" s="102"/>
      <c r="J1293" s="102"/>
      <c r="K1293" s="102"/>
      <c r="L1293" s="102"/>
      <c r="M1293" s="102"/>
      <c r="N1293" s="102"/>
      <c r="O1293" s="102"/>
      <c r="P1293" s="102"/>
      <c r="Q1293" s="102"/>
      <c r="R1293" s="102"/>
    </row>
    <row r="1294" spans="1:18" ht="35.1" customHeight="1" x14ac:dyDescent="0.2">
      <c r="A1294" s="99"/>
      <c r="B1294" s="99"/>
      <c r="C1294" s="102"/>
      <c r="D1294" s="102"/>
      <c r="E1294" s="102"/>
      <c r="F1294" s="102"/>
      <c r="G1294" s="102"/>
      <c r="H1294" s="102"/>
      <c r="I1294" s="102"/>
      <c r="J1294" s="102"/>
      <c r="K1294" s="102"/>
      <c r="L1294" s="102"/>
      <c r="M1294" s="102"/>
      <c r="N1294" s="102"/>
      <c r="O1294" s="102"/>
      <c r="P1294" s="102"/>
      <c r="Q1294" s="102"/>
      <c r="R1294" s="102"/>
    </row>
    <row r="1295" spans="1:18" ht="35.1" customHeight="1" x14ac:dyDescent="0.2">
      <c r="A1295" s="99"/>
      <c r="B1295" s="99"/>
      <c r="C1295" s="102"/>
      <c r="D1295" s="102"/>
      <c r="E1295" s="102"/>
      <c r="F1295" s="102"/>
      <c r="G1295" s="102"/>
      <c r="H1295" s="102"/>
      <c r="I1295" s="102"/>
      <c r="J1295" s="102"/>
      <c r="K1295" s="102"/>
      <c r="L1295" s="102"/>
      <c r="M1295" s="102"/>
      <c r="N1295" s="102"/>
      <c r="O1295" s="102"/>
      <c r="P1295" s="102"/>
      <c r="Q1295" s="102"/>
      <c r="R1295" s="102"/>
    </row>
    <row r="1296" spans="1:18" ht="35.1" customHeight="1" x14ac:dyDescent="0.2">
      <c r="A1296" s="99"/>
      <c r="B1296" s="99"/>
      <c r="C1296" s="102"/>
      <c r="D1296" s="102"/>
      <c r="E1296" s="102"/>
      <c r="F1296" s="102"/>
      <c r="G1296" s="102"/>
      <c r="H1296" s="102"/>
      <c r="I1296" s="102"/>
      <c r="J1296" s="102"/>
      <c r="K1296" s="102"/>
      <c r="L1296" s="102"/>
      <c r="M1296" s="102"/>
      <c r="N1296" s="102"/>
      <c r="O1296" s="102"/>
      <c r="P1296" s="102"/>
      <c r="Q1296" s="102"/>
      <c r="R1296" s="102"/>
    </row>
    <row r="1297" spans="1:18" ht="35.1" customHeight="1" x14ac:dyDescent="0.2">
      <c r="A1297" s="99"/>
      <c r="B1297" s="99"/>
      <c r="C1297" s="102"/>
      <c r="D1297" s="102"/>
      <c r="E1297" s="102"/>
      <c r="F1297" s="102"/>
      <c r="G1297" s="102"/>
      <c r="H1297" s="102"/>
      <c r="I1297" s="102"/>
      <c r="J1297" s="102"/>
      <c r="K1297" s="102"/>
      <c r="L1297" s="102"/>
      <c r="M1297" s="102"/>
      <c r="N1297" s="102"/>
      <c r="O1297" s="102"/>
      <c r="P1297" s="102"/>
      <c r="Q1297" s="102"/>
      <c r="R1297" s="102"/>
    </row>
    <row r="1298" spans="1:18" ht="35.1" customHeight="1" x14ac:dyDescent="0.2">
      <c r="A1298" s="99"/>
      <c r="B1298" s="99"/>
      <c r="C1298" s="102"/>
      <c r="D1298" s="102"/>
      <c r="E1298" s="102"/>
      <c r="F1298" s="102"/>
      <c r="G1298" s="102"/>
      <c r="H1298" s="102"/>
      <c r="I1298" s="102"/>
      <c r="J1298" s="102"/>
      <c r="K1298" s="102"/>
      <c r="L1298" s="102"/>
      <c r="M1298" s="102"/>
      <c r="N1298" s="102"/>
      <c r="O1298" s="102"/>
      <c r="P1298" s="102"/>
      <c r="Q1298" s="102"/>
      <c r="R1298" s="102"/>
    </row>
    <row r="1299" spans="1:18" ht="35.1" customHeight="1" x14ac:dyDescent="0.2">
      <c r="A1299" s="99"/>
      <c r="B1299" s="99"/>
      <c r="C1299" s="102"/>
      <c r="D1299" s="102"/>
      <c r="E1299" s="102"/>
      <c r="F1299" s="102"/>
      <c r="G1299" s="102"/>
      <c r="H1299" s="102"/>
      <c r="I1299" s="102"/>
      <c r="J1299" s="102"/>
      <c r="K1299" s="102"/>
      <c r="L1299" s="102"/>
      <c r="M1299" s="102"/>
      <c r="N1299" s="102"/>
      <c r="O1299" s="102"/>
      <c r="P1299" s="102"/>
      <c r="Q1299" s="102"/>
      <c r="R1299" s="102"/>
    </row>
    <row r="1300" spans="1:18" ht="35.1" customHeight="1" x14ac:dyDescent="0.2">
      <c r="A1300" s="99"/>
      <c r="B1300" s="99"/>
      <c r="C1300" s="102"/>
      <c r="D1300" s="102"/>
      <c r="E1300" s="102"/>
      <c r="F1300" s="102"/>
      <c r="G1300" s="102"/>
      <c r="H1300" s="102"/>
      <c r="I1300" s="102"/>
      <c r="J1300" s="102"/>
      <c r="K1300" s="102"/>
      <c r="L1300" s="102"/>
      <c r="M1300" s="102"/>
      <c r="N1300" s="102"/>
      <c r="O1300" s="102"/>
      <c r="P1300" s="102"/>
      <c r="Q1300" s="102"/>
      <c r="R1300" s="102"/>
    </row>
    <row r="1301" spans="1:18" ht="35.1" customHeight="1" x14ac:dyDescent="0.2">
      <c r="A1301" s="99"/>
      <c r="B1301" s="99"/>
      <c r="C1301" s="102"/>
      <c r="D1301" s="102"/>
      <c r="E1301" s="102"/>
      <c r="F1301" s="102"/>
      <c r="G1301" s="102"/>
      <c r="H1301" s="102"/>
      <c r="I1301" s="102"/>
      <c r="J1301" s="102"/>
      <c r="K1301" s="102"/>
      <c r="L1301" s="102"/>
      <c r="M1301" s="102"/>
      <c r="N1301" s="102"/>
      <c r="O1301" s="102"/>
      <c r="P1301" s="102"/>
      <c r="Q1301" s="102"/>
      <c r="R1301" s="102"/>
    </row>
    <row r="1302" spans="1:18" ht="35.1" customHeight="1" x14ac:dyDescent="0.2">
      <c r="A1302" s="99"/>
      <c r="B1302" s="99"/>
      <c r="C1302" s="102"/>
      <c r="D1302" s="102"/>
      <c r="E1302" s="102"/>
      <c r="F1302" s="102"/>
      <c r="G1302" s="102"/>
      <c r="H1302" s="102"/>
      <c r="I1302" s="102"/>
      <c r="J1302" s="102"/>
      <c r="K1302" s="102"/>
      <c r="L1302" s="102"/>
      <c r="M1302" s="102"/>
      <c r="N1302" s="102"/>
      <c r="O1302" s="102"/>
      <c r="P1302" s="102"/>
      <c r="Q1302" s="102"/>
      <c r="R1302" s="102"/>
    </row>
    <row r="1303" spans="1:18" ht="35.1" customHeight="1" x14ac:dyDescent="0.2">
      <c r="A1303" s="99"/>
      <c r="B1303" s="99"/>
      <c r="C1303" s="102"/>
      <c r="D1303" s="102"/>
      <c r="E1303" s="102"/>
      <c r="F1303" s="102"/>
      <c r="G1303" s="102"/>
      <c r="H1303" s="102"/>
      <c r="I1303" s="102"/>
      <c r="J1303" s="102"/>
      <c r="K1303" s="102"/>
      <c r="L1303" s="102"/>
      <c r="M1303" s="102"/>
      <c r="N1303" s="102"/>
      <c r="O1303" s="102"/>
      <c r="P1303" s="102"/>
      <c r="Q1303" s="102"/>
      <c r="R1303" s="102"/>
    </row>
    <row r="1304" spans="1:18" ht="35.1" customHeight="1" x14ac:dyDescent="0.2">
      <c r="A1304" s="99"/>
      <c r="B1304" s="99"/>
      <c r="C1304" s="102"/>
      <c r="D1304" s="102"/>
      <c r="E1304" s="102"/>
      <c r="F1304" s="102"/>
      <c r="G1304" s="102"/>
      <c r="H1304" s="102"/>
      <c r="I1304" s="102"/>
      <c r="J1304" s="102"/>
      <c r="K1304" s="102"/>
      <c r="L1304" s="102"/>
      <c r="M1304" s="102"/>
      <c r="N1304" s="102"/>
      <c r="O1304" s="102"/>
      <c r="P1304" s="102"/>
      <c r="Q1304" s="102"/>
      <c r="R1304" s="102"/>
    </row>
    <row r="1305" spans="1:18" ht="35.1" customHeight="1" x14ac:dyDescent="0.2">
      <c r="A1305" s="99"/>
      <c r="B1305" s="99"/>
      <c r="C1305" s="102"/>
      <c r="D1305" s="102"/>
      <c r="E1305" s="102"/>
      <c r="F1305" s="102"/>
      <c r="G1305" s="102"/>
      <c r="H1305" s="102"/>
      <c r="I1305" s="102"/>
      <c r="J1305" s="102"/>
      <c r="K1305" s="102"/>
      <c r="L1305" s="102"/>
      <c r="M1305" s="102"/>
      <c r="N1305" s="102"/>
      <c r="O1305" s="102"/>
      <c r="P1305" s="102"/>
      <c r="Q1305" s="102"/>
      <c r="R1305" s="102"/>
    </row>
    <row r="1306" spans="1:18" ht="35.1" customHeight="1" x14ac:dyDescent="0.2">
      <c r="A1306" s="99"/>
      <c r="B1306" s="99"/>
      <c r="C1306" s="102"/>
      <c r="D1306" s="102"/>
      <c r="E1306" s="102"/>
      <c r="F1306" s="102"/>
      <c r="G1306" s="102"/>
      <c r="H1306" s="102"/>
      <c r="I1306" s="102"/>
      <c r="J1306" s="102"/>
      <c r="K1306" s="102"/>
      <c r="L1306" s="102"/>
      <c r="M1306" s="102"/>
      <c r="N1306" s="102"/>
      <c r="O1306" s="102"/>
      <c r="P1306" s="102"/>
      <c r="Q1306" s="102"/>
      <c r="R1306" s="102"/>
    </row>
    <row r="1307" spans="1:18" ht="35.1" customHeight="1" x14ac:dyDescent="0.2">
      <c r="A1307" s="99"/>
      <c r="B1307" s="99"/>
      <c r="C1307" s="102"/>
      <c r="D1307" s="102"/>
      <c r="E1307" s="102"/>
      <c r="F1307" s="102"/>
      <c r="G1307" s="102"/>
      <c r="H1307" s="102"/>
      <c r="I1307" s="102"/>
      <c r="J1307" s="102"/>
      <c r="K1307" s="102"/>
      <c r="L1307" s="102"/>
      <c r="M1307" s="102"/>
      <c r="N1307" s="102"/>
      <c r="O1307" s="102"/>
      <c r="P1307" s="102"/>
      <c r="Q1307" s="102"/>
      <c r="R1307" s="102"/>
    </row>
    <row r="1308" spans="1:18" ht="35.1" customHeight="1" x14ac:dyDescent="0.2">
      <c r="A1308" s="99"/>
      <c r="B1308" s="99"/>
      <c r="C1308" s="102"/>
      <c r="D1308" s="102"/>
      <c r="E1308" s="102"/>
      <c r="F1308" s="102"/>
      <c r="G1308" s="102"/>
      <c r="H1308" s="102"/>
      <c r="I1308" s="102"/>
      <c r="J1308" s="102"/>
      <c r="K1308" s="102"/>
      <c r="L1308" s="102"/>
      <c r="M1308" s="102"/>
      <c r="N1308" s="102"/>
      <c r="O1308" s="102"/>
      <c r="P1308" s="102"/>
      <c r="Q1308" s="102"/>
      <c r="R1308" s="102"/>
    </row>
    <row r="1309" spans="1:18" ht="35.1" customHeight="1" x14ac:dyDescent="0.2">
      <c r="A1309" s="99"/>
      <c r="B1309" s="99"/>
      <c r="C1309" s="102"/>
      <c r="D1309" s="102"/>
      <c r="E1309" s="102"/>
      <c r="F1309" s="102"/>
      <c r="G1309" s="102"/>
      <c r="H1309" s="102"/>
      <c r="I1309" s="102"/>
      <c r="J1309" s="102"/>
      <c r="K1309" s="102"/>
      <c r="L1309" s="102"/>
      <c r="M1309" s="102"/>
      <c r="N1309" s="102"/>
      <c r="O1309" s="102"/>
      <c r="P1309" s="102"/>
      <c r="Q1309" s="102"/>
      <c r="R1309" s="102"/>
    </row>
    <row r="1310" spans="1:18" ht="35.1" customHeight="1" x14ac:dyDescent="0.2">
      <c r="A1310" s="99"/>
      <c r="B1310" s="99"/>
      <c r="C1310" s="102"/>
      <c r="D1310" s="102"/>
      <c r="E1310" s="102"/>
      <c r="F1310" s="102"/>
      <c r="G1310" s="102"/>
      <c r="H1310" s="102"/>
      <c r="I1310" s="102"/>
      <c r="J1310" s="102"/>
      <c r="K1310" s="102"/>
      <c r="L1310" s="102"/>
      <c r="M1310" s="102"/>
      <c r="N1310" s="102"/>
      <c r="O1310" s="102"/>
      <c r="P1310" s="102"/>
      <c r="Q1310" s="102"/>
      <c r="R1310" s="102"/>
    </row>
    <row r="1311" spans="1:18" ht="35.1" customHeight="1" x14ac:dyDescent="0.2">
      <c r="A1311" s="99"/>
      <c r="B1311" s="99"/>
      <c r="C1311" s="102"/>
      <c r="D1311" s="102"/>
      <c r="E1311" s="102"/>
      <c r="F1311" s="102"/>
      <c r="G1311" s="102"/>
      <c r="H1311" s="102"/>
      <c r="I1311" s="102"/>
      <c r="J1311" s="102"/>
      <c r="K1311" s="102"/>
      <c r="L1311" s="102"/>
      <c r="M1311" s="102"/>
      <c r="N1311" s="102"/>
      <c r="O1311" s="102"/>
      <c r="P1311" s="102"/>
      <c r="Q1311" s="102"/>
      <c r="R1311" s="102"/>
    </row>
    <row r="1312" spans="1:18" ht="35.1" customHeight="1" x14ac:dyDescent="0.2">
      <c r="A1312" s="99"/>
      <c r="B1312" s="99"/>
      <c r="C1312" s="102"/>
      <c r="D1312" s="102"/>
      <c r="E1312" s="102"/>
      <c r="F1312" s="102"/>
      <c r="G1312" s="102"/>
      <c r="H1312" s="102"/>
      <c r="I1312" s="102"/>
      <c r="J1312" s="102"/>
      <c r="K1312" s="102"/>
      <c r="L1312" s="102"/>
      <c r="M1312" s="102"/>
      <c r="N1312" s="102"/>
      <c r="O1312" s="102"/>
      <c r="P1312" s="102"/>
      <c r="Q1312" s="102"/>
      <c r="R1312" s="102"/>
    </row>
    <row r="1313" spans="1:18" ht="35.1" customHeight="1" x14ac:dyDescent="0.2">
      <c r="A1313" s="99"/>
      <c r="B1313" s="99"/>
      <c r="C1313" s="102"/>
      <c r="D1313" s="102"/>
      <c r="E1313" s="102"/>
      <c r="F1313" s="102"/>
      <c r="G1313" s="102"/>
      <c r="H1313" s="102"/>
      <c r="I1313" s="102"/>
      <c r="J1313" s="102"/>
      <c r="K1313" s="102"/>
      <c r="L1313" s="102"/>
      <c r="M1313" s="102"/>
      <c r="N1313" s="102"/>
      <c r="O1313" s="102"/>
      <c r="P1313" s="102"/>
      <c r="Q1313" s="102"/>
      <c r="R1313" s="102"/>
    </row>
    <row r="1314" spans="1:18" ht="35.1" customHeight="1" x14ac:dyDescent="0.2">
      <c r="A1314" s="99"/>
      <c r="B1314" s="99"/>
      <c r="C1314" s="102"/>
      <c r="D1314" s="102"/>
      <c r="E1314" s="102"/>
      <c r="F1314" s="102"/>
      <c r="G1314" s="102"/>
      <c r="H1314" s="102"/>
      <c r="I1314" s="102"/>
      <c r="J1314" s="102"/>
      <c r="K1314" s="102"/>
      <c r="L1314" s="102"/>
      <c r="M1314" s="102"/>
      <c r="N1314" s="102"/>
      <c r="O1314" s="102"/>
      <c r="P1314" s="102"/>
      <c r="Q1314" s="102"/>
      <c r="R1314" s="102"/>
    </row>
    <row r="1315" spans="1:18" ht="35.1" customHeight="1" x14ac:dyDescent="0.2">
      <c r="A1315" s="99"/>
      <c r="B1315" s="99"/>
      <c r="C1315" s="102"/>
      <c r="D1315" s="102"/>
      <c r="E1315" s="102"/>
      <c r="F1315" s="102"/>
      <c r="G1315" s="102"/>
      <c r="H1315" s="102"/>
      <c r="I1315" s="102"/>
      <c r="J1315" s="102"/>
      <c r="K1315" s="102"/>
      <c r="L1315" s="102"/>
      <c r="M1315" s="102"/>
      <c r="N1315" s="102"/>
      <c r="O1315" s="102"/>
      <c r="P1315" s="102"/>
      <c r="Q1315" s="102"/>
      <c r="R1315" s="102"/>
    </row>
    <row r="1316" spans="1:18" ht="35.1" customHeight="1" x14ac:dyDescent="0.2">
      <c r="A1316" s="99"/>
      <c r="B1316" s="99"/>
      <c r="C1316" s="102"/>
      <c r="D1316" s="102"/>
      <c r="E1316" s="102"/>
      <c r="F1316" s="102"/>
      <c r="G1316" s="102"/>
      <c r="H1316" s="102"/>
      <c r="I1316" s="102"/>
      <c r="J1316" s="102"/>
      <c r="K1316" s="102"/>
      <c r="L1316" s="102"/>
      <c r="M1316" s="102"/>
      <c r="N1316" s="102"/>
      <c r="O1316" s="102"/>
      <c r="P1316" s="102"/>
      <c r="Q1316" s="102"/>
      <c r="R1316" s="102"/>
    </row>
    <row r="1317" spans="1:18" ht="35.1" customHeight="1" x14ac:dyDescent="0.2">
      <c r="A1317" s="99"/>
      <c r="B1317" s="99"/>
      <c r="C1317" s="102"/>
      <c r="D1317" s="102"/>
      <c r="E1317" s="102"/>
      <c r="F1317" s="102"/>
      <c r="G1317" s="102"/>
      <c r="H1317" s="102"/>
      <c r="I1317" s="102"/>
      <c r="J1317" s="102"/>
      <c r="K1317" s="102"/>
      <c r="L1317" s="102"/>
      <c r="M1317" s="102"/>
      <c r="N1317" s="102"/>
      <c r="O1317" s="102"/>
      <c r="P1317" s="102"/>
      <c r="Q1317" s="102"/>
      <c r="R1317" s="102"/>
    </row>
    <row r="1318" spans="1:18" ht="35.1" customHeight="1" x14ac:dyDescent="0.2">
      <c r="A1318" s="99"/>
      <c r="B1318" s="99"/>
      <c r="C1318" s="102"/>
      <c r="D1318" s="102"/>
      <c r="E1318" s="102"/>
      <c r="F1318" s="102"/>
      <c r="G1318" s="102"/>
      <c r="H1318" s="102"/>
      <c r="I1318" s="102"/>
      <c r="J1318" s="102"/>
      <c r="K1318" s="102"/>
      <c r="L1318" s="102"/>
      <c r="M1318" s="102"/>
      <c r="N1318" s="102"/>
      <c r="O1318" s="102"/>
      <c r="P1318" s="102"/>
      <c r="Q1318" s="102"/>
      <c r="R1318" s="102"/>
    </row>
    <row r="1319" spans="1:18" ht="35.1" customHeight="1" x14ac:dyDescent="0.2">
      <c r="A1319" s="99"/>
      <c r="B1319" s="99"/>
      <c r="C1319" s="102"/>
      <c r="D1319" s="102"/>
      <c r="E1319" s="102"/>
      <c r="F1319" s="102"/>
      <c r="G1319" s="102"/>
      <c r="H1319" s="102"/>
      <c r="I1319" s="102"/>
      <c r="J1319" s="102"/>
      <c r="K1319" s="102"/>
      <c r="L1319" s="102"/>
      <c r="M1319" s="102"/>
      <c r="N1319" s="102"/>
      <c r="O1319" s="102"/>
      <c r="P1319" s="102"/>
      <c r="Q1319" s="102"/>
      <c r="R1319" s="102"/>
    </row>
    <row r="1320" spans="1:18" ht="35.1" customHeight="1" x14ac:dyDescent="0.2">
      <c r="A1320" s="99"/>
      <c r="B1320" s="99"/>
      <c r="C1320" s="102"/>
      <c r="D1320" s="102"/>
      <c r="E1320" s="102"/>
      <c r="F1320" s="102"/>
      <c r="G1320" s="102"/>
      <c r="H1320" s="102"/>
      <c r="I1320" s="102"/>
      <c r="J1320" s="102"/>
      <c r="K1320" s="102"/>
      <c r="L1320" s="102"/>
      <c r="M1320" s="102"/>
      <c r="N1320" s="102"/>
      <c r="O1320" s="102"/>
      <c r="P1320" s="102"/>
      <c r="Q1320" s="102"/>
      <c r="R1320" s="102"/>
    </row>
    <row r="1321" spans="1:18" ht="35.1" customHeight="1" x14ac:dyDescent="0.2">
      <c r="A1321" s="99"/>
      <c r="B1321" s="99"/>
      <c r="C1321" s="102"/>
      <c r="D1321" s="102"/>
      <c r="E1321" s="102"/>
      <c r="F1321" s="102"/>
      <c r="G1321" s="102"/>
      <c r="H1321" s="102"/>
      <c r="I1321" s="102"/>
      <c r="J1321" s="102"/>
      <c r="K1321" s="102"/>
      <c r="L1321" s="102"/>
      <c r="M1321" s="102"/>
      <c r="N1321" s="102"/>
      <c r="O1321" s="102"/>
      <c r="P1321" s="102"/>
      <c r="Q1321" s="102"/>
      <c r="R1321" s="102"/>
    </row>
    <row r="1322" spans="1:18" ht="35.1" customHeight="1" x14ac:dyDescent="0.2">
      <c r="A1322" s="99"/>
      <c r="B1322" s="99"/>
      <c r="C1322" s="102"/>
      <c r="D1322" s="102"/>
      <c r="E1322" s="102"/>
      <c r="F1322" s="102"/>
      <c r="G1322" s="102"/>
      <c r="H1322" s="102"/>
      <c r="I1322" s="102"/>
      <c r="J1322" s="102"/>
      <c r="K1322" s="102"/>
      <c r="L1322" s="102"/>
      <c r="M1322" s="102"/>
      <c r="N1322" s="102"/>
      <c r="O1322" s="102"/>
      <c r="P1322" s="102"/>
      <c r="Q1322" s="102"/>
      <c r="R1322" s="102"/>
    </row>
    <row r="1323" spans="1:18" ht="35.1" customHeight="1" x14ac:dyDescent="0.2">
      <c r="A1323" s="99"/>
      <c r="B1323" s="99"/>
      <c r="C1323" s="102"/>
      <c r="D1323" s="102"/>
      <c r="E1323" s="102"/>
      <c r="F1323" s="102"/>
      <c r="G1323" s="102"/>
      <c r="H1323" s="102"/>
      <c r="I1323" s="102"/>
      <c r="J1323" s="102"/>
      <c r="K1323" s="102"/>
      <c r="L1323" s="102"/>
      <c r="M1323" s="102"/>
      <c r="N1323" s="102"/>
      <c r="O1323" s="102"/>
      <c r="P1323" s="102"/>
      <c r="Q1323" s="102"/>
      <c r="R1323" s="102"/>
    </row>
    <row r="1324" spans="1:18" ht="35.1" customHeight="1" x14ac:dyDescent="0.2">
      <c r="A1324" s="99"/>
      <c r="B1324" s="99"/>
      <c r="C1324" s="102"/>
      <c r="D1324" s="102"/>
      <c r="E1324" s="102"/>
      <c r="F1324" s="102"/>
      <c r="G1324" s="102"/>
      <c r="H1324" s="102"/>
      <c r="I1324" s="102"/>
      <c r="J1324" s="102"/>
      <c r="K1324" s="102"/>
      <c r="L1324" s="102"/>
      <c r="M1324" s="102"/>
      <c r="N1324" s="102"/>
      <c r="O1324" s="102"/>
      <c r="P1324" s="102"/>
      <c r="Q1324" s="102"/>
      <c r="R1324" s="102"/>
    </row>
    <row r="1325" spans="1:18" ht="35.1" customHeight="1" x14ac:dyDescent="0.2">
      <c r="A1325" s="99"/>
      <c r="B1325" s="99"/>
      <c r="C1325" s="102"/>
      <c r="D1325" s="102"/>
      <c r="E1325" s="102"/>
      <c r="F1325" s="102"/>
      <c r="G1325" s="102"/>
      <c r="H1325" s="102"/>
      <c r="I1325" s="102"/>
      <c r="J1325" s="102"/>
      <c r="K1325" s="102"/>
      <c r="L1325" s="102"/>
      <c r="M1325" s="102"/>
      <c r="N1325" s="102"/>
      <c r="O1325" s="102"/>
      <c r="P1325" s="102"/>
      <c r="Q1325" s="102"/>
      <c r="R1325" s="102"/>
    </row>
    <row r="1326" spans="1:18" ht="35.1" customHeight="1" x14ac:dyDescent="0.2">
      <c r="A1326" s="99"/>
      <c r="B1326" s="99"/>
      <c r="C1326" s="102"/>
      <c r="D1326" s="102"/>
      <c r="E1326" s="102"/>
      <c r="F1326" s="102"/>
      <c r="G1326" s="102"/>
      <c r="H1326" s="102"/>
      <c r="I1326" s="102"/>
      <c r="J1326" s="102"/>
      <c r="K1326" s="102"/>
      <c r="L1326" s="102"/>
      <c r="M1326" s="102"/>
      <c r="N1326" s="102"/>
      <c r="O1326" s="102"/>
      <c r="P1326" s="102"/>
      <c r="Q1326" s="102"/>
      <c r="R1326" s="102"/>
    </row>
    <row r="1327" spans="1:18" ht="35.1" customHeight="1" x14ac:dyDescent="0.2">
      <c r="A1327" s="99"/>
      <c r="B1327" s="99"/>
      <c r="C1327" s="102"/>
      <c r="D1327" s="102"/>
      <c r="E1327" s="102"/>
      <c r="F1327" s="102"/>
      <c r="G1327" s="102"/>
      <c r="H1327" s="102"/>
      <c r="I1327" s="102"/>
      <c r="J1327" s="102"/>
      <c r="K1327" s="102"/>
      <c r="L1327" s="102"/>
      <c r="M1327" s="102"/>
      <c r="N1327" s="102"/>
      <c r="O1327" s="102"/>
      <c r="P1327" s="102"/>
      <c r="Q1327" s="102"/>
      <c r="R1327" s="102"/>
    </row>
    <row r="1328" spans="1:18" ht="35.1" customHeight="1" x14ac:dyDescent="0.2">
      <c r="A1328" s="99"/>
      <c r="B1328" s="99"/>
      <c r="C1328" s="102"/>
      <c r="D1328" s="102"/>
      <c r="E1328" s="102"/>
      <c r="F1328" s="102"/>
      <c r="G1328" s="102"/>
      <c r="H1328" s="102"/>
      <c r="I1328" s="102"/>
      <c r="J1328" s="102"/>
      <c r="K1328" s="102"/>
      <c r="L1328" s="102"/>
      <c r="M1328" s="102"/>
      <c r="N1328" s="102"/>
      <c r="O1328" s="102"/>
      <c r="P1328" s="102"/>
      <c r="Q1328" s="102"/>
      <c r="R1328" s="102"/>
    </row>
    <row r="1329" spans="1:18" ht="35.1" customHeight="1" x14ac:dyDescent="0.2">
      <c r="A1329" s="99"/>
      <c r="B1329" s="99"/>
      <c r="C1329" s="102"/>
      <c r="D1329" s="102"/>
      <c r="E1329" s="102"/>
      <c r="F1329" s="102"/>
      <c r="G1329" s="102"/>
      <c r="H1329" s="102"/>
      <c r="I1329" s="102"/>
      <c r="J1329" s="102"/>
      <c r="K1329" s="102"/>
      <c r="L1329" s="102"/>
      <c r="M1329" s="102"/>
      <c r="N1329" s="102"/>
      <c r="O1329" s="102"/>
      <c r="P1329" s="102"/>
      <c r="Q1329" s="102"/>
      <c r="R1329" s="102"/>
    </row>
    <row r="1330" spans="1:18" ht="35.1" customHeight="1" x14ac:dyDescent="0.2">
      <c r="A1330" s="99"/>
      <c r="B1330" s="99"/>
      <c r="C1330" s="102"/>
      <c r="D1330" s="102"/>
      <c r="E1330" s="102"/>
      <c r="F1330" s="102"/>
      <c r="G1330" s="102"/>
      <c r="H1330" s="102"/>
      <c r="I1330" s="102"/>
      <c r="J1330" s="102"/>
      <c r="K1330" s="102"/>
      <c r="L1330" s="102"/>
      <c r="M1330" s="102"/>
      <c r="N1330" s="102"/>
      <c r="O1330" s="102"/>
      <c r="P1330" s="102"/>
      <c r="Q1330" s="102"/>
      <c r="R1330" s="102"/>
    </row>
    <row r="1331" spans="1:18" ht="35.1" customHeight="1" x14ac:dyDescent="0.2">
      <c r="A1331" s="99"/>
      <c r="B1331" s="99"/>
      <c r="C1331" s="102"/>
      <c r="D1331" s="102"/>
      <c r="E1331" s="102"/>
      <c r="F1331" s="102"/>
      <c r="G1331" s="102"/>
      <c r="H1331" s="102"/>
      <c r="I1331" s="102"/>
      <c r="J1331" s="102"/>
      <c r="K1331" s="102"/>
      <c r="L1331" s="102"/>
      <c r="M1331" s="102"/>
      <c r="N1331" s="102"/>
      <c r="O1331" s="102"/>
      <c r="P1331" s="102"/>
      <c r="Q1331" s="102"/>
      <c r="R1331" s="102"/>
    </row>
    <row r="1332" spans="1:18" ht="35.1" customHeight="1" x14ac:dyDescent="0.2">
      <c r="A1332" s="99"/>
      <c r="B1332" s="99"/>
      <c r="C1332" s="102"/>
      <c r="D1332" s="102"/>
      <c r="E1332" s="102"/>
      <c r="F1332" s="102"/>
      <c r="G1332" s="102"/>
      <c r="H1332" s="102"/>
      <c r="I1332" s="102"/>
      <c r="J1332" s="102"/>
      <c r="K1332" s="102"/>
      <c r="L1332" s="102"/>
      <c r="M1332" s="102"/>
      <c r="N1332" s="102"/>
      <c r="O1332" s="102"/>
      <c r="P1332" s="102"/>
      <c r="Q1332" s="102"/>
      <c r="R1332" s="102"/>
    </row>
    <row r="1333" spans="1:18" ht="35.1" customHeight="1" x14ac:dyDescent="0.2">
      <c r="A1333" s="99"/>
      <c r="B1333" s="99"/>
      <c r="C1333" s="102"/>
      <c r="D1333" s="102"/>
      <c r="E1333" s="102"/>
      <c r="F1333" s="102"/>
      <c r="G1333" s="102"/>
      <c r="H1333" s="102"/>
      <c r="I1333" s="102"/>
      <c r="J1333" s="102"/>
      <c r="K1333" s="102"/>
      <c r="L1333" s="102"/>
      <c r="M1333" s="102"/>
      <c r="N1333" s="102"/>
      <c r="O1333" s="102"/>
      <c r="P1333" s="102"/>
      <c r="Q1333" s="102"/>
      <c r="R1333" s="102"/>
    </row>
    <row r="1334" spans="1:18" ht="35.1" customHeight="1" x14ac:dyDescent="0.2">
      <c r="A1334" s="99"/>
      <c r="B1334" s="99"/>
      <c r="C1334" s="102"/>
      <c r="D1334" s="102"/>
      <c r="E1334" s="102"/>
      <c r="F1334" s="102"/>
      <c r="G1334" s="102"/>
      <c r="H1334" s="102"/>
      <c r="I1334" s="102"/>
      <c r="J1334" s="102"/>
      <c r="K1334" s="102"/>
      <c r="L1334" s="102"/>
      <c r="M1334" s="102"/>
      <c r="N1334" s="102"/>
      <c r="O1334" s="102"/>
      <c r="P1334" s="102"/>
      <c r="Q1334" s="102"/>
      <c r="R1334" s="102"/>
    </row>
    <row r="1335" spans="1:18" ht="35.1" customHeight="1" x14ac:dyDescent="0.2">
      <c r="A1335" s="99"/>
      <c r="B1335" s="99"/>
      <c r="C1335" s="102"/>
      <c r="D1335" s="102"/>
      <c r="E1335" s="102"/>
      <c r="F1335" s="102"/>
      <c r="G1335" s="102"/>
      <c r="H1335" s="102"/>
      <c r="I1335" s="102"/>
      <c r="J1335" s="102"/>
      <c r="K1335" s="102"/>
      <c r="L1335" s="102"/>
      <c r="M1335" s="102"/>
      <c r="N1335" s="102"/>
      <c r="O1335" s="102"/>
      <c r="P1335" s="102"/>
      <c r="Q1335" s="102"/>
      <c r="R1335" s="102"/>
    </row>
    <row r="1336" spans="1:18" ht="35.1" customHeight="1" x14ac:dyDescent="0.2">
      <c r="A1336" s="99"/>
      <c r="B1336" s="99"/>
      <c r="C1336" s="102"/>
      <c r="D1336" s="102"/>
      <c r="E1336" s="102"/>
      <c r="F1336" s="102"/>
      <c r="G1336" s="102"/>
      <c r="H1336" s="102"/>
      <c r="I1336" s="102"/>
      <c r="J1336" s="102"/>
      <c r="K1336" s="102"/>
      <c r="L1336" s="102"/>
      <c r="M1336" s="102"/>
      <c r="N1336" s="102"/>
      <c r="O1336" s="102"/>
      <c r="P1336" s="102"/>
      <c r="Q1336" s="102"/>
      <c r="R1336" s="102"/>
    </row>
    <row r="1337" spans="1:18" ht="35.1" customHeight="1" x14ac:dyDescent="0.2">
      <c r="A1337" s="99"/>
      <c r="B1337" s="99"/>
      <c r="C1337" s="102"/>
      <c r="D1337" s="102"/>
      <c r="E1337" s="102"/>
      <c r="F1337" s="102"/>
      <c r="G1337" s="102"/>
      <c r="H1337" s="102"/>
      <c r="I1337" s="102"/>
      <c r="J1337" s="102"/>
      <c r="K1337" s="102"/>
      <c r="L1337" s="102"/>
      <c r="M1337" s="102"/>
      <c r="N1337" s="102"/>
      <c r="O1337" s="102"/>
      <c r="P1337" s="102"/>
      <c r="Q1337" s="102"/>
      <c r="R1337" s="102"/>
    </row>
    <row r="1338" spans="1:18" ht="35.1" customHeight="1" x14ac:dyDescent="0.2">
      <c r="A1338" s="99"/>
      <c r="B1338" s="99"/>
      <c r="C1338" s="102"/>
      <c r="D1338" s="102"/>
      <c r="E1338" s="102"/>
      <c r="F1338" s="102"/>
      <c r="G1338" s="102"/>
      <c r="H1338" s="102"/>
      <c r="I1338" s="102"/>
      <c r="J1338" s="102"/>
      <c r="K1338" s="102"/>
      <c r="L1338" s="102"/>
      <c r="M1338" s="102"/>
      <c r="N1338" s="102"/>
      <c r="O1338" s="102"/>
      <c r="P1338" s="102"/>
      <c r="Q1338" s="102"/>
      <c r="R1338" s="102"/>
    </row>
    <row r="1339" spans="1:18" ht="35.1" customHeight="1" x14ac:dyDescent="0.2">
      <c r="A1339" s="99"/>
      <c r="B1339" s="99"/>
      <c r="C1339" s="102"/>
      <c r="D1339" s="102"/>
      <c r="E1339" s="102"/>
      <c r="F1339" s="102"/>
      <c r="G1339" s="102"/>
      <c r="H1339" s="102"/>
      <c r="I1339" s="102"/>
      <c r="J1339" s="102"/>
      <c r="K1339" s="102"/>
      <c r="L1339" s="102"/>
      <c r="M1339" s="102"/>
      <c r="N1339" s="102"/>
      <c r="O1339" s="102"/>
      <c r="P1339" s="102"/>
      <c r="Q1339" s="102"/>
      <c r="R1339" s="102"/>
    </row>
    <row r="1340" spans="1:18" ht="35.1" customHeight="1" x14ac:dyDescent="0.2">
      <c r="A1340" s="99"/>
      <c r="B1340" s="99"/>
      <c r="C1340" s="102"/>
      <c r="D1340" s="102"/>
      <c r="E1340" s="102"/>
      <c r="F1340" s="102"/>
      <c r="G1340" s="102"/>
      <c r="H1340" s="102"/>
      <c r="I1340" s="102"/>
      <c r="J1340" s="102"/>
      <c r="K1340" s="102"/>
      <c r="L1340" s="102"/>
      <c r="M1340" s="102"/>
      <c r="N1340" s="102"/>
      <c r="O1340" s="102"/>
      <c r="P1340" s="102"/>
      <c r="Q1340" s="102"/>
      <c r="R1340" s="102"/>
    </row>
    <row r="1341" spans="1:18" ht="35.1" customHeight="1" x14ac:dyDescent="0.2">
      <c r="A1341" s="99"/>
      <c r="B1341" s="99"/>
      <c r="C1341" s="102"/>
      <c r="D1341" s="102"/>
      <c r="E1341" s="102"/>
      <c r="F1341" s="102"/>
      <c r="G1341" s="102"/>
      <c r="H1341" s="102"/>
      <c r="I1341" s="102"/>
      <c r="J1341" s="102"/>
      <c r="K1341" s="102"/>
      <c r="L1341" s="102"/>
      <c r="M1341" s="102"/>
      <c r="N1341" s="102"/>
      <c r="O1341" s="102"/>
      <c r="P1341" s="102"/>
      <c r="Q1341" s="102"/>
      <c r="R1341" s="102"/>
    </row>
    <row r="1342" spans="1:18" ht="35.1" customHeight="1" x14ac:dyDescent="0.2">
      <c r="A1342" s="99"/>
      <c r="B1342" s="99"/>
      <c r="C1342" s="102"/>
      <c r="D1342" s="102"/>
      <c r="E1342" s="102"/>
      <c r="F1342" s="102"/>
      <c r="G1342" s="102"/>
      <c r="H1342" s="102"/>
      <c r="I1342" s="102"/>
      <c r="J1342" s="102"/>
      <c r="K1342" s="102"/>
      <c r="L1342" s="102"/>
      <c r="M1342" s="102"/>
      <c r="N1342" s="102"/>
      <c r="O1342" s="102"/>
      <c r="P1342" s="102"/>
      <c r="Q1342" s="102"/>
      <c r="R1342" s="102"/>
    </row>
    <row r="1343" spans="1:18" ht="35.1" customHeight="1" x14ac:dyDescent="0.2">
      <c r="A1343" s="99"/>
      <c r="B1343" s="99"/>
      <c r="C1343" s="102"/>
      <c r="D1343" s="102"/>
      <c r="E1343" s="102"/>
      <c r="F1343" s="102"/>
      <c r="G1343" s="102"/>
      <c r="H1343" s="102"/>
      <c r="I1343" s="102"/>
      <c r="J1343" s="102"/>
      <c r="K1343" s="102"/>
      <c r="L1343" s="102"/>
      <c r="M1343" s="102"/>
      <c r="N1343" s="102"/>
      <c r="O1343" s="102"/>
      <c r="P1343" s="102"/>
      <c r="Q1343" s="102"/>
      <c r="R1343" s="102"/>
    </row>
    <row r="1344" spans="1:18" ht="35.1" customHeight="1" x14ac:dyDescent="0.2">
      <c r="A1344" s="99"/>
      <c r="B1344" s="99"/>
      <c r="C1344" s="102"/>
      <c r="D1344" s="102"/>
      <c r="E1344" s="102"/>
      <c r="F1344" s="102"/>
      <c r="G1344" s="102"/>
      <c r="H1344" s="102"/>
      <c r="I1344" s="102"/>
      <c r="J1344" s="102"/>
      <c r="K1344" s="102"/>
      <c r="L1344" s="102"/>
      <c r="M1344" s="102"/>
      <c r="N1344" s="102"/>
      <c r="O1344" s="102"/>
      <c r="P1344" s="102"/>
      <c r="Q1344" s="102"/>
      <c r="R1344" s="102"/>
    </row>
    <row r="1345" spans="1:18" ht="35.1" customHeight="1" x14ac:dyDescent="0.2">
      <c r="A1345" s="99"/>
      <c r="B1345" s="99"/>
      <c r="C1345" s="102"/>
      <c r="D1345" s="102"/>
      <c r="E1345" s="102"/>
      <c r="F1345" s="102"/>
      <c r="G1345" s="102"/>
      <c r="H1345" s="102"/>
      <c r="I1345" s="102"/>
      <c r="J1345" s="102"/>
      <c r="K1345" s="102"/>
      <c r="L1345" s="102"/>
      <c r="M1345" s="102"/>
      <c r="N1345" s="102"/>
      <c r="O1345" s="102"/>
      <c r="P1345" s="102"/>
      <c r="Q1345" s="102"/>
      <c r="R1345" s="102"/>
    </row>
    <row r="1346" spans="1:18" ht="35.1" customHeight="1" x14ac:dyDescent="0.2">
      <c r="A1346" s="99"/>
      <c r="B1346" s="99"/>
      <c r="C1346" s="102"/>
      <c r="D1346" s="102"/>
      <c r="E1346" s="102"/>
      <c r="F1346" s="102"/>
      <c r="G1346" s="102"/>
      <c r="H1346" s="102"/>
      <c r="I1346" s="102"/>
      <c r="J1346" s="102"/>
      <c r="K1346" s="102"/>
      <c r="L1346" s="102"/>
      <c r="M1346" s="102"/>
      <c r="N1346" s="102"/>
      <c r="O1346" s="102"/>
      <c r="P1346" s="102"/>
      <c r="Q1346" s="102"/>
      <c r="R1346" s="102"/>
    </row>
    <row r="1347" spans="1:18" ht="35.1" customHeight="1" x14ac:dyDescent="0.2">
      <c r="A1347" s="99"/>
      <c r="B1347" s="99"/>
      <c r="C1347" s="102"/>
      <c r="D1347" s="102"/>
      <c r="E1347" s="102"/>
      <c r="F1347" s="102"/>
      <c r="G1347" s="102"/>
      <c r="H1347" s="102"/>
      <c r="I1347" s="102"/>
      <c r="J1347" s="102"/>
      <c r="K1347" s="102"/>
      <c r="L1347" s="102"/>
      <c r="M1347" s="102"/>
      <c r="N1347" s="102"/>
      <c r="O1347" s="102"/>
      <c r="P1347" s="102"/>
      <c r="Q1347" s="102"/>
      <c r="R1347" s="102"/>
    </row>
    <row r="1348" spans="1:18" ht="35.1" customHeight="1" x14ac:dyDescent="0.2">
      <c r="A1348" s="99"/>
      <c r="B1348" s="99"/>
      <c r="C1348" s="102"/>
      <c r="D1348" s="102"/>
      <c r="E1348" s="102"/>
      <c r="F1348" s="102"/>
      <c r="G1348" s="102"/>
      <c r="H1348" s="102"/>
      <c r="I1348" s="102"/>
      <c r="J1348" s="102"/>
      <c r="K1348" s="102"/>
      <c r="L1348" s="102"/>
      <c r="M1348" s="102"/>
      <c r="N1348" s="102"/>
      <c r="O1348" s="102"/>
      <c r="P1348" s="102"/>
      <c r="Q1348" s="102"/>
      <c r="R1348" s="102"/>
    </row>
    <row r="1349" spans="1:18" ht="35.1" customHeight="1" x14ac:dyDescent="0.2">
      <c r="A1349" s="99"/>
      <c r="B1349" s="99"/>
      <c r="C1349" s="102"/>
      <c r="D1349" s="102"/>
      <c r="E1349" s="102"/>
      <c r="F1349" s="102"/>
      <c r="G1349" s="102"/>
      <c r="H1349" s="102"/>
      <c r="I1349" s="102"/>
      <c r="J1349" s="102"/>
      <c r="K1349" s="102"/>
      <c r="L1349" s="102"/>
      <c r="M1349" s="102"/>
      <c r="N1349" s="102"/>
      <c r="O1349" s="102"/>
      <c r="P1349" s="102"/>
      <c r="Q1349" s="102"/>
      <c r="R1349" s="102"/>
    </row>
    <row r="1350" spans="1:18" ht="35.1" customHeight="1" x14ac:dyDescent="0.2">
      <c r="A1350" s="99"/>
      <c r="B1350" s="99"/>
      <c r="C1350" s="102"/>
      <c r="D1350" s="102"/>
      <c r="E1350" s="102"/>
      <c r="F1350" s="102"/>
      <c r="G1350" s="102"/>
      <c r="H1350" s="102"/>
      <c r="I1350" s="102"/>
      <c r="J1350" s="102"/>
      <c r="K1350" s="102"/>
      <c r="L1350" s="102"/>
      <c r="M1350" s="102"/>
      <c r="N1350" s="102"/>
      <c r="O1350" s="102"/>
      <c r="P1350" s="102"/>
      <c r="Q1350" s="102"/>
      <c r="R1350" s="102"/>
    </row>
    <row r="1351" spans="1:18" ht="35.1" customHeight="1" x14ac:dyDescent="0.2">
      <c r="A1351" s="99"/>
      <c r="B1351" s="99"/>
      <c r="C1351" s="102"/>
      <c r="D1351" s="102"/>
      <c r="E1351" s="102"/>
      <c r="F1351" s="102"/>
      <c r="G1351" s="102"/>
      <c r="H1351" s="102"/>
      <c r="I1351" s="102"/>
      <c r="J1351" s="102"/>
      <c r="K1351" s="102"/>
      <c r="L1351" s="102"/>
      <c r="M1351" s="102"/>
      <c r="N1351" s="102"/>
      <c r="O1351" s="102"/>
      <c r="P1351" s="102"/>
      <c r="Q1351" s="102"/>
      <c r="R1351" s="102"/>
    </row>
    <row r="1352" spans="1:18" ht="35.1" customHeight="1" x14ac:dyDescent="0.2">
      <c r="A1352" s="99"/>
      <c r="B1352" s="99"/>
      <c r="C1352" s="102"/>
      <c r="D1352" s="102"/>
      <c r="E1352" s="102"/>
      <c r="F1352" s="102"/>
      <c r="G1352" s="102"/>
      <c r="H1352" s="102"/>
      <c r="I1352" s="102"/>
      <c r="J1352" s="102"/>
      <c r="K1352" s="102"/>
      <c r="L1352" s="102"/>
      <c r="M1352" s="102"/>
      <c r="N1352" s="102"/>
      <c r="O1352" s="102"/>
      <c r="P1352" s="102"/>
      <c r="Q1352" s="102"/>
      <c r="R1352" s="102"/>
    </row>
    <row r="1353" spans="1:18" ht="35.1" customHeight="1" x14ac:dyDescent="0.2">
      <c r="A1353" s="99"/>
      <c r="B1353" s="99"/>
      <c r="C1353" s="102"/>
      <c r="D1353" s="102"/>
      <c r="E1353" s="102"/>
      <c r="F1353" s="102"/>
      <c r="G1353" s="102"/>
      <c r="H1353" s="102"/>
      <c r="I1353" s="102"/>
      <c r="J1353" s="102"/>
      <c r="K1353" s="102"/>
      <c r="L1353" s="102"/>
      <c r="M1353" s="102"/>
      <c r="N1353" s="102"/>
      <c r="O1353" s="102"/>
      <c r="P1353" s="102"/>
      <c r="Q1353" s="102"/>
      <c r="R1353" s="102"/>
    </row>
    <row r="1354" spans="1:18" ht="35.1" customHeight="1" x14ac:dyDescent="0.2">
      <c r="A1354" s="99"/>
      <c r="B1354" s="99"/>
      <c r="C1354" s="102"/>
      <c r="D1354" s="102"/>
      <c r="E1354" s="102"/>
      <c r="F1354" s="102"/>
      <c r="G1354" s="102"/>
      <c r="H1354" s="102"/>
      <c r="I1354" s="102"/>
      <c r="J1354" s="102"/>
      <c r="K1354" s="102"/>
      <c r="L1354" s="102"/>
      <c r="M1354" s="102"/>
      <c r="N1354" s="102"/>
      <c r="O1354" s="102"/>
      <c r="P1354" s="102"/>
      <c r="Q1354" s="102"/>
      <c r="R1354" s="102"/>
    </row>
    <row r="1355" spans="1:18" ht="35.1" customHeight="1" x14ac:dyDescent="0.2">
      <c r="A1355" s="99"/>
      <c r="B1355" s="99"/>
      <c r="C1355" s="102"/>
      <c r="D1355" s="102"/>
      <c r="E1355" s="102"/>
      <c r="F1355" s="102"/>
      <c r="G1355" s="102"/>
      <c r="H1355" s="102"/>
      <c r="I1355" s="102"/>
      <c r="J1355" s="102"/>
      <c r="K1355" s="102"/>
      <c r="L1355" s="102"/>
      <c r="M1355" s="102"/>
      <c r="N1355" s="102"/>
      <c r="O1355" s="102"/>
      <c r="P1355" s="102"/>
      <c r="Q1355" s="102"/>
      <c r="R1355" s="102"/>
    </row>
    <row r="1356" spans="1:18" ht="35.1" customHeight="1" x14ac:dyDescent="0.2">
      <c r="A1356" s="99"/>
      <c r="B1356" s="99"/>
      <c r="C1356" s="102"/>
      <c r="D1356" s="102"/>
      <c r="E1356" s="102"/>
      <c r="F1356" s="102"/>
      <c r="G1356" s="102"/>
      <c r="H1356" s="102"/>
      <c r="I1356" s="102"/>
      <c r="J1356" s="102"/>
      <c r="K1356" s="102"/>
      <c r="L1356" s="102"/>
      <c r="M1356" s="102"/>
      <c r="N1356" s="102"/>
      <c r="O1356" s="102"/>
      <c r="P1356" s="102"/>
      <c r="Q1356" s="102"/>
      <c r="R1356" s="102"/>
    </row>
    <row r="1357" spans="1:18" ht="35.1" customHeight="1" x14ac:dyDescent="0.2">
      <c r="A1357" s="99"/>
      <c r="B1357" s="99"/>
      <c r="C1357" s="102"/>
      <c r="D1357" s="102"/>
      <c r="E1357" s="102"/>
      <c r="F1357" s="102"/>
      <c r="G1357" s="102"/>
      <c r="H1357" s="102"/>
      <c r="I1357" s="102"/>
      <c r="J1357" s="102"/>
      <c r="K1357" s="102"/>
      <c r="L1357" s="102"/>
      <c r="M1357" s="102"/>
      <c r="N1357" s="102"/>
      <c r="O1357" s="102"/>
      <c r="P1357" s="102"/>
      <c r="Q1357" s="102"/>
      <c r="R1357" s="102"/>
    </row>
    <row r="1358" spans="1:18" ht="35.1" customHeight="1" x14ac:dyDescent="0.2">
      <c r="A1358" s="99"/>
      <c r="B1358" s="99"/>
      <c r="C1358" s="102"/>
      <c r="D1358" s="102"/>
      <c r="E1358" s="102"/>
      <c r="F1358" s="102"/>
      <c r="G1358" s="102"/>
      <c r="H1358" s="102"/>
      <c r="I1358" s="102"/>
      <c r="J1358" s="102"/>
      <c r="K1358" s="102"/>
      <c r="L1358" s="102"/>
      <c r="M1358" s="102"/>
      <c r="N1358" s="102"/>
      <c r="O1358" s="102"/>
      <c r="P1358" s="102"/>
      <c r="Q1358" s="102"/>
      <c r="R1358" s="102"/>
    </row>
    <row r="1359" spans="1:18" ht="35.1" customHeight="1" x14ac:dyDescent="0.2">
      <c r="A1359" s="99"/>
      <c r="B1359" s="99"/>
      <c r="C1359" s="102"/>
      <c r="D1359" s="102"/>
      <c r="E1359" s="102"/>
      <c r="F1359" s="102"/>
      <c r="G1359" s="102"/>
      <c r="H1359" s="102"/>
      <c r="I1359" s="102"/>
      <c r="J1359" s="102"/>
      <c r="K1359" s="102"/>
      <c r="L1359" s="102"/>
      <c r="M1359" s="102"/>
      <c r="N1359" s="102"/>
      <c r="O1359" s="102"/>
      <c r="P1359" s="102"/>
      <c r="Q1359" s="102"/>
      <c r="R1359" s="102"/>
    </row>
    <row r="1360" spans="1:18" ht="35.1" customHeight="1" x14ac:dyDescent="0.2">
      <c r="A1360" s="99"/>
      <c r="B1360" s="99"/>
      <c r="C1360" s="102"/>
      <c r="D1360" s="102"/>
      <c r="E1360" s="102"/>
      <c r="F1360" s="102"/>
      <c r="G1360" s="102"/>
      <c r="H1360" s="102"/>
      <c r="I1360" s="102"/>
      <c r="J1360" s="102"/>
      <c r="K1360" s="102"/>
      <c r="L1360" s="102"/>
      <c r="M1360" s="102"/>
      <c r="N1360" s="102"/>
      <c r="O1360" s="102"/>
      <c r="P1360" s="102"/>
      <c r="Q1360" s="102"/>
      <c r="R1360" s="102"/>
    </row>
    <row r="1361" spans="1:18" ht="35.1" customHeight="1" x14ac:dyDescent="0.2">
      <c r="A1361" s="99"/>
      <c r="B1361" s="99"/>
      <c r="C1361" s="102"/>
      <c r="D1361" s="102"/>
      <c r="E1361" s="102"/>
      <c r="F1361" s="102"/>
      <c r="G1361" s="102"/>
      <c r="H1361" s="102"/>
      <c r="I1361" s="102"/>
      <c r="J1361" s="102"/>
      <c r="K1361" s="102"/>
      <c r="L1361" s="102"/>
      <c r="M1361" s="102"/>
      <c r="N1361" s="102"/>
      <c r="O1361" s="102"/>
      <c r="P1361" s="102"/>
      <c r="Q1361" s="102"/>
      <c r="R1361" s="102"/>
    </row>
    <row r="1362" spans="1:18" ht="35.1" customHeight="1" x14ac:dyDescent="0.2">
      <c r="A1362" s="99"/>
      <c r="B1362" s="99"/>
      <c r="C1362" s="102"/>
      <c r="D1362" s="102"/>
      <c r="E1362" s="102"/>
      <c r="F1362" s="102"/>
      <c r="G1362" s="102"/>
      <c r="H1362" s="102"/>
      <c r="I1362" s="102"/>
      <c r="J1362" s="102"/>
      <c r="K1362" s="102"/>
      <c r="L1362" s="102"/>
      <c r="M1362" s="102"/>
      <c r="N1362" s="102"/>
      <c r="O1362" s="102"/>
      <c r="P1362" s="102"/>
      <c r="Q1362" s="102"/>
      <c r="R1362" s="102"/>
    </row>
    <row r="1363" spans="1:18" ht="35.1" customHeight="1" x14ac:dyDescent="0.2">
      <c r="A1363" s="99"/>
      <c r="B1363" s="99"/>
      <c r="C1363" s="102"/>
      <c r="D1363" s="102"/>
      <c r="E1363" s="102"/>
      <c r="F1363" s="102"/>
      <c r="G1363" s="102"/>
      <c r="H1363" s="102"/>
      <c r="I1363" s="102"/>
      <c r="J1363" s="102"/>
      <c r="K1363" s="102"/>
      <c r="L1363" s="102"/>
      <c r="M1363" s="102"/>
      <c r="N1363" s="102"/>
      <c r="O1363" s="102"/>
      <c r="P1363" s="102"/>
      <c r="Q1363" s="102"/>
      <c r="R1363" s="102"/>
    </row>
    <row r="1364" spans="1:18" ht="35.1" customHeight="1" x14ac:dyDescent="0.2">
      <c r="A1364" s="99"/>
      <c r="B1364" s="99"/>
      <c r="C1364" s="102"/>
      <c r="D1364" s="102"/>
      <c r="E1364" s="102"/>
      <c r="F1364" s="102"/>
      <c r="G1364" s="102"/>
      <c r="H1364" s="102"/>
      <c r="I1364" s="102"/>
      <c r="J1364" s="102"/>
      <c r="K1364" s="102"/>
      <c r="L1364" s="102"/>
      <c r="M1364" s="102"/>
      <c r="N1364" s="102"/>
      <c r="O1364" s="102"/>
      <c r="P1364" s="102"/>
      <c r="Q1364" s="102"/>
      <c r="R1364" s="102"/>
    </row>
    <row r="1365" spans="1:18" ht="35.1" customHeight="1" x14ac:dyDescent="0.2">
      <c r="A1365" s="99"/>
      <c r="B1365" s="99"/>
      <c r="C1365" s="102"/>
      <c r="D1365" s="102"/>
      <c r="E1365" s="102"/>
      <c r="F1365" s="102"/>
      <c r="G1365" s="102"/>
      <c r="H1365" s="102"/>
      <c r="I1365" s="102"/>
      <c r="J1365" s="102"/>
      <c r="K1365" s="102"/>
      <c r="L1365" s="102"/>
      <c r="M1365" s="102"/>
      <c r="N1365" s="102"/>
      <c r="O1365" s="102"/>
      <c r="P1365" s="102"/>
      <c r="Q1365" s="102"/>
      <c r="R1365" s="102"/>
    </row>
    <row r="1366" spans="1:18" ht="35.1" customHeight="1" x14ac:dyDescent="0.2">
      <c r="A1366" s="99"/>
      <c r="B1366" s="99"/>
      <c r="C1366" s="102"/>
      <c r="D1366" s="102"/>
      <c r="E1366" s="102"/>
      <c r="F1366" s="102"/>
      <c r="G1366" s="102"/>
      <c r="H1366" s="102"/>
      <c r="I1366" s="102"/>
      <c r="J1366" s="102"/>
      <c r="K1366" s="102"/>
      <c r="L1366" s="102"/>
      <c r="M1366" s="102"/>
      <c r="N1366" s="102"/>
      <c r="O1366" s="102"/>
      <c r="P1366" s="102"/>
      <c r="Q1366" s="102"/>
      <c r="R1366" s="102"/>
    </row>
    <row r="1367" spans="1:18" ht="35.1" customHeight="1" x14ac:dyDescent="0.2">
      <c r="A1367" s="99"/>
      <c r="B1367" s="99"/>
      <c r="C1367" s="102"/>
      <c r="D1367" s="102"/>
      <c r="E1367" s="102"/>
      <c r="F1367" s="102"/>
      <c r="G1367" s="102"/>
      <c r="H1367" s="102"/>
      <c r="I1367" s="102"/>
      <c r="J1367" s="102"/>
      <c r="K1367" s="102"/>
      <c r="L1367" s="102"/>
      <c r="M1367" s="102"/>
      <c r="N1367" s="102"/>
      <c r="O1367" s="102"/>
      <c r="P1367" s="102"/>
      <c r="Q1367" s="102"/>
      <c r="R1367" s="102"/>
    </row>
    <row r="1368" spans="1:18" ht="35.1" customHeight="1" x14ac:dyDescent="0.2">
      <c r="A1368" s="99"/>
      <c r="B1368" s="99"/>
      <c r="C1368" s="102"/>
      <c r="D1368" s="102"/>
      <c r="E1368" s="102"/>
      <c r="F1368" s="102"/>
      <c r="G1368" s="102"/>
      <c r="H1368" s="102"/>
      <c r="I1368" s="102"/>
      <c r="J1368" s="102"/>
      <c r="K1368" s="102"/>
      <c r="L1368" s="102"/>
      <c r="M1368" s="102"/>
      <c r="N1368" s="102"/>
      <c r="O1368" s="102"/>
      <c r="P1368" s="102"/>
      <c r="Q1368" s="102"/>
      <c r="R1368" s="102"/>
    </row>
    <row r="1369" spans="1:18" ht="35.1" customHeight="1" x14ac:dyDescent="0.2">
      <c r="A1369" s="99"/>
      <c r="B1369" s="99"/>
      <c r="C1369" s="102"/>
      <c r="D1369" s="102"/>
      <c r="E1369" s="102"/>
      <c r="F1369" s="102"/>
      <c r="G1369" s="102"/>
      <c r="H1369" s="102"/>
      <c r="I1369" s="102"/>
      <c r="J1369" s="102"/>
      <c r="K1369" s="102"/>
      <c r="L1369" s="102"/>
      <c r="M1369" s="102"/>
      <c r="N1369" s="102"/>
      <c r="O1369" s="102"/>
      <c r="P1369" s="102"/>
      <c r="Q1369" s="102"/>
      <c r="R1369" s="102"/>
    </row>
    <row r="1370" spans="1:18" ht="35.1" customHeight="1" x14ac:dyDescent="0.2">
      <c r="A1370" s="99"/>
      <c r="B1370" s="99"/>
      <c r="C1370" s="102"/>
      <c r="D1370" s="102"/>
      <c r="E1370" s="102"/>
      <c r="F1370" s="102"/>
      <c r="G1370" s="102"/>
      <c r="H1370" s="102"/>
      <c r="I1370" s="102"/>
      <c r="J1370" s="102"/>
      <c r="K1370" s="102"/>
      <c r="L1370" s="102"/>
      <c r="M1370" s="102"/>
      <c r="N1370" s="102"/>
      <c r="O1370" s="102"/>
      <c r="P1370" s="102"/>
      <c r="Q1370" s="102"/>
      <c r="R1370" s="102"/>
    </row>
    <row r="1371" spans="1:18" ht="35.1" customHeight="1" x14ac:dyDescent="0.2">
      <c r="A1371" s="99"/>
      <c r="B1371" s="99"/>
      <c r="C1371" s="102"/>
      <c r="D1371" s="102"/>
      <c r="E1371" s="102"/>
      <c r="F1371" s="102"/>
      <c r="G1371" s="102"/>
      <c r="H1371" s="102"/>
      <c r="I1371" s="102"/>
      <c r="J1371" s="102"/>
      <c r="K1371" s="102"/>
      <c r="L1371" s="102"/>
      <c r="M1371" s="102"/>
      <c r="N1371" s="102"/>
      <c r="O1371" s="102"/>
      <c r="P1371" s="102"/>
      <c r="Q1371" s="102"/>
      <c r="R1371" s="102"/>
    </row>
    <row r="1372" spans="1:18" ht="35.1" customHeight="1" x14ac:dyDescent="0.2">
      <c r="A1372" s="99"/>
      <c r="B1372" s="99"/>
      <c r="C1372" s="102"/>
      <c r="D1372" s="102"/>
      <c r="E1372" s="102"/>
      <c r="F1372" s="102"/>
      <c r="G1372" s="102"/>
      <c r="H1372" s="102"/>
      <c r="I1372" s="102"/>
      <c r="J1372" s="102"/>
      <c r="K1372" s="102"/>
      <c r="L1372" s="102"/>
      <c r="M1372" s="102"/>
      <c r="N1372" s="102"/>
      <c r="O1372" s="102"/>
      <c r="P1372" s="102"/>
      <c r="Q1372" s="102"/>
      <c r="R1372" s="102"/>
    </row>
    <row r="1373" spans="1:18" ht="35.1" customHeight="1" x14ac:dyDescent="0.2">
      <c r="A1373" s="99"/>
      <c r="B1373" s="99"/>
      <c r="C1373" s="102"/>
      <c r="D1373" s="102"/>
      <c r="E1373" s="102"/>
      <c r="F1373" s="102"/>
      <c r="G1373" s="102"/>
      <c r="H1373" s="102"/>
      <c r="I1373" s="102"/>
      <c r="J1373" s="102"/>
      <c r="K1373" s="102"/>
      <c r="L1373" s="102"/>
      <c r="M1373" s="102"/>
      <c r="N1373" s="102"/>
      <c r="O1373" s="102"/>
      <c r="P1373" s="102"/>
      <c r="Q1373" s="102"/>
      <c r="R1373" s="102"/>
    </row>
    <row r="1374" spans="1:18" ht="35.1" customHeight="1" x14ac:dyDescent="0.2">
      <c r="A1374" s="99"/>
      <c r="B1374" s="99"/>
      <c r="C1374" s="102"/>
      <c r="D1374" s="102"/>
      <c r="E1374" s="102"/>
      <c r="F1374" s="102"/>
      <c r="G1374" s="102"/>
      <c r="H1374" s="102"/>
      <c r="I1374" s="102"/>
      <c r="J1374" s="102"/>
      <c r="K1374" s="102"/>
      <c r="L1374" s="102"/>
      <c r="M1374" s="102"/>
      <c r="N1374" s="102"/>
      <c r="O1374" s="102"/>
      <c r="P1374" s="102"/>
      <c r="Q1374" s="102"/>
      <c r="R1374" s="102"/>
    </row>
    <row r="1375" spans="1:18" ht="35.1" customHeight="1" x14ac:dyDescent="0.2">
      <c r="A1375" s="99"/>
      <c r="B1375" s="99"/>
      <c r="C1375" s="102"/>
      <c r="D1375" s="102"/>
      <c r="E1375" s="102"/>
      <c r="F1375" s="102"/>
      <c r="G1375" s="102"/>
      <c r="H1375" s="102"/>
      <c r="I1375" s="102"/>
      <c r="J1375" s="102"/>
      <c r="K1375" s="102"/>
      <c r="L1375" s="102"/>
      <c r="M1375" s="102"/>
      <c r="N1375" s="102"/>
      <c r="O1375" s="102"/>
      <c r="P1375" s="102"/>
      <c r="Q1375" s="102"/>
      <c r="R1375" s="102"/>
    </row>
    <row r="1376" spans="1:18" ht="35.1" customHeight="1" x14ac:dyDescent="0.2">
      <c r="A1376" s="99"/>
      <c r="B1376" s="99"/>
      <c r="C1376" s="102"/>
      <c r="D1376" s="102"/>
      <c r="E1376" s="102"/>
      <c r="F1376" s="102"/>
      <c r="G1376" s="102"/>
      <c r="H1376" s="102"/>
      <c r="I1376" s="102"/>
      <c r="J1376" s="102"/>
      <c r="K1376" s="102"/>
      <c r="L1376" s="102"/>
      <c r="M1376" s="102"/>
      <c r="N1376" s="102"/>
      <c r="O1376" s="102"/>
      <c r="P1376" s="102"/>
      <c r="Q1376" s="102"/>
      <c r="R1376" s="102"/>
    </row>
    <row r="1377" spans="1:18" ht="35.1" customHeight="1" x14ac:dyDescent="0.2">
      <c r="A1377" s="99"/>
      <c r="B1377" s="99"/>
      <c r="C1377" s="102"/>
      <c r="D1377" s="102"/>
      <c r="E1377" s="102"/>
      <c r="F1377" s="102"/>
      <c r="G1377" s="102"/>
      <c r="H1377" s="102"/>
      <c r="I1377" s="102"/>
      <c r="J1377" s="102"/>
      <c r="K1377" s="102"/>
      <c r="L1377" s="102"/>
      <c r="M1377" s="102"/>
      <c r="N1377" s="102"/>
      <c r="O1377" s="102"/>
      <c r="P1377" s="102"/>
      <c r="Q1377" s="102"/>
      <c r="R1377" s="102"/>
    </row>
    <row r="1378" spans="1:18" ht="35.1" customHeight="1" x14ac:dyDescent="0.2">
      <c r="A1378" s="99"/>
      <c r="B1378" s="99"/>
      <c r="C1378" s="102"/>
      <c r="D1378" s="102"/>
      <c r="E1378" s="102"/>
      <c r="F1378" s="102"/>
      <c r="G1378" s="102"/>
      <c r="H1378" s="102"/>
      <c r="I1378" s="102"/>
      <c r="J1378" s="102"/>
      <c r="K1378" s="102"/>
      <c r="L1378" s="102"/>
      <c r="M1378" s="102"/>
      <c r="N1378" s="102"/>
      <c r="O1378" s="102"/>
      <c r="P1378" s="102"/>
      <c r="Q1378" s="102"/>
      <c r="R1378" s="102"/>
    </row>
    <row r="1379" spans="1:18" ht="35.1" customHeight="1" x14ac:dyDescent="0.2">
      <c r="A1379" s="99"/>
      <c r="B1379" s="99"/>
      <c r="C1379" s="102"/>
      <c r="D1379" s="102"/>
      <c r="E1379" s="102"/>
      <c r="F1379" s="102"/>
      <c r="G1379" s="102"/>
      <c r="H1379" s="102"/>
      <c r="I1379" s="102"/>
      <c r="J1379" s="102"/>
      <c r="K1379" s="102"/>
      <c r="L1379" s="102"/>
      <c r="M1379" s="102"/>
      <c r="N1379" s="102"/>
      <c r="O1379" s="102"/>
      <c r="P1379" s="102"/>
      <c r="Q1379" s="102"/>
      <c r="R1379" s="102"/>
    </row>
    <row r="1380" spans="1:18" ht="35.1" customHeight="1" x14ac:dyDescent="0.2">
      <c r="A1380" s="99"/>
      <c r="B1380" s="99"/>
      <c r="C1380" s="102"/>
      <c r="D1380" s="102"/>
      <c r="E1380" s="102"/>
      <c r="F1380" s="102"/>
      <c r="G1380" s="102"/>
      <c r="H1380" s="102"/>
      <c r="I1380" s="102"/>
      <c r="J1380" s="102"/>
      <c r="K1380" s="102"/>
      <c r="L1380" s="102"/>
      <c r="M1380" s="102"/>
      <c r="N1380" s="102"/>
      <c r="O1380" s="102"/>
      <c r="P1380" s="102"/>
      <c r="Q1380" s="102"/>
      <c r="R1380" s="102"/>
    </row>
    <row r="1381" spans="1:18" ht="35.1" customHeight="1" x14ac:dyDescent="0.2">
      <c r="A1381" s="99"/>
      <c r="B1381" s="99"/>
      <c r="C1381" s="102"/>
      <c r="D1381" s="102"/>
      <c r="E1381" s="102"/>
      <c r="F1381" s="102"/>
      <c r="G1381" s="102"/>
      <c r="H1381" s="102"/>
      <c r="I1381" s="102"/>
      <c r="J1381" s="102"/>
      <c r="K1381" s="102"/>
      <c r="L1381" s="102"/>
      <c r="M1381" s="102"/>
      <c r="N1381" s="102"/>
      <c r="O1381" s="102"/>
      <c r="P1381" s="102"/>
      <c r="Q1381" s="102"/>
      <c r="R1381" s="102"/>
    </row>
    <row r="1382" spans="1:18" ht="35.1" customHeight="1" x14ac:dyDescent="0.2">
      <c r="A1382" s="99"/>
      <c r="B1382" s="99"/>
      <c r="C1382" s="102"/>
      <c r="D1382" s="102"/>
      <c r="E1382" s="102"/>
      <c r="F1382" s="102"/>
      <c r="G1382" s="102"/>
      <c r="H1382" s="102"/>
      <c r="I1382" s="102"/>
      <c r="J1382" s="102"/>
      <c r="K1382" s="102"/>
      <c r="L1382" s="102"/>
      <c r="M1382" s="102"/>
      <c r="N1382" s="102"/>
      <c r="O1382" s="102"/>
      <c r="P1382" s="102"/>
      <c r="Q1382" s="102"/>
      <c r="R1382" s="102"/>
    </row>
    <row r="1383" spans="1:18" ht="35.1" customHeight="1" x14ac:dyDescent="0.2">
      <c r="A1383" s="99"/>
      <c r="B1383" s="99"/>
      <c r="C1383" s="102"/>
      <c r="D1383" s="102"/>
      <c r="E1383" s="102"/>
      <c r="F1383" s="102"/>
      <c r="G1383" s="102"/>
      <c r="H1383" s="102"/>
      <c r="I1383" s="102"/>
      <c r="J1383" s="102"/>
      <c r="K1383" s="102"/>
      <c r="L1383" s="102"/>
      <c r="M1383" s="102"/>
      <c r="N1383" s="102"/>
      <c r="O1383" s="102"/>
      <c r="P1383" s="102"/>
      <c r="Q1383" s="102"/>
      <c r="R1383" s="102"/>
    </row>
    <row r="1384" spans="1:18" ht="35.1" customHeight="1" x14ac:dyDescent="0.2">
      <c r="A1384" s="99"/>
      <c r="B1384" s="99"/>
      <c r="C1384" s="102"/>
      <c r="D1384" s="102"/>
      <c r="E1384" s="102"/>
      <c r="F1384" s="102"/>
      <c r="G1384" s="102"/>
      <c r="H1384" s="102"/>
      <c r="I1384" s="102"/>
      <c r="J1384" s="102"/>
      <c r="K1384" s="102"/>
      <c r="L1384" s="102"/>
      <c r="M1384" s="102"/>
      <c r="N1384" s="102"/>
      <c r="O1384" s="102"/>
      <c r="P1384" s="102"/>
      <c r="Q1384" s="102"/>
      <c r="R1384" s="102"/>
    </row>
    <row r="1385" spans="1:18" ht="35.1" customHeight="1" x14ac:dyDescent="0.2">
      <c r="A1385" s="99"/>
      <c r="B1385" s="99"/>
      <c r="C1385" s="102"/>
      <c r="D1385" s="102"/>
      <c r="E1385" s="102"/>
      <c r="F1385" s="102"/>
      <c r="G1385" s="102"/>
      <c r="H1385" s="102"/>
      <c r="I1385" s="102"/>
      <c r="J1385" s="102"/>
      <c r="K1385" s="102"/>
      <c r="L1385" s="102"/>
      <c r="M1385" s="102"/>
      <c r="N1385" s="102"/>
      <c r="O1385" s="102"/>
      <c r="P1385" s="102"/>
      <c r="Q1385" s="102"/>
      <c r="R1385" s="102"/>
    </row>
    <row r="1386" spans="1:18" ht="35.1" customHeight="1" x14ac:dyDescent="0.2">
      <c r="A1386" s="99"/>
      <c r="B1386" s="99"/>
      <c r="C1386" s="102"/>
      <c r="D1386" s="102"/>
      <c r="E1386" s="102"/>
      <c r="F1386" s="102"/>
      <c r="G1386" s="102"/>
      <c r="H1386" s="102"/>
      <c r="I1386" s="102"/>
      <c r="J1386" s="102"/>
      <c r="K1386" s="102"/>
      <c r="L1386" s="102"/>
      <c r="M1386" s="102"/>
      <c r="N1386" s="102"/>
      <c r="O1386" s="102"/>
      <c r="P1386" s="102"/>
      <c r="Q1386" s="102"/>
      <c r="R1386" s="102"/>
    </row>
    <row r="1387" spans="1:18" ht="35.1" customHeight="1" x14ac:dyDescent="0.2">
      <c r="A1387" s="99"/>
      <c r="B1387" s="99"/>
      <c r="C1387" s="102"/>
      <c r="D1387" s="102"/>
      <c r="E1387" s="102"/>
      <c r="F1387" s="102"/>
      <c r="G1387" s="102"/>
      <c r="H1387" s="102"/>
      <c r="I1387" s="102"/>
      <c r="J1387" s="102"/>
      <c r="K1387" s="102"/>
      <c r="L1387" s="102"/>
      <c r="M1387" s="102"/>
      <c r="N1387" s="102"/>
      <c r="O1387" s="102"/>
      <c r="P1387" s="102"/>
      <c r="Q1387" s="102"/>
      <c r="R1387" s="102"/>
    </row>
    <row r="1388" spans="1:18" ht="35.1" customHeight="1" x14ac:dyDescent="0.2">
      <c r="A1388" s="99"/>
      <c r="B1388" s="99"/>
      <c r="C1388" s="102"/>
      <c r="D1388" s="102"/>
      <c r="E1388" s="102"/>
      <c r="F1388" s="102"/>
      <c r="G1388" s="102"/>
      <c r="H1388" s="102"/>
      <c r="I1388" s="102"/>
      <c r="J1388" s="102"/>
      <c r="K1388" s="102"/>
      <c r="L1388" s="102"/>
      <c r="M1388" s="102"/>
      <c r="N1388" s="102"/>
      <c r="O1388" s="102"/>
      <c r="P1388" s="102"/>
      <c r="Q1388" s="102"/>
      <c r="R1388" s="102"/>
    </row>
    <row r="1389" spans="1:18" ht="35.1" customHeight="1" x14ac:dyDescent="0.2">
      <c r="A1389" s="99"/>
      <c r="B1389" s="99"/>
      <c r="C1389" s="102"/>
      <c r="D1389" s="102"/>
      <c r="E1389" s="102"/>
      <c r="F1389" s="102"/>
      <c r="G1389" s="102"/>
      <c r="H1389" s="102"/>
      <c r="I1389" s="102"/>
      <c r="J1389" s="102"/>
      <c r="K1389" s="102"/>
      <c r="L1389" s="102"/>
      <c r="M1389" s="102"/>
      <c r="N1389" s="102"/>
      <c r="O1389" s="102"/>
      <c r="P1389" s="102"/>
      <c r="Q1389" s="102"/>
      <c r="R1389" s="102"/>
    </row>
    <row r="1390" spans="1:18" ht="35.1" customHeight="1" x14ac:dyDescent="0.2">
      <c r="A1390" s="99"/>
      <c r="B1390" s="99"/>
      <c r="C1390" s="102"/>
      <c r="D1390" s="102"/>
      <c r="E1390" s="102"/>
      <c r="F1390" s="102"/>
      <c r="G1390" s="102"/>
      <c r="H1390" s="102"/>
      <c r="I1390" s="102"/>
      <c r="J1390" s="102"/>
      <c r="K1390" s="102"/>
      <c r="L1390" s="102"/>
      <c r="M1390" s="102"/>
      <c r="N1390" s="102"/>
      <c r="O1390" s="102"/>
      <c r="P1390" s="102"/>
      <c r="Q1390" s="102"/>
      <c r="R1390" s="102"/>
    </row>
    <row r="1391" spans="1:18" ht="35.1" customHeight="1" x14ac:dyDescent="0.2">
      <c r="A1391" s="99"/>
      <c r="B1391" s="99"/>
      <c r="C1391" s="102"/>
      <c r="D1391" s="102"/>
      <c r="E1391" s="102"/>
      <c r="F1391" s="102"/>
      <c r="G1391" s="102"/>
      <c r="H1391" s="102"/>
      <c r="I1391" s="102"/>
      <c r="J1391" s="102"/>
      <c r="K1391" s="102"/>
      <c r="L1391" s="102"/>
      <c r="M1391" s="102"/>
      <c r="N1391" s="102"/>
      <c r="O1391" s="102"/>
      <c r="P1391" s="102"/>
      <c r="Q1391" s="102"/>
      <c r="R1391" s="102"/>
    </row>
    <row r="1392" spans="1:18" ht="35.1" customHeight="1" x14ac:dyDescent="0.2">
      <c r="A1392" s="99"/>
      <c r="B1392" s="99"/>
      <c r="C1392" s="102"/>
      <c r="D1392" s="102"/>
      <c r="E1392" s="102"/>
      <c r="F1392" s="102"/>
      <c r="G1392" s="102"/>
      <c r="H1392" s="102"/>
      <c r="I1392" s="102"/>
      <c r="J1392" s="102"/>
      <c r="K1392" s="102"/>
      <c r="L1392" s="102"/>
      <c r="M1392" s="102"/>
      <c r="N1392" s="102"/>
      <c r="O1392" s="102"/>
      <c r="P1392" s="102"/>
      <c r="Q1392" s="102"/>
      <c r="R1392" s="102"/>
    </row>
    <row r="1393" spans="1:18" ht="35.1" customHeight="1" x14ac:dyDescent="0.2">
      <c r="A1393" s="99"/>
      <c r="B1393" s="99"/>
      <c r="C1393" s="102"/>
      <c r="D1393" s="102"/>
      <c r="E1393" s="102"/>
      <c r="F1393" s="102"/>
      <c r="G1393" s="102"/>
      <c r="H1393" s="102"/>
      <c r="I1393" s="102"/>
      <c r="J1393" s="102"/>
      <c r="K1393" s="102"/>
      <c r="L1393" s="102"/>
      <c r="M1393" s="102"/>
      <c r="N1393" s="102"/>
      <c r="O1393" s="102"/>
      <c r="P1393" s="102"/>
      <c r="Q1393" s="102"/>
      <c r="R1393" s="102"/>
    </row>
    <row r="1394" spans="1:18" ht="35.1" customHeight="1" x14ac:dyDescent="0.2">
      <c r="A1394" s="99"/>
      <c r="B1394" s="99"/>
      <c r="C1394" s="102"/>
      <c r="D1394" s="102"/>
      <c r="E1394" s="102"/>
      <c r="F1394" s="102"/>
      <c r="G1394" s="102"/>
      <c r="H1394" s="102"/>
      <c r="I1394" s="102"/>
      <c r="J1394" s="102"/>
      <c r="K1394" s="102"/>
      <c r="L1394" s="102"/>
      <c r="M1394" s="102"/>
      <c r="N1394" s="102"/>
      <c r="O1394" s="102"/>
      <c r="P1394" s="102"/>
      <c r="Q1394" s="102"/>
      <c r="R1394" s="102"/>
    </row>
    <row r="1395" spans="1:18" ht="35.1" customHeight="1" x14ac:dyDescent="0.2">
      <c r="A1395" s="99"/>
      <c r="B1395" s="99"/>
      <c r="C1395" s="102"/>
      <c r="D1395" s="102"/>
      <c r="E1395" s="102"/>
      <c r="F1395" s="102"/>
      <c r="G1395" s="102"/>
      <c r="H1395" s="102"/>
      <c r="I1395" s="102"/>
      <c r="J1395" s="102"/>
      <c r="K1395" s="102"/>
      <c r="L1395" s="102"/>
      <c r="M1395" s="102"/>
      <c r="N1395" s="102"/>
      <c r="O1395" s="102"/>
      <c r="P1395" s="102"/>
      <c r="Q1395" s="102"/>
      <c r="R1395" s="102"/>
    </row>
    <row r="1396" spans="1:18" ht="35.1" customHeight="1" x14ac:dyDescent="0.2">
      <c r="A1396" s="99"/>
      <c r="B1396" s="99"/>
      <c r="C1396" s="102"/>
      <c r="D1396" s="102"/>
      <c r="E1396" s="102"/>
      <c r="F1396" s="102"/>
      <c r="G1396" s="102"/>
      <c r="H1396" s="102"/>
      <c r="I1396" s="102"/>
      <c r="J1396" s="102"/>
      <c r="K1396" s="102"/>
      <c r="L1396" s="102"/>
      <c r="M1396" s="102"/>
      <c r="N1396" s="102"/>
      <c r="O1396" s="102"/>
      <c r="P1396" s="102"/>
      <c r="Q1396" s="102"/>
      <c r="R1396" s="102"/>
    </row>
    <row r="1397" spans="1:18" ht="35.1" customHeight="1" x14ac:dyDescent="0.2">
      <c r="A1397" s="99"/>
      <c r="B1397" s="99"/>
      <c r="C1397" s="102"/>
      <c r="D1397" s="102"/>
      <c r="E1397" s="102"/>
      <c r="F1397" s="102"/>
      <c r="G1397" s="102"/>
      <c r="H1397" s="102"/>
      <c r="I1397" s="102"/>
      <c r="J1397" s="102"/>
      <c r="K1397" s="102"/>
      <c r="L1397" s="102"/>
      <c r="M1397" s="102"/>
      <c r="N1397" s="102"/>
      <c r="O1397" s="102"/>
      <c r="P1397" s="102"/>
      <c r="Q1397" s="102"/>
      <c r="R1397" s="102"/>
    </row>
    <row r="1398" spans="1:18" ht="35.1" customHeight="1" x14ac:dyDescent="0.2">
      <c r="A1398" s="99"/>
      <c r="B1398" s="99"/>
      <c r="C1398" s="102"/>
      <c r="D1398" s="102"/>
      <c r="E1398" s="102"/>
      <c r="F1398" s="102"/>
      <c r="G1398" s="102"/>
      <c r="H1398" s="102"/>
      <c r="I1398" s="102"/>
      <c r="J1398" s="102"/>
      <c r="K1398" s="102"/>
      <c r="L1398" s="102"/>
      <c r="M1398" s="102"/>
      <c r="N1398" s="102"/>
      <c r="O1398" s="102"/>
      <c r="P1398" s="102"/>
      <c r="Q1398" s="102"/>
      <c r="R1398" s="102"/>
    </row>
    <row r="1399" spans="1:18" ht="35.1" customHeight="1" x14ac:dyDescent="0.2">
      <c r="A1399" s="99"/>
      <c r="B1399" s="99"/>
      <c r="C1399" s="102"/>
      <c r="D1399" s="102"/>
      <c r="E1399" s="102"/>
      <c r="F1399" s="102"/>
      <c r="G1399" s="102"/>
      <c r="H1399" s="102"/>
      <c r="I1399" s="102"/>
      <c r="J1399" s="102"/>
      <c r="K1399" s="102"/>
      <c r="L1399" s="102"/>
      <c r="M1399" s="102"/>
      <c r="N1399" s="102"/>
      <c r="O1399" s="102"/>
      <c r="P1399" s="102"/>
      <c r="Q1399" s="102"/>
      <c r="R1399" s="102"/>
    </row>
    <row r="1400" spans="1:18" ht="35.1" customHeight="1" x14ac:dyDescent="0.2">
      <c r="A1400" s="99"/>
      <c r="B1400" s="99"/>
      <c r="C1400" s="102"/>
      <c r="D1400" s="102"/>
      <c r="E1400" s="102"/>
      <c r="F1400" s="102"/>
      <c r="G1400" s="102"/>
      <c r="H1400" s="102"/>
      <c r="I1400" s="102"/>
      <c r="J1400" s="102"/>
      <c r="K1400" s="102"/>
      <c r="L1400" s="102"/>
      <c r="M1400" s="102"/>
      <c r="N1400" s="102"/>
      <c r="O1400" s="102"/>
      <c r="P1400" s="102"/>
      <c r="Q1400" s="102"/>
      <c r="R1400" s="102"/>
    </row>
    <row r="1401" spans="1:18" ht="35.1" customHeight="1" x14ac:dyDescent="0.2">
      <c r="A1401" s="99"/>
      <c r="B1401" s="99"/>
      <c r="C1401" s="102"/>
      <c r="D1401" s="102"/>
      <c r="E1401" s="102"/>
      <c r="F1401" s="102"/>
      <c r="G1401" s="102"/>
      <c r="H1401" s="102"/>
      <c r="I1401" s="102"/>
      <c r="J1401" s="102"/>
      <c r="K1401" s="102"/>
      <c r="L1401" s="102"/>
      <c r="M1401" s="102"/>
      <c r="N1401" s="102"/>
      <c r="O1401" s="102"/>
      <c r="P1401" s="102"/>
      <c r="Q1401" s="102"/>
      <c r="R1401" s="102"/>
    </row>
    <row r="1402" spans="1:18" ht="35.1" customHeight="1" x14ac:dyDescent="0.2">
      <c r="A1402" s="99"/>
      <c r="B1402" s="99"/>
      <c r="C1402" s="102"/>
      <c r="D1402" s="102"/>
      <c r="E1402" s="102"/>
      <c r="F1402" s="102"/>
      <c r="G1402" s="102"/>
      <c r="H1402" s="102"/>
      <c r="I1402" s="102"/>
      <c r="J1402" s="102"/>
      <c r="K1402" s="102"/>
      <c r="L1402" s="102"/>
      <c r="M1402" s="102"/>
      <c r="N1402" s="102"/>
      <c r="O1402" s="102"/>
      <c r="P1402" s="102"/>
      <c r="Q1402" s="102"/>
      <c r="R1402" s="102"/>
    </row>
    <row r="1403" spans="1:18" ht="35.1" customHeight="1" x14ac:dyDescent="0.2">
      <c r="A1403" s="99"/>
      <c r="B1403" s="99"/>
      <c r="C1403" s="102"/>
      <c r="D1403" s="102"/>
      <c r="E1403" s="102"/>
      <c r="F1403" s="102"/>
      <c r="G1403" s="102"/>
      <c r="H1403" s="102"/>
      <c r="I1403" s="102"/>
      <c r="J1403" s="102"/>
      <c r="K1403" s="102"/>
      <c r="L1403" s="102"/>
      <c r="M1403" s="102"/>
      <c r="N1403" s="102"/>
      <c r="O1403" s="102"/>
      <c r="P1403" s="102"/>
      <c r="Q1403" s="102"/>
      <c r="R1403" s="102"/>
    </row>
    <row r="1404" spans="1:18" ht="35.1" customHeight="1" x14ac:dyDescent="0.2">
      <c r="A1404" s="99"/>
      <c r="B1404" s="99"/>
      <c r="C1404" s="102"/>
      <c r="D1404" s="102"/>
      <c r="E1404" s="102"/>
      <c r="F1404" s="102"/>
      <c r="G1404" s="102"/>
      <c r="H1404" s="102"/>
      <c r="I1404" s="102"/>
      <c r="J1404" s="102"/>
      <c r="K1404" s="102"/>
      <c r="L1404" s="102"/>
      <c r="M1404" s="102"/>
      <c r="N1404" s="102"/>
      <c r="O1404" s="102"/>
      <c r="P1404" s="102"/>
      <c r="Q1404" s="102"/>
      <c r="R1404" s="102"/>
    </row>
    <row r="1405" spans="1:18" ht="35.1" customHeight="1" x14ac:dyDescent="0.2">
      <c r="A1405" s="99"/>
      <c r="B1405" s="99"/>
      <c r="C1405" s="102"/>
      <c r="D1405" s="102"/>
      <c r="E1405" s="102"/>
      <c r="F1405" s="102"/>
      <c r="G1405" s="102"/>
      <c r="H1405" s="102"/>
      <c r="I1405" s="102"/>
      <c r="J1405" s="102"/>
      <c r="K1405" s="102"/>
      <c r="L1405" s="102"/>
      <c r="M1405" s="102"/>
      <c r="N1405" s="102"/>
      <c r="O1405" s="102"/>
      <c r="P1405" s="102"/>
      <c r="Q1405" s="102"/>
      <c r="R1405" s="102"/>
    </row>
    <row r="1406" spans="1:18" ht="35.1" customHeight="1" x14ac:dyDescent="0.2">
      <c r="A1406" s="99"/>
      <c r="B1406" s="99"/>
      <c r="C1406" s="102"/>
      <c r="D1406" s="102"/>
      <c r="E1406" s="102"/>
      <c r="F1406" s="102"/>
      <c r="G1406" s="102"/>
      <c r="H1406" s="102"/>
      <c r="I1406" s="102"/>
      <c r="J1406" s="102"/>
      <c r="K1406" s="102"/>
      <c r="L1406" s="102"/>
      <c r="M1406" s="102"/>
      <c r="N1406" s="102"/>
      <c r="O1406" s="102"/>
      <c r="P1406" s="102"/>
      <c r="Q1406" s="102"/>
      <c r="R1406" s="102"/>
    </row>
    <row r="1407" spans="1:18" ht="35.1" customHeight="1" x14ac:dyDescent="0.2">
      <c r="A1407" s="99"/>
      <c r="B1407" s="99"/>
      <c r="C1407" s="102"/>
      <c r="D1407" s="102"/>
      <c r="E1407" s="102"/>
      <c r="F1407" s="102"/>
      <c r="G1407" s="102"/>
      <c r="H1407" s="102"/>
      <c r="I1407" s="102"/>
      <c r="J1407" s="102"/>
      <c r="K1407" s="102"/>
      <c r="L1407" s="102"/>
      <c r="M1407" s="102"/>
      <c r="N1407" s="102"/>
      <c r="O1407" s="102"/>
      <c r="P1407" s="102"/>
      <c r="Q1407" s="102"/>
      <c r="R1407" s="102"/>
    </row>
    <row r="1408" spans="1:18" ht="35.1" customHeight="1" x14ac:dyDescent="0.2">
      <c r="A1408" s="99"/>
      <c r="B1408" s="99"/>
      <c r="C1408" s="102"/>
      <c r="D1408" s="102"/>
      <c r="E1408" s="102"/>
      <c r="F1408" s="102"/>
      <c r="G1408" s="102"/>
      <c r="H1408" s="102"/>
      <c r="I1408" s="102"/>
      <c r="J1408" s="102"/>
      <c r="K1408" s="102"/>
      <c r="L1408" s="102"/>
      <c r="M1408" s="102"/>
      <c r="N1408" s="102"/>
      <c r="O1408" s="102"/>
      <c r="P1408" s="102"/>
      <c r="Q1408" s="102"/>
      <c r="R1408" s="102"/>
    </row>
    <row r="1409" spans="1:18" ht="35.1" customHeight="1" x14ac:dyDescent="0.2">
      <c r="A1409" s="99"/>
      <c r="B1409" s="99"/>
      <c r="C1409" s="102"/>
      <c r="D1409" s="102"/>
      <c r="E1409" s="102"/>
      <c r="F1409" s="102"/>
      <c r="G1409" s="102"/>
      <c r="H1409" s="102"/>
      <c r="I1409" s="102"/>
      <c r="J1409" s="102"/>
      <c r="K1409" s="102"/>
      <c r="L1409" s="102"/>
      <c r="M1409" s="102"/>
      <c r="N1409" s="102"/>
      <c r="O1409" s="102"/>
      <c r="P1409" s="102"/>
      <c r="Q1409" s="102"/>
      <c r="R1409" s="102"/>
    </row>
    <row r="1410" spans="1:18" ht="35.1" customHeight="1" x14ac:dyDescent="0.2">
      <c r="A1410" s="99"/>
      <c r="B1410" s="99"/>
      <c r="C1410" s="102"/>
      <c r="D1410" s="102"/>
      <c r="E1410" s="102"/>
      <c r="F1410" s="102"/>
      <c r="G1410" s="102"/>
      <c r="H1410" s="102"/>
      <c r="I1410" s="102"/>
      <c r="J1410" s="102"/>
      <c r="K1410" s="102"/>
      <c r="L1410" s="102"/>
      <c r="M1410" s="102"/>
      <c r="N1410" s="102"/>
      <c r="O1410" s="102"/>
      <c r="P1410" s="102"/>
      <c r="Q1410" s="102"/>
      <c r="R1410" s="102"/>
    </row>
    <row r="1411" spans="1:18" ht="35.1" customHeight="1" x14ac:dyDescent="0.2">
      <c r="A1411" s="99"/>
      <c r="B1411" s="99"/>
      <c r="C1411" s="102"/>
      <c r="D1411" s="102"/>
      <c r="E1411" s="102"/>
      <c r="F1411" s="102"/>
      <c r="G1411" s="102"/>
      <c r="H1411" s="102"/>
      <c r="I1411" s="102"/>
      <c r="J1411" s="102"/>
      <c r="K1411" s="102"/>
      <c r="L1411" s="102"/>
      <c r="M1411" s="102"/>
      <c r="N1411" s="102"/>
      <c r="O1411" s="102"/>
      <c r="P1411" s="102"/>
      <c r="Q1411" s="102"/>
      <c r="R1411" s="102"/>
    </row>
    <row r="1412" spans="1:18" ht="35.1" customHeight="1" x14ac:dyDescent="0.2">
      <c r="A1412" s="99"/>
      <c r="B1412" s="99"/>
      <c r="C1412" s="102"/>
      <c r="D1412" s="102"/>
      <c r="E1412" s="102"/>
      <c r="F1412" s="102"/>
      <c r="G1412" s="102"/>
      <c r="H1412" s="102"/>
      <c r="I1412" s="102"/>
      <c r="J1412" s="102"/>
      <c r="K1412" s="102"/>
      <c r="L1412" s="102"/>
      <c r="M1412" s="102"/>
      <c r="N1412" s="102"/>
      <c r="O1412" s="102"/>
      <c r="P1412" s="102"/>
      <c r="Q1412" s="102"/>
      <c r="R1412" s="102"/>
    </row>
    <row r="1413" spans="1:18" ht="35.1" customHeight="1" x14ac:dyDescent="0.2">
      <c r="A1413" s="99"/>
      <c r="B1413" s="99"/>
      <c r="C1413" s="102"/>
      <c r="D1413" s="102"/>
      <c r="E1413" s="102"/>
      <c r="F1413" s="102"/>
      <c r="G1413" s="102"/>
      <c r="H1413" s="102"/>
      <c r="I1413" s="102"/>
      <c r="J1413" s="102"/>
      <c r="K1413" s="102"/>
      <c r="L1413" s="102"/>
      <c r="M1413" s="102"/>
      <c r="N1413" s="102"/>
      <c r="O1413" s="102"/>
      <c r="P1413" s="102"/>
      <c r="Q1413" s="102"/>
      <c r="R1413" s="102"/>
    </row>
    <row r="1414" spans="1:18" ht="35.1" customHeight="1" x14ac:dyDescent="0.2">
      <c r="A1414" s="99"/>
      <c r="B1414" s="99"/>
      <c r="C1414" s="102"/>
      <c r="D1414" s="102"/>
      <c r="E1414" s="102"/>
      <c r="F1414" s="102"/>
      <c r="G1414" s="102"/>
      <c r="H1414" s="102"/>
      <c r="I1414" s="102"/>
      <c r="J1414" s="102"/>
      <c r="K1414" s="102"/>
      <c r="L1414" s="102"/>
      <c r="M1414" s="102"/>
      <c r="N1414" s="102"/>
      <c r="O1414" s="102"/>
      <c r="P1414" s="102"/>
      <c r="Q1414" s="102"/>
      <c r="R1414" s="102"/>
    </row>
    <row r="1415" spans="1:18" ht="35.1" customHeight="1" x14ac:dyDescent="0.2">
      <c r="A1415" s="99"/>
      <c r="B1415" s="99"/>
      <c r="C1415" s="102"/>
      <c r="D1415" s="102"/>
      <c r="E1415" s="102"/>
      <c r="F1415" s="102"/>
      <c r="G1415" s="102"/>
      <c r="H1415" s="102"/>
      <c r="I1415" s="102"/>
      <c r="J1415" s="102"/>
      <c r="K1415" s="102"/>
      <c r="L1415" s="102"/>
      <c r="M1415" s="102"/>
      <c r="N1415" s="102"/>
      <c r="O1415" s="102"/>
      <c r="P1415" s="102"/>
      <c r="Q1415" s="102"/>
      <c r="R1415" s="102"/>
    </row>
    <row r="1416" spans="1:18" ht="35.1" customHeight="1" x14ac:dyDescent="0.2">
      <c r="A1416" s="99"/>
      <c r="B1416" s="99"/>
      <c r="C1416" s="102"/>
      <c r="D1416" s="102"/>
      <c r="E1416" s="102"/>
      <c r="F1416" s="102"/>
      <c r="G1416" s="102"/>
      <c r="H1416" s="102"/>
      <c r="I1416" s="102"/>
      <c r="J1416" s="102"/>
      <c r="K1416" s="102"/>
      <c r="L1416" s="102"/>
      <c r="M1416" s="102"/>
      <c r="N1416" s="102"/>
      <c r="O1416" s="102"/>
      <c r="P1416" s="102"/>
      <c r="Q1416" s="102"/>
      <c r="R1416" s="102"/>
    </row>
    <row r="1417" spans="1:18" ht="35.1" customHeight="1" x14ac:dyDescent="0.2">
      <c r="A1417" s="99"/>
      <c r="B1417" s="99"/>
      <c r="C1417" s="102"/>
      <c r="D1417" s="102"/>
      <c r="E1417" s="102"/>
      <c r="F1417" s="102"/>
      <c r="G1417" s="102"/>
      <c r="H1417" s="102"/>
      <c r="I1417" s="102"/>
      <c r="J1417" s="102"/>
      <c r="K1417" s="102"/>
      <c r="L1417" s="102"/>
      <c r="M1417" s="102"/>
      <c r="N1417" s="102"/>
      <c r="O1417" s="102"/>
      <c r="P1417" s="102"/>
      <c r="Q1417" s="102"/>
      <c r="R1417" s="102"/>
    </row>
    <row r="1418" spans="1:18" ht="35.1" customHeight="1" x14ac:dyDescent="0.2">
      <c r="A1418" s="99"/>
      <c r="B1418" s="99"/>
      <c r="C1418" s="102"/>
      <c r="D1418" s="102"/>
      <c r="E1418" s="102"/>
      <c r="F1418" s="102"/>
      <c r="G1418" s="102"/>
      <c r="H1418" s="102"/>
      <c r="I1418" s="102"/>
      <c r="J1418" s="102"/>
      <c r="K1418" s="102"/>
      <c r="L1418" s="102"/>
      <c r="M1418" s="102"/>
      <c r="N1418" s="102"/>
      <c r="O1418" s="102"/>
      <c r="P1418" s="102"/>
      <c r="Q1418" s="102"/>
      <c r="R1418" s="102"/>
    </row>
    <row r="1419" spans="1:18" ht="35.1" customHeight="1" x14ac:dyDescent="0.2">
      <c r="A1419" s="99"/>
      <c r="B1419" s="99"/>
      <c r="C1419" s="102"/>
      <c r="D1419" s="102"/>
      <c r="E1419" s="102"/>
      <c r="F1419" s="102"/>
      <c r="G1419" s="102"/>
      <c r="H1419" s="102"/>
      <c r="I1419" s="102"/>
      <c r="J1419" s="102"/>
      <c r="K1419" s="102"/>
      <c r="L1419" s="102"/>
      <c r="M1419" s="102"/>
      <c r="N1419" s="102"/>
      <c r="O1419" s="102"/>
      <c r="P1419" s="102"/>
      <c r="Q1419" s="102"/>
      <c r="R1419" s="102"/>
    </row>
    <row r="1420" spans="1:18" ht="35.1" customHeight="1" x14ac:dyDescent="0.2">
      <c r="A1420" s="99"/>
      <c r="B1420" s="99"/>
      <c r="C1420" s="102"/>
      <c r="D1420" s="102"/>
      <c r="E1420" s="102"/>
      <c r="F1420" s="102"/>
      <c r="G1420" s="102"/>
      <c r="H1420" s="102"/>
      <c r="I1420" s="102"/>
      <c r="J1420" s="102"/>
      <c r="K1420" s="102"/>
      <c r="L1420" s="102"/>
      <c r="M1420" s="102"/>
      <c r="N1420" s="102"/>
      <c r="O1420" s="102"/>
      <c r="P1420" s="102"/>
      <c r="Q1420" s="102"/>
      <c r="R1420" s="102"/>
    </row>
    <row r="1421" spans="1:18" ht="35.1" customHeight="1" x14ac:dyDescent="0.2">
      <c r="A1421" s="99"/>
      <c r="B1421" s="99"/>
      <c r="C1421" s="102"/>
      <c r="D1421" s="102"/>
      <c r="E1421" s="102"/>
      <c r="F1421" s="102"/>
      <c r="G1421" s="102"/>
      <c r="H1421" s="102"/>
      <c r="I1421" s="102"/>
      <c r="J1421" s="102"/>
      <c r="K1421" s="102"/>
      <c r="L1421" s="102"/>
      <c r="M1421" s="102"/>
      <c r="N1421" s="102"/>
      <c r="O1421" s="102"/>
      <c r="P1421" s="102"/>
      <c r="Q1421" s="102"/>
      <c r="R1421" s="102"/>
    </row>
    <row r="1422" spans="1:18" ht="35.1" customHeight="1" x14ac:dyDescent="0.2">
      <c r="A1422" s="99"/>
      <c r="B1422" s="99"/>
      <c r="C1422" s="102"/>
      <c r="D1422" s="102"/>
      <c r="E1422" s="102"/>
      <c r="F1422" s="102"/>
      <c r="G1422" s="102"/>
      <c r="H1422" s="102"/>
      <c r="I1422" s="102"/>
      <c r="J1422" s="102"/>
      <c r="K1422" s="102"/>
      <c r="L1422" s="102"/>
      <c r="M1422" s="102"/>
      <c r="N1422" s="102"/>
      <c r="O1422" s="102"/>
      <c r="P1422" s="102"/>
      <c r="Q1422" s="102"/>
      <c r="R1422" s="102"/>
    </row>
    <row r="1423" spans="1:18" ht="35.1" customHeight="1" x14ac:dyDescent="0.2">
      <c r="A1423" s="99"/>
      <c r="B1423" s="99"/>
      <c r="C1423" s="102"/>
      <c r="D1423" s="102"/>
      <c r="E1423" s="102"/>
      <c r="F1423" s="102"/>
      <c r="G1423" s="102"/>
      <c r="H1423" s="102"/>
      <c r="I1423" s="102"/>
      <c r="J1423" s="102"/>
      <c r="K1423" s="102"/>
      <c r="L1423" s="102"/>
      <c r="M1423" s="102"/>
      <c r="N1423" s="102"/>
      <c r="O1423" s="102"/>
      <c r="P1423" s="102"/>
      <c r="Q1423" s="102"/>
      <c r="R1423" s="102"/>
    </row>
    <row r="1424" spans="1:18" ht="35.1" customHeight="1" x14ac:dyDescent="0.2">
      <c r="A1424" s="99"/>
      <c r="B1424" s="99"/>
      <c r="C1424" s="102"/>
      <c r="D1424" s="102"/>
      <c r="E1424" s="102"/>
      <c r="F1424" s="102"/>
      <c r="G1424" s="102"/>
      <c r="H1424" s="102"/>
      <c r="I1424" s="102"/>
      <c r="J1424" s="102"/>
      <c r="K1424" s="102"/>
      <c r="L1424" s="102"/>
      <c r="M1424" s="102"/>
      <c r="N1424" s="102"/>
      <c r="O1424" s="102"/>
      <c r="P1424" s="102"/>
      <c r="Q1424" s="102"/>
      <c r="R1424" s="102"/>
    </row>
    <row r="1425" spans="1:18" ht="35.1" customHeight="1" x14ac:dyDescent="0.2">
      <c r="A1425" s="99"/>
      <c r="B1425" s="99"/>
      <c r="C1425" s="102"/>
      <c r="D1425" s="102"/>
      <c r="E1425" s="102"/>
      <c r="F1425" s="102"/>
      <c r="G1425" s="102"/>
      <c r="H1425" s="102"/>
      <c r="I1425" s="102"/>
      <c r="J1425" s="102"/>
      <c r="K1425" s="102"/>
      <c r="L1425" s="102"/>
      <c r="M1425" s="102"/>
      <c r="N1425" s="102"/>
      <c r="O1425" s="102"/>
      <c r="P1425" s="102"/>
      <c r="Q1425" s="102"/>
      <c r="R1425" s="102"/>
    </row>
    <row r="1426" spans="1:18" ht="35.1" customHeight="1" x14ac:dyDescent="0.2">
      <c r="A1426" s="99"/>
      <c r="B1426" s="99"/>
      <c r="C1426" s="102"/>
      <c r="D1426" s="102"/>
      <c r="E1426" s="102"/>
      <c r="F1426" s="102"/>
      <c r="G1426" s="102"/>
      <c r="H1426" s="102"/>
      <c r="I1426" s="102"/>
      <c r="J1426" s="102"/>
      <c r="K1426" s="102"/>
      <c r="L1426" s="102"/>
      <c r="M1426" s="102"/>
      <c r="N1426" s="102"/>
      <c r="O1426" s="102"/>
      <c r="P1426" s="102"/>
      <c r="Q1426" s="102"/>
      <c r="R1426" s="102"/>
    </row>
    <row r="1427" spans="1:18" ht="35.1" customHeight="1" x14ac:dyDescent="0.2">
      <c r="A1427" s="99"/>
      <c r="B1427" s="99"/>
      <c r="C1427" s="102"/>
      <c r="D1427" s="102"/>
      <c r="E1427" s="102"/>
      <c r="F1427" s="102"/>
      <c r="G1427" s="102"/>
      <c r="H1427" s="102"/>
      <c r="I1427" s="102"/>
      <c r="J1427" s="102"/>
      <c r="K1427" s="102"/>
      <c r="L1427" s="102"/>
      <c r="M1427" s="102"/>
      <c r="N1427" s="102"/>
      <c r="O1427" s="102"/>
      <c r="P1427" s="102"/>
      <c r="Q1427" s="102"/>
      <c r="R1427" s="102"/>
    </row>
    <row r="1428" spans="1:18" ht="35.1" customHeight="1" x14ac:dyDescent="0.2">
      <c r="A1428" s="99"/>
      <c r="B1428" s="99"/>
      <c r="C1428" s="102"/>
      <c r="D1428" s="102"/>
      <c r="E1428" s="102"/>
      <c r="F1428" s="102"/>
      <c r="G1428" s="102"/>
      <c r="H1428" s="102"/>
      <c r="I1428" s="102"/>
      <c r="J1428" s="102"/>
      <c r="K1428" s="102"/>
      <c r="L1428" s="102"/>
      <c r="M1428" s="102"/>
      <c r="N1428" s="102"/>
      <c r="O1428" s="102"/>
      <c r="P1428" s="102"/>
      <c r="Q1428" s="102"/>
      <c r="R1428" s="102"/>
    </row>
    <row r="1429" spans="1:18" ht="35.1" customHeight="1" x14ac:dyDescent="0.2">
      <c r="A1429" s="99"/>
      <c r="B1429" s="99"/>
      <c r="C1429" s="102"/>
      <c r="D1429" s="102"/>
      <c r="E1429" s="102"/>
      <c r="F1429" s="102"/>
      <c r="G1429" s="102"/>
      <c r="H1429" s="102"/>
      <c r="I1429" s="102"/>
      <c r="J1429" s="102"/>
      <c r="K1429" s="102"/>
      <c r="L1429" s="102"/>
      <c r="M1429" s="102"/>
      <c r="N1429" s="102"/>
      <c r="O1429" s="102"/>
      <c r="P1429" s="102"/>
      <c r="Q1429" s="102"/>
      <c r="R1429" s="102"/>
    </row>
    <row r="1430" spans="1:18" ht="35.1" customHeight="1" x14ac:dyDescent="0.2">
      <c r="A1430" s="99"/>
      <c r="B1430" s="99"/>
      <c r="C1430" s="102"/>
      <c r="D1430" s="102"/>
      <c r="E1430" s="102"/>
      <c r="F1430" s="102"/>
      <c r="G1430" s="102"/>
      <c r="H1430" s="102"/>
      <c r="I1430" s="102"/>
      <c r="J1430" s="102"/>
      <c r="K1430" s="102"/>
      <c r="L1430" s="102"/>
      <c r="M1430" s="102"/>
      <c r="N1430" s="102"/>
      <c r="O1430" s="102"/>
      <c r="P1430" s="102"/>
      <c r="Q1430" s="102"/>
      <c r="R1430" s="102"/>
    </row>
    <row r="1431" spans="1:18" ht="35.1" customHeight="1" x14ac:dyDescent="0.2">
      <c r="A1431" s="99"/>
      <c r="B1431" s="99"/>
      <c r="C1431" s="102"/>
      <c r="D1431" s="102"/>
      <c r="E1431" s="102"/>
      <c r="F1431" s="102"/>
      <c r="G1431" s="102"/>
      <c r="H1431" s="102"/>
      <c r="I1431" s="102"/>
      <c r="J1431" s="102"/>
      <c r="K1431" s="102"/>
      <c r="L1431" s="102"/>
      <c r="M1431" s="102"/>
      <c r="N1431" s="102"/>
      <c r="O1431" s="102"/>
      <c r="P1431" s="102"/>
      <c r="Q1431" s="102"/>
      <c r="R1431" s="102"/>
    </row>
    <row r="1432" spans="1:18" ht="35.1" customHeight="1" x14ac:dyDescent="0.2">
      <c r="A1432" s="99"/>
      <c r="B1432" s="99"/>
      <c r="C1432" s="102"/>
      <c r="D1432" s="102"/>
      <c r="E1432" s="102"/>
      <c r="F1432" s="102"/>
      <c r="G1432" s="102"/>
      <c r="H1432" s="102"/>
      <c r="I1432" s="102"/>
      <c r="J1432" s="102"/>
      <c r="K1432" s="102"/>
      <c r="L1432" s="102"/>
      <c r="M1432" s="102"/>
      <c r="N1432" s="102"/>
      <c r="O1432" s="102"/>
      <c r="P1432" s="102"/>
      <c r="Q1432" s="102"/>
      <c r="R1432" s="102"/>
    </row>
    <row r="1433" spans="1:18" ht="35.1" customHeight="1" x14ac:dyDescent="0.2">
      <c r="A1433" s="99"/>
      <c r="B1433" s="99"/>
      <c r="C1433" s="102"/>
      <c r="D1433" s="102"/>
      <c r="E1433" s="102"/>
      <c r="F1433" s="102"/>
      <c r="G1433" s="102"/>
      <c r="H1433" s="102"/>
      <c r="I1433" s="102"/>
      <c r="J1433" s="102"/>
      <c r="K1433" s="102"/>
      <c r="L1433" s="102"/>
      <c r="M1433" s="102"/>
      <c r="N1433" s="102"/>
      <c r="O1433" s="102"/>
      <c r="P1433" s="102"/>
      <c r="Q1433" s="102"/>
      <c r="R1433" s="102"/>
    </row>
    <row r="1434" spans="1:18" ht="35.1" customHeight="1" x14ac:dyDescent="0.2">
      <c r="A1434" s="99"/>
      <c r="B1434" s="99"/>
      <c r="C1434" s="102"/>
      <c r="D1434" s="102"/>
      <c r="E1434" s="102"/>
      <c r="F1434" s="102"/>
      <c r="G1434" s="102"/>
      <c r="H1434" s="102"/>
      <c r="I1434" s="102"/>
      <c r="J1434" s="102"/>
      <c r="K1434" s="102"/>
      <c r="L1434" s="102"/>
      <c r="M1434" s="102"/>
      <c r="N1434" s="102"/>
      <c r="O1434" s="102"/>
      <c r="P1434" s="102"/>
      <c r="Q1434" s="102"/>
      <c r="R1434" s="102"/>
    </row>
    <row r="1435" spans="1:18" ht="35.1" customHeight="1" x14ac:dyDescent="0.2">
      <c r="A1435" s="99"/>
      <c r="B1435" s="99"/>
      <c r="C1435" s="102"/>
      <c r="D1435" s="102"/>
      <c r="E1435" s="102"/>
      <c r="F1435" s="102"/>
      <c r="G1435" s="102"/>
      <c r="H1435" s="102"/>
      <c r="I1435" s="102"/>
      <c r="J1435" s="102"/>
      <c r="K1435" s="102"/>
      <c r="L1435" s="102"/>
      <c r="M1435" s="102"/>
      <c r="N1435" s="102"/>
      <c r="O1435" s="102"/>
      <c r="P1435" s="102"/>
      <c r="Q1435" s="102"/>
      <c r="R1435" s="102"/>
    </row>
    <row r="1436" spans="1:18" ht="35.1" customHeight="1" x14ac:dyDescent="0.2">
      <c r="A1436" s="99"/>
      <c r="B1436" s="99"/>
      <c r="C1436" s="102"/>
      <c r="D1436" s="102"/>
      <c r="E1436" s="102"/>
      <c r="F1436" s="102"/>
      <c r="G1436" s="102"/>
      <c r="H1436" s="102"/>
      <c r="I1436" s="102"/>
      <c r="J1436" s="102"/>
      <c r="K1436" s="102"/>
      <c r="L1436" s="102"/>
      <c r="M1436" s="102"/>
      <c r="N1436" s="102"/>
      <c r="O1436" s="102"/>
      <c r="P1436" s="102"/>
      <c r="Q1436" s="102"/>
      <c r="R1436" s="102"/>
    </row>
    <row r="1437" spans="1:18" ht="35.1" customHeight="1" x14ac:dyDescent="0.2">
      <c r="A1437" s="99"/>
      <c r="B1437" s="99"/>
      <c r="C1437" s="102"/>
      <c r="D1437" s="102"/>
      <c r="E1437" s="102"/>
      <c r="F1437" s="102"/>
      <c r="G1437" s="102"/>
      <c r="H1437" s="102"/>
      <c r="I1437" s="102"/>
      <c r="J1437" s="102"/>
      <c r="K1437" s="102"/>
      <c r="L1437" s="102"/>
      <c r="M1437" s="102"/>
      <c r="N1437" s="102"/>
      <c r="O1437" s="102"/>
      <c r="P1437" s="102"/>
      <c r="Q1437" s="102"/>
      <c r="R1437" s="102"/>
    </row>
    <row r="1438" spans="1:18" ht="35.1" customHeight="1" x14ac:dyDescent="0.2">
      <c r="A1438" s="99"/>
      <c r="B1438" s="99"/>
      <c r="C1438" s="102"/>
      <c r="D1438" s="102"/>
      <c r="E1438" s="102"/>
      <c r="F1438" s="102"/>
      <c r="G1438" s="102"/>
      <c r="H1438" s="102"/>
      <c r="I1438" s="102"/>
      <c r="J1438" s="102"/>
      <c r="K1438" s="102"/>
      <c r="L1438" s="102"/>
      <c r="M1438" s="102"/>
      <c r="N1438" s="102"/>
      <c r="O1438" s="102"/>
      <c r="P1438" s="102"/>
      <c r="Q1438" s="102"/>
      <c r="R1438" s="102"/>
    </row>
    <row r="1439" spans="1:18" ht="35.1" customHeight="1" x14ac:dyDescent="0.2">
      <c r="A1439" s="99"/>
      <c r="B1439" s="99"/>
      <c r="C1439" s="102"/>
      <c r="D1439" s="102"/>
      <c r="E1439" s="102"/>
      <c r="F1439" s="102"/>
      <c r="G1439" s="102"/>
      <c r="H1439" s="102"/>
      <c r="I1439" s="102"/>
      <c r="J1439" s="102"/>
      <c r="K1439" s="102"/>
      <c r="L1439" s="102"/>
      <c r="M1439" s="102"/>
      <c r="N1439" s="102"/>
      <c r="O1439" s="102"/>
      <c r="P1439" s="102"/>
      <c r="Q1439" s="102"/>
      <c r="R1439" s="102"/>
    </row>
    <row r="1440" spans="1:18" ht="35.1" customHeight="1" x14ac:dyDescent="0.2">
      <c r="A1440" s="99"/>
      <c r="B1440" s="99"/>
      <c r="C1440" s="102"/>
      <c r="D1440" s="102"/>
      <c r="E1440" s="102"/>
      <c r="F1440" s="102"/>
      <c r="G1440" s="102"/>
      <c r="H1440" s="102"/>
      <c r="I1440" s="102"/>
      <c r="J1440" s="102"/>
      <c r="K1440" s="102"/>
      <c r="L1440" s="102"/>
      <c r="M1440" s="102"/>
      <c r="N1440" s="102"/>
      <c r="O1440" s="102"/>
      <c r="P1440" s="102"/>
      <c r="Q1440" s="102"/>
      <c r="R1440" s="102"/>
    </row>
    <row r="1441" spans="1:18" ht="35.1" customHeight="1" x14ac:dyDescent="0.2">
      <c r="A1441" s="99"/>
      <c r="B1441" s="99"/>
      <c r="C1441" s="102"/>
      <c r="D1441" s="102"/>
      <c r="E1441" s="102"/>
      <c r="F1441" s="102"/>
      <c r="G1441" s="102"/>
      <c r="H1441" s="102"/>
      <c r="I1441" s="102"/>
      <c r="J1441" s="102"/>
      <c r="K1441" s="102"/>
      <c r="L1441" s="102"/>
      <c r="M1441" s="102"/>
      <c r="N1441" s="102"/>
      <c r="O1441" s="102"/>
      <c r="P1441" s="102"/>
      <c r="Q1441" s="102"/>
      <c r="R1441" s="102"/>
    </row>
    <row r="1442" spans="1:18" ht="35.1" customHeight="1" x14ac:dyDescent="0.2">
      <c r="A1442" s="99"/>
      <c r="B1442" s="99"/>
      <c r="C1442" s="102"/>
      <c r="D1442" s="102"/>
      <c r="E1442" s="102"/>
      <c r="F1442" s="102"/>
      <c r="G1442" s="102"/>
      <c r="H1442" s="102"/>
      <c r="I1442" s="102"/>
      <c r="J1442" s="102"/>
      <c r="K1442" s="102"/>
      <c r="L1442" s="102"/>
      <c r="M1442" s="102"/>
      <c r="N1442" s="102"/>
      <c r="O1442" s="102"/>
      <c r="P1442" s="102"/>
      <c r="Q1442" s="102"/>
      <c r="R1442" s="102"/>
    </row>
    <row r="1443" spans="1:18" ht="35.1" customHeight="1" x14ac:dyDescent="0.2">
      <c r="A1443" s="99"/>
      <c r="B1443" s="99"/>
      <c r="C1443" s="102"/>
      <c r="D1443" s="102"/>
      <c r="E1443" s="102"/>
      <c r="F1443" s="102"/>
      <c r="G1443" s="102"/>
      <c r="H1443" s="102"/>
      <c r="I1443" s="102"/>
      <c r="J1443" s="102"/>
      <c r="K1443" s="102"/>
      <c r="L1443" s="102"/>
      <c r="M1443" s="102"/>
      <c r="N1443" s="102"/>
      <c r="O1443" s="102"/>
      <c r="P1443" s="102"/>
      <c r="Q1443" s="102"/>
      <c r="R1443" s="102"/>
    </row>
    <row r="1444" spans="1:18" ht="35.1" customHeight="1" x14ac:dyDescent="0.2">
      <c r="A1444" s="99"/>
      <c r="B1444" s="99"/>
      <c r="C1444" s="102"/>
      <c r="D1444" s="102"/>
      <c r="E1444" s="102"/>
      <c r="F1444" s="102"/>
      <c r="G1444" s="102"/>
      <c r="H1444" s="102"/>
      <c r="I1444" s="102"/>
      <c r="J1444" s="102"/>
      <c r="K1444" s="102"/>
      <c r="L1444" s="102"/>
      <c r="M1444" s="102"/>
      <c r="N1444" s="102"/>
      <c r="O1444" s="102"/>
      <c r="P1444" s="102"/>
      <c r="Q1444" s="102"/>
      <c r="R1444" s="102"/>
    </row>
    <row r="1445" spans="1:18" ht="35.1" customHeight="1" x14ac:dyDescent="0.2">
      <c r="A1445" s="99"/>
      <c r="B1445" s="99"/>
      <c r="C1445" s="102"/>
      <c r="D1445" s="102"/>
      <c r="E1445" s="102"/>
      <c r="F1445" s="102"/>
      <c r="G1445" s="102"/>
      <c r="H1445" s="102"/>
      <c r="I1445" s="102"/>
      <c r="J1445" s="102"/>
      <c r="K1445" s="102"/>
      <c r="L1445" s="102"/>
      <c r="M1445" s="102"/>
      <c r="N1445" s="102"/>
      <c r="O1445" s="102"/>
      <c r="P1445" s="102"/>
      <c r="Q1445" s="102"/>
      <c r="R1445" s="102"/>
    </row>
    <row r="1446" spans="1:18" ht="35.1" customHeight="1" x14ac:dyDescent="0.2">
      <c r="A1446" s="99"/>
      <c r="B1446" s="99"/>
      <c r="C1446" s="102"/>
      <c r="D1446" s="102"/>
      <c r="E1446" s="102"/>
      <c r="F1446" s="102"/>
      <c r="G1446" s="102"/>
      <c r="H1446" s="102"/>
      <c r="I1446" s="102"/>
      <c r="J1446" s="102"/>
      <c r="K1446" s="102"/>
      <c r="L1446" s="102"/>
      <c r="M1446" s="102"/>
      <c r="N1446" s="102"/>
      <c r="O1446" s="102"/>
      <c r="P1446" s="102"/>
      <c r="Q1446" s="102"/>
      <c r="R1446" s="102"/>
    </row>
    <row r="1447" spans="1:18" ht="35.1" customHeight="1" x14ac:dyDescent="0.2">
      <c r="A1447" s="99"/>
      <c r="B1447" s="99"/>
      <c r="C1447" s="102"/>
      <c r="D1447" s="102"/>
      <c r="E1447" s="102"/>
      <c r="F1447" s="102"/>
      <c r="G1447" s="102"/>
      <c r="H1447" s="102"/>
      <c r="I1447" s="102"/>
      <c r="J1447" s="102"/>
      <c r="K1447" s="102"/>
      <c r="L1447" s="102"/>
      <c r="M1447" s="102"/>
      <c r="N1447" s="102"/>
      <c r="O1447" s="102"/>
      <c r="P1447" s="102"/>
      <c r="Q1447" s="102"/>
      <c r="R1447" s="102"/>
    </row>
    <row r="1448" spans="1:18" ht="35.1" customHeight="1" x14ac:dyDescent="0.2">
      <c r="A1448" s="99"/>
      <c r="B1448" s="99"/>
      <c r="C1448" s="102"/>
      <c r="D1448" s="102"/>
      <c r="E1448" s="102"/>
      <c r="F1448" s="102"/>
      <c r="G1448" s="102"/>
      <c r="H1448" s="102"/>
      <c r="I1448" s="102"/>
      <c r="J1448" s="102"/>
      <c r="K1448" s="102"/>
      <c r="L1448" s="102"/>
      <c r="M1448" s="102"/>
      <c r="N1448" s="102"/>
      <c r="O1448" s="102"/>
      <c r="P1448" s="102"/>
      <c r="Q1448" s="102"/>
      <c r="R1448" s="102"/>
    </row>
    <row r="1449" spans="1:18" ht="35.1" customHeight="1" x14ac:dyDescent="0.2">
      <c r="A1449" s="99"/>
      <c r="B1449" s="99"/>
      <c r="C1449" s="102"/>
      <c r="D1449" s="102"/>
      <c r="E1449" s="102"/>
      <c r="F1449" s="102"/>
      <c r="G1449" s="102"/>
      <c r="H1449" s="102"/>
      <c r="I1449" s="102"/>
      <c r="J1449" s="102"/>
      <c r="K1449" s="102"/>
      <c r="L1449" s="102"/>
      <c r="M1449" s="102"/>
      <c r="N1449" s="102"/>
      <c r="O1449" s="102"/>
      <c r="P1449" s="102"/>
      <c r="Q1449" s="102"/>
      <c r="R1449" s="102"/>
    </row>
    <row r="1450" spans="1:18" ht="35.1" customHeight="1" x14ac:dyDescent="0.2">
      <c r="A1450" s="99"/>
      <c r="B1450" s="99"/>
      <c r="C1450" s="102"/>
      <c r="D1450" s="102"/>
      <c r="E1450" s="102"/>
      <c r="F1450" s="102"/>
      <c r="G1450" s="102"/>
      <c r="H1450" s="102"/>
      <c r="I1450" s="102"/>
      <c r="J1450" s="102"/>
      <c r="K1450" s="102"/>
      <c r="L1450" s="102"/>
      <c r="M1450" s="102"/>
      <c r="N1450" s="102"/>
      <c r="O1450" s="102"/>
      <c r="P1450" s="102"/>
      <c r="Q1450" s="102"/>
      <c r="R1450" s="102"/>
    </row>
    <row r="1451" spans="1:18" ht="35.1" customHeight="1" x14ac:dyDescent="0.2">
      <c r="A1451" s="99"/>
      <c r="B1451" s="99"/>
      <c r="C1451" s="102"/>
      <c r="D1451" s="102"/>
      <c r="E1451" s="102"/>
      <c r="F1451" s="102"/>
      <c r="G1451" s="102"/>
      <c r="H1451" s="102"/>
      <c r="I1451" s="102"/>
      <c r="J1451" s="102"/>
      <c r="K1451" s="102"/>
      <c r="L1451" s="102"/>
      <c r="M1451" s="102"/>
      <c r="N1451" s="102"/>
      <c r="O1451" s="102"/>
      <c r="P1451" s="102"/>
      <c r="Q1451" s="102"/>
      <c r="R1451" s="102"/>
    </row>
    <row r="1452" spans="1:18" ht="35.1" customHeight="1" x14ac:dyDescent="0.2">
      <c r="A1452" s="99"/>
      <c r="B1452" s="99"/>
      <c r="C1452" s="102"/>
      <c r="D1452" s="102"/>
      <c r="E1452" s="102"/>
      <c r="F1452" s="102"/>
      <c r="G1452" s="102"/>
      <c r="H1452" s="102"/>
      <c r="I1452" s="102"/>
      <c r="J1452" s="102"/>
      <c r="K1452" s="102"/>
      <c r="L1452" s="102"/>
      <c r="M1452" s="102"/>
      <c r="N1452" s="102"/>
      <c r="O1452" s="102"/>
      <c r="P1452" s="102"/>
      <c r="Q1452" s="102"/>
      <c r="R1452" s="102"/>
    </row>
    <row r="1453" spans="1:18" ht="35.1" customHeight="1" x14ac:dyDescent="0.2">
      <c r="A1453" s="99"/>
      <c r="B1453" s="99"/>
      <c r="C1453" s="102"/>
      <c r="D1453" s="102"/>
      <c r="E1453" s="102"/>
      <c r="F1453" s="102"/>
      <c r="G1453" s="102"/>
      <c r="H1453" s="102"/>
      <c r="I1453" s="102"/>
      <c r="J1453" s="102"/>
      <c r="K1453" s="102"/>
      <c r="L1453" s="102"/>
      <c r="M1453" s="102"/>
      <c r="N1453" s="102"/>
      <c r="O1453" s="102"/>
      <c r="P1453" s="102"/>
      <c r="Q1453" s="102"/>
      <c r="R1453" s="102"/>
    </row>
    <row r="1454" spans="1:18" ht="35.1" customHeight="1" x14ac:dyDescent="0.2">
      <c r="A1454" s="99"/>
      <c r="B1454" s="99"/>
      <c r="C1454" s="102"/>
      <c r="D1454" s="102"/>
      <c r="E1454" s="102"/>
      <c r="F1454" s="102"/>
      <c r="G1454" s="102"/>
      <c r="H1454" s="102"/>
      <c r="I1454" s="102"/>
      <c r="J1454" s="102"/>
      <c r="K1454" s="102"/>
      <c r="L1454" s="102"/>
      <c r="M1454" s="102"/>
      <c r="N1454" s="102"/>
      <c r="O1454" s="102"/>
      <c r="P1454" s="102"/>
      <c r="Q1454" s="102"/>
      <c r="R1454" s="102"/>
    </row>
    <row r="1455" spans="1:18" ht="35.1" customHeight="1" x14ac:dyDescent="0.2">
      <c r="A1455" s="99"/>
      <c r="B1455" s="99"/>
      <c r="C1455" s="102"/>
      <c r="D1455" s="102"/>
      <c r="E1455" s="102"/>
      <c r="F1455" s="102"/>
      <c r="G1455" s="102"/>
      <c r="H1455" s="102"/>
      <c r="I1455" s="102"/>
      <c r="J1455" s="102"/>
      <c r="K1455" s="102"/>
      <c r="L1455" s="102"/>
      <c r="M1455" s="102"/>
      <c r="N1455" s="102"/>
      <c r="O1455" s="102"/>
      <c r="P1455" s="102"/>
      <c r="Q1455" s="102"/>
      <c r="R1455" s="102"/>
    </row>
    <row r="1456" spans="1:18" ht="35.1" customHeight="1" x14ac:dyDescent="0.2">
      <c r="A1456" s="99"/>
      <c r="B1456" s="99"/>
      <c r="C1456" s="102"/>
      <c r="D1456" s="102"/>
      <c r="E1456" s="102"/>
      <c r="F1456" s="102"/>
      <c r="G1456" s="102"/>
      <c r="H1456" s="102"/>
      <c r="I1456" s="102"/>
      <c r="J1456" s="102"/>
      <c r="K1456" s="102"/>
      <c r="L1456" s="102"/>
      <c r="M1456" s="102"/>
      <c r="N1456" s="102"/>
      <c r="O1456" s="102"/>
      <c r="P1456" s="102"/>
      <c r="Q1456" s="102"/>
      <c r="R1456" s="102"/>
    </row>
    <row r="1457" spans="1:18" ht="35.1" customHeight="1" x14ac:dyDescent="0.2">
      <c r="A1457" s="99"/>
      <c r="B1457" s="99"/>
      <c r="C1457" s="102"/>
      <c r="D1457" s="102"/>
      <c r="E1457" s="102"/>
      <c r="F1457" s="102"/>
      <c r="G1457" s="102"/>
      <c r="H1457" s="102"/>
      <c r="I1457" s="102"/>
      <c r="J1457" s="102"/>
      <c r="K1457" s="102"/>
      <c r="L1457" s="102"/>
      <c r="M1457" s="102"/>
      <c r="N1457" s="102"/>
      <c r="O1457" s="102"/>
      <c r="P1457" s="102"/>
      <c r="Q1457" s="102"/>
      <c r="R1457" s="102"/>
    </row>
    <row r="1458" spans="1:18" ht="35.1" customHeight="1" x14ac:dyDescent="0.2">
      <c r="A1458" s="99"/>
      <c r="B1458" s="99"/>
      <c r="C1458" s="102"/>
      <c r="D1458" s="102"/>
      <c r="E1458" s="102"/>
      <c r="F1458" s="102"/>
      <c r="G1458" s="102"/>
      <c r="H1458" s="102"/>
      <c r="I1458" s="102"/>
      <c r="J1458" s="102"/>
      <c r="K1458" s="102"/>
      <c r="L1458" s="102"/>
      <c r="M1458" s="102"/>
      <c r="N1458" s="102"/>
      <c r="O1458" s="102"/>
      <c r="P1458" s="102"/>
      <c r="Q1458" s="102"/>
      <c r="R1458" s="102"/>
    </row>
    <row r="1459" spans="1:18" ht="35.1" customHeight="1" x14ac:dyDescent="0.2">
      <c r="A1459" s="99"/>
      <c r="B1459" s="99"/>
      <c r="C1459" s="102"/>
      <c r="D1459" s="102"/>
      <c r="E1459" s="102"/>
      <c r="F1459" s="102"/>
      <c r="G1459" s="102"/>
      <c r="H1459" s="102"/>
      <c r="I1459" s="102"/>
      <c r="J1459" s="102"/>
      <c r="K1459" s="102"/>
      <c r="L1459" s="102"/>
      <c r="M1459" s="102"/>
      <c r="N1459" s="102"/>
      <c r="O1459" s="102"/>
      <c r="P1459" s="102"/>
      <c r="Q1459" s="102"/>
      <c r="R1459" s="102"/>
    </row>
    <row r="1460" spans="1:18" ht="35.1" customHeight="1" x14ac:dyDescent="0.2">
      <c r="A1460" s="99"/>
      <c r="B1460" s="99"/>
      <c r="C1460" s="102"/>
      <c r="D1460" s="102"/>
      <c r="E1460" s="102"/>
      <c r="F1460" s="102"/>
      <c r="G1460" s="102"/>
      <c r="H1460" s="102"/>
      <c r="I1460" s="102"/>
      <c r="J1460" s="102"/>
      <c r="K1460" s="102"/>
      <c r="L1460" s="102"/>
      <c r="M1460" s="102"/>
      <c r="N1460" s="102"/>
      <c r="O1460" s="102"/>
      <c r="P1460" s="102"/>
      <c r="Q1460" s="102"/>
      <c r="R1460" s="102"/>
    </row>
    <row r="1461" spans="1:18" ht="35.1" customHeight="1" x14ac:dyDescent="0.2">
      <c r="A1461" s="99"/>
      <c r="B1461" s="99"/>
      <c r="C1461" s="102"/>
      <c r="D1461" s="102"/>
      <c r="E1461" s="102"/>
      <c r="F1461" s="102"/>
      <c r="G1461" s="102"/>
      <c r="H1461" s="102"/>
      <c r="I1461" s="102"/>
      <c r="J1461" s="102"/>
      <c r="K1461" s="102"/>
      <c r="L1461" s="102"/>
      <c r="M1461" s="102"/>
      <c r="N1461" s="102"/>
      <c r="O1461" s="102"/>
      <c r="P1461" s="102"/>
      <c r="Q1461" s="102"/>
      <c r="R1461" s="102"/>
    </row>
    <row r="1462" spans="1:18" ht="35.1" customHeight="1" x14ac:dyDescent="0.2">
      <c r="A1462" s="99"/>
      <c r="B1462" s="99"/>
      <c r="C1462" s="102"/>
      <c r="D1462" s="102"/>
      <c r="E1462" s="102"/>
      <c r="F1462" s="102"/>
      <c r="G1462" s="102"/>
      <c r="H1462" s="102"/>
      <c r="I1462" s="102"/>
      <c r="J1462" s="102"/>
      <c r="K1462" s="102"/>
      <c r="L1462" s="102"/>
      <c r="M1462" s="102"/>
      <c r="N1462" s="102"/>
      <c r="O1462" s="102"/>
      <c r="P1462" s="102"/>
      <c r="Q1462" s="102"/>
      <c r="R1462" s="102"/>
    </row>
    <row r="1463" spans="1:18" ht="35.1" customHeight="1" x14ac:dyDescent="0.2">
      <c r="A1463" s="99"/>
      <c r="B1463" s="99"/>
      <c r="C1463" s="102"/>
      <c r="D1463" s="102"/>
      <c r="E1463" s="102"/>
      <c r="F1463" s="102"/>
      <c r="G1463" s="102"/>
      <c r="H1463" s="102"/>
      <c r="I1463" s="102"/>
      <c r="J1463" s="102"/>
      <c r="K1463" s="102"/>
      <c r="L1463" s="102"/>
      <c r="M1463" s="102"/>
      <c r="N1463" s="102"/>
      <c r="O1463" s="102"/>
      <c r="P1463" s="102"/>
      <c r="Q1463" s="102"/>
      <c r="R1463" s="102"/>
    </row>
    <row r="1464" spans="1:18" ht="35.1" customHeight="1" x14ac:dyDescent="0.2">
      <c r="A1464" s="99"/>
      <c r="B1464" s="99"/>
      <c r="C1464" s="102"/>
      <c r="D1464" s="102"/>
      <c r="E1464" s="102"/>
      <c r="F1464" s="102"/>
      <c r="G1464" s="102"/>
      <c r="H1464" s="102"/>
      <c r="I1464" s="102"/>
      <c r="J1464" s="102"/>
      <c r="K1464" s="102"/>
      <c r="L1464" s="102"/>
      <c r="M1464" s="102"/>
      <c r="N1464" s="102"/>
      <c r="O1464" s="102"/>
      <c r="P1464" s="102"/>
      <c r="Q1464" s="102"/>
      <c r="R1464" s="102"/>
    </row>
    <row r="1465" spans="1:18" ht="35.1" customHeight="1" x14ac:dyDescent="0.2">
      <c r="A1465" s="99"/>
      <c r="B1465" s="99"/>
      <c r="C1465" s="102"/>
      <c r="D1465" s="102"/>
      <c r="E1465" s="102"/>
      <c r="F1465" s="102"/>
      <c r="G1465" s="102"/>
      <c r="H1465" s="102"/>
      <c r="I1465" s="102"/>
      <c r="J1465" s="102"/>
      <c r="K1465" s="102"/>
      <c r="L1465" s="102"/>
      <c r="M1465" s="102"/>
      <c r="N1465" s="102"/>
      <c r="O1465" s="102"/>
      <c r="P1465" s="102"/>
      <c r="Q1465" s="102"/>
      <c r="R1465" s="102"/>
    </row>
    <row r="1466" spans="1:18" ht="35.1" customHeight="1" x14ac:dyDescent="0.2">
      <c r="A1466" s="99"/>
      <c r="B1466" s="99"/>
      <c r="C1466" s="102"/>
      <c r="D1466" s="102"/>
      <c r="E1466" s="102"/>
      <c r="F1466" s="102"/>
      <c r="G1466" s="102"/>
      <c r="H1466" s="102"/>
      <c r="I1466" s="102"/>
      <c r="J1466" s="102"/>
      <c r="K1466" s="102"/>
      <c r="L1466" s="102"/>
      <c r="M1466" s="102"/>
      <c r="N1466" s="102"/>
      <c r="O1466" s="102"/>
      <c r="P1466" s="102"/>
      <c r="Q1466" s="102"/>
      <c r="R1466" s="102"/>
    </row>
    <row r="1467" spans="1:18" ht="35.1" customHeight="1" x14ac:dyDescent="0.2">
      <c r="A1467" s="99"/>
      <c r="B1467" s="99"/>
      <c r="C1467" s="102"/>
      <c r="D1467" s="102"/>
      <c r="E1467" s="102"/>
      <c r="F1467" s="102"/>
      <c r="G1467" s="102"/>
      <c r="H1467" s="102"/>
      <c r="I1467" s="102"/>
      <c r="J1467" s="102"/>
      <c r="K1467" s="102"/>
      <c r="L1467" s="102"/>
      <c r="M1467" s="102"/>
      <c r="N1467" s="102"/>
      <c r="O1467" s="102"/>
      <c r="P1467" s="102"/>
      <c r="Q1467" s="102"/>
      <c r="R1467" s="102"/>
    </row>
    <row r="1468" spans="1:18" ht="35.1" customHeight="1" x14ac:dyDescent="0.2">
      <c r="A1468" s="99"/>
      <c r="B1468" s="99"/>
      <c r="C1468" s="102"/>
      <c r="D1468" s="102"/>
      <c r="E1468" s="102"/>
      <c r="F1468" s="102"/>
      <c r="G1468" s="102"/>
      <c r="H1468" s="102"/>
      <c r="I1468" s="102"/>
      <c r="J1468" s="102"/>
      <c r="K1468" s="102"/>
      <c r="L1468" s="102"/>
      <c r="M1468" s="102"/>
      <c r="N1468" s="102"/>
      <c r="O1468" s="102"/>
      <c r="P1468" s="102"/>
      <c r="Q1468" s="102"/>
      <c r="R1468" s="102"/>
    </row>
    <row r="1469" spans="1:18" ht="35.1" customHeight="1" x14ac:dyDescent="0.2">
      <c r="A1469" s="99"/>
      <c r="B1469" s="99"/>
      <c r="C1469" s="102"/>
      <c r="D1469" s="102"/>
      <c r="E1469" s="102"/>
      <c r="F1469" s="102"/>
      <c r="G1469" s="102"/>
      <c r="H1469" s="102"/>
      <c r="I1469" s="102"/>
      <c r="J1469" s="102"/>
      <c r="K1469" s="102"/>
      <c r="L1469" s="102"/>
      <c r="M1469" s="102"/>
      <c r="N1469" s="102"/>
      <c r="O1469" s="102"/>
      <c r="P1469" s="102"/>
      <c r="Q1469" s="102"/>
      <c r="R1469" s="102"/>
    </row>
    <row r="1470" spans="1:18" ht="35.1" customHeight="1" x14ac:dyDescent="0.2">
      <c r="A1470" s="99"/>
      <c r="B1470" s="99"/>
      <c r="C1470" s="102"/>
      <c r="D1470" s="102"/>
      <c r="E1470" s="102"/>
      <c r="F1470" s="102"/>
      <c r="G1470" s="102"/>
      <c r="H1470" s="102"/>
      <c r="I1470" s="102"/>
      <c r="J1470" s="102"/>
      <c r="K1470" s="102"/>
      <c r="L1470" s="102"/>
      <c r="M1470" s="102"/>
      <c r="N1470" s="102"/>
      <c r="O1470" s="102"/>
      <c r="P1470" s="102"/>
      <c r="Q1470" s="102"/>
      <c r="R1470" s="102"/>
    </row>
    <row r="1471" spans="1:18" ht="35.1" customHeight="1" x14ac:dyDescent="0.2">
      <c r="A1471" s="99"/>
      <c r="B1471" s="99"/>
      <c r="C1471" s="102"/>
      <c r="D1471" s="102"/>
      <c r="E1471" s="102"/>
      <c r="F1471" s="102"/>
      <c r="G1471" s="102"/>
      <c r="H1471" s="102"/>
      <c r="I1471" s="102"/>
      <c r="J1471" s="102"/>
      <c r="K1471" s="102"/>
      <c r="L1471" s="102"/>
      <c r="M1471" s="102"/>
      <c r="N1471" s="102"/>
      <c r="O1471" s="102"/>
      <c r="P1471" s="102"/>
      <c r="Q1471" s="102"/>
      <c r="R1471" s="102"/>
    </row>
    <row r="1472" spans="1:18" ht="35.1" customHeight="1" x14ac:dyDescent="0.2">
      <c r="A1472" s="99"/>
      <c r="B1472" s="99"/>
      <c r="C1472" s="102"/>
      <c r="D1472" s="102"/>
      <c r="E1472" s="102"/>
      <c r="F1472" s="102"/>
      <c r="G1472" s="102"/>
      <c r="H1472" s="102"/>
      <c r="I1472" s="102"/>
      <c r="J1472" s="102"/>
      <c r="K1472" s="102"/>
      <c r="L1472" s="102"/>
      <c r="M1472" s="102"/>
      <c r="N1472" s="102"/>
      <c r="O1472" s="102"/>
      <c r="P1472" s="102"/>
      <c r="Q1472" s="102"/>
      <c r="R1472" s="102"/>
    </row>
    <row r="1473" spans="1:18" ht="35.1" customHeight="1" x14ac:dyDescent="0.2">
      <c r="A1473" s="99"/>
      <c r="B1473" s="99"/>
      <c r="C1473" s="102"/>
      <c r="D1473" s="102"/>
      <c r="E1473" s="102"/>
      <c r="F1473" s="102"/>
      <c r="G1473" s="102"/>
      <c r="H1473" s="102"/>
      <c r="I1473" s="102"/>
      <c r="J1473" s="102"/>
      <c r="K1473" s="102"/>
      <c r="L1473" s="102"/>
      <c r="M1473" s="102"/>
      <c r="N1473" s="102"/>
      <c r="O1473" s="102"/>
      <c r="P1473" s="102"/>
      <c r="Q1473" s="102"/>
      <c r="R1473" s="102"/>
    </row>
    <row r="1474" spans="1:18" ht="35.1" customHeight="1" x14ac:dyDescent="0.2">
      <c r="A1474" s="99"/>
      <c r="B1474" s="99"/>
      <c r="C1474" s="102"/>
      <c r="D1474" s="102"/>
      <c r="E1474" s="102"/>
      <c r="F1474" s="102"/>
      <c r="G1474" s="102"/>
      <c r="H1474" s="102"/>
      <c r="I1474" s="102"/>
      <c r="J1474" s="102"/>
      <c r="K1474" s="102"/>
      <c r="L1474" s="102"/>
      <c r="M1474" s="102"/>
      <c r="N1474" s="102"/>
      <c r="O1474" s="102"/>
      <c r="P1474" s="102"/>
      <c r="Q1474" s="102"/>
      <c r="R1474" s="102"/>
    </row>
    <row r="1475" spans="1:18" ht="35.1" customHeight="1" x14ac:dyDescent="0.2">
      <c r="A1475" s="99"/>
      <c r="B1475" s="99"/>
      <c r="C1475" s="102"/>
      <c r="D1475" s="102"/>
      <c r="E1475" s="102"/>
      <c r="F1475" s="102"/>
      <c r="G1475" s="102"/>
      <c r="H1475" s="102"/>
      <c r="I1475" s="102"/>
      <c r="J1475" s="102"/>
      <c r="K1475" s="102"/>
      <c r="L1475" s="102"/>
      <c r="M1475" s="102"/>
      <c r="N1475" s="102"/>
      <c r="O1475" s="102"/>
      <c r="P1475" s="102"/>
      <c r="Q1475" s="102"/>
      <c r="R1475" s="102"/>
    </row>
    <row r="1476" spans="1:18" ht="35.1" customHeight="1" x14ac:dyDescent="0.2">
      <c r="A1476" s="99"/>
      <c r="B1476" s="99"/>
      <c r="C1476" s="102"/>
      <c r="D1476" s="102"/>
      <c r="E1476" s="102"/>
      <c r="F1476" s="102"/>
      <c r="G1476" s="102"/>
      <c r="H1476" s="102"/>
      <c r="I1476" s="102"/>
      <c r="J1476" s="102"/>
      <c r="K1476" s="102"/>
      <c r="L1476" s="102"/>
      <c r="M1476" s="102"/>
      <c r="N1476" s="102"/>
      <c r="O1476" s="102"/>
      <c r="P1476" s="102"/>
      <c r="Q1476" s="102"/>
      <c r="R1476" s="102"/>
    </row>
    <row r="1477" spans="1:18" ht="35.1" customHeight="1" x14ac:dyDescent="0.2">
      <c r="A1477" s="99"/>
      <c r="B1477" s="99"/>
      <c r="C1477" s="102"/>
      <c r="D1477" s="102"/>
      <c r="E1477" s="102"/>
      <c r="F1477" s="102"/>
      <c r="G1477" s="102"/>
      <c r="H1477" s="102"/>
      <c r="I1477" s="102"/>
      <c r="J1477" s="102"/>
      <c r="K1477" s="102"/>
      <c r="L1477" s="102"/>
      <c r="M1477" s="102"/>
      <c r="N1477" s="102"/>
      <c r="O1477" s="102"/>
      <c r="P1477" s="102"/>
      <c r="Q1477" s="102"/>
      <c r="R1477" s="102"/>
    </row>
    <row r="1478" spans="1:18" ht="35.1" customHeight="1" x14ac:dyDescent="0.2">
      <c r="A1478" s="99"/>
      <c r="B1478" s="99"/>
      <c r="C1478" s="102"/>
      <c r="D1478" s="102"/>
      <c r="E1478" s="102"/>
      <c r="F1478" s="102"/>
      <c r="G1478" s="102"/>
      <c r="H1478" s="102"/>
      <c r="I1478" s="102"/>
      <c r="J1478" s="102"/>
      <c r="K1478" s="102"/>
      <c r="L1478" s="102"/>
      <c r="M1478" s="102"/>
      <c r="N1478" s="102"/>
      <c r="O1478" s="102"/>
      <c r="P1478" s="102"/>
      <c r="Q1478" s="102"/>
      <c r="R1478" s="102"/>
    </row>
    <row r="1479" spans="1:18" ht="35.1" customHeight="1" x14ac:dyDescent="0.2">
      <c r="A1479" s="99"/>
      <c r="B1479" s="99"/>
      <c r="C1479" s="102"/>
      <c r="D1479" s="102"/>
      <c r="E1479" s="102"/>
      <c r="F1479" s="102"/>
      <c r="G1479" s="102"/>
      <c r="H1479" s="102"/>
      <c r="I1479" s="102"/>
      <c r="J1479" s="102"/>
      <c r="K1479" s="102"/>
      <c r="L1479" s="102"/>
      <c r="M1479" s="102"/>
      <c r="N1479" s="102"/>
      <c r="O1479" s="102"/>
      <c r="P1479" s="102"/>
      <c r="Q1479" s="102"/>
      <c r="R1479" s="102"/>
    </row>
    <row r="1480" spans="1:18" ht="35.1" customHeight="1" x14ac:dyDescent="0.2">
      <c r="A1480" s="99"/>
      <c r="B1480" s="99"/>
      <c r="C1480" s="102"/>
      <c r="D1480" s="102"/>
      <c r="E1480" s="102"/>
      <c r="F1480" s="102"/>
      <c r="G1480" s="102"/>
      <c r="H1480" s="102"/>
      <c r="I1480" s="102"/>
      <c r="J1480" s="102"/>
      <c r="K1480" s="102"/>
      <c r="L1480" s="102"/>
      <c r="M1480" s="102"/>
      <c r="N1480" s="102"/>
      <c r="O1480" s="102"/>
      <c r="P1480" s="102"/>
      <c r="Q1480" s="102"/>
      <c r="R1480" s="102"/>
    </row>
    <row r="1481" spans="1:18" ht="35.1" customHeight="1" x14ac:dyDescent="0.2">
      <c r="A1481" s="99"/>
      <c r="B1481" s="99"/>
      <c r="C1481" s="102"/>
      <c r="D1481" s="102"/>
      <c r="E1481" s="102"/>
      <c r="F1481" s="102"/>
      <c r="G1481" s="102"/>
      <c r="H1481" s="102"/>
      <c r="I1481" s="102"/>
      <c r="J1481" s="102"/>
      <c r="K1481" s="102"/>
      <c r="L1481" s="102"/>
      <c r="M1481" s="102"/>
      <c r="N1481" s="102"/>
      <c r="O1481" s="102"/>
      <c r="P1481" s="102"/>
      <c r="Q1481" s="102"/>
      <c r="R1481" s="102"/>
    </row>
    <row r="1482" spans="1:18" ht="35.1" customHeight="1" x14ac:dyDescent="0.2">
      <c r="A1482" s="99"/>
      <c r="B1482" s="99"/>
      <c r="C1482" s="102"/>
      <c r="D1482" s="102"/>
      <c r="E1482" s="102"/>
      <c r="F1482" s="102"/>
      <c r="G1482" s="102"/>
      <c r="H1482" s="102"/>
      <c r="I1482" s="102"/>
      <c r="J1482" s="102"/>
      <c r="K1482" s="102"/>
      <c r="L1482" s="102"/>
      <c r="M1482" s="102"/>
      <c r="N1482" s="102"/>
      <c r="O1482" s="102"/>
      <c r="P1482" s="102"/>
      <c r="Q1482" s="102"/>
      <c r="R1482" s="102"/>
    </row>
    <row r="1483" spans="1:18" ht="35.1" customHeight="1" x14ac:dyDescent="0.2">
      <c r="A1483" s="99"/>
      <c r="B1483" s="99"/>
      <c r="C1483" s="102"/>
      <c r="D1483" s="102"/>
      <c r="E1483" s="102"/>
      <c r="F1483" s="102"/>
      <c r="G1483" s="102"/>
      <c r="H1483" s="102"/>
      <c r="I1483" s="102"/>
      <c r="J1483" s="102"/>
      <c r="K1483" s="102"/>
      <c r="L1483" s="102"/>
      <c r="M1483" s="102"/>
      <c r="N1483" s="102"/>
      <c r="O1483" s="102"/>
      <c r="P1483" s="102"/>
      <c r="Q1483" s="102"/>
      <c r="R1483" s="102"/>
    </row>
    <row r="1484" spans="1:18" ht="35.1" customHeight="1" x14ac:dyDescent="0.2">
      <c r="A1484" s="99"/>
      <c r="B1484" s="99"/>
      <c r="C1484" s="102"/>
      <c r="D1484" s="102"/>
      <c r="E1484" s="102"/>
      <c r="F1484" s="102"/>
      <c r="G1484" s="102"/>
      <c r="H1484" s="102"/>
      <c r="I1484" s="102"/>
      <c r="J1484" s="102"/>
      <c r="K1484" s="102"/>
      <c r="L1484" s="102"/>
      <c r="M1484" s="102"/>
      <c r="N1484" s="102"/>
      <c r="O1484" s="102"/>
      <c r="P1484" s="102"/>
      <c r="Q1484" s="102"/>
      <c r="R1484" s="102"/>
    </row>
    <row r="1485" spans="1:18" ht="35.1" customHeight="1" x14ac:dyDescent="0.2">
      <c r="A1485" s="99"/>
      <c r="B1485" s="99"/>
      <c r="C1485" s="102"/>
      <c r="D1485" s="102"/>
      <c r="E1485" s="102"/>
      <c r="F1485" s="102"/>
      <c r="G1485" s="102"/>
      <c r="H1485" s="102"/>
      <c r="I1485" s="102"/>
      <c r="J1485" s="102"/>
      <c r="K1485" s="102"/>
      <c r="L1485" s="102"/>
      <c r="M1485" s="102"/>
      <c r="N1485" s="102"/>
      <c r="O1485" s="102"/>
      <c r="P1485" s="102"/>
      <c r="Q1485" s="102"/>
      <c r="R1485" s="102"/>
    </row>
    <row r="1486" spans="1:18" ht="35.1" customHeight="1" x14ac:dyDescent="0.2">
      <c r="A1486" s="99"/>
      <c r="B1486" s="99"/>
      <c r="C1486" s="102"/>
      <c r="D1486" s="102"/>
      <c r="E1486" s="102"/>
      <c r="F1486" s="102"/>
      <c r="G1486" s="102"/>
      <c r="H1486" s="102"/>
      <c r="I1486" s="102"/>
      <c r="J1486" s="102"/>
      <c r="K1486" s="102"/>
      <c r="L1486" s="102"/>
      <c r="M1486" s="102"/>
      <c r="N1486" s="102"/>
      <c r="O1486" s="102"/>
      <c r="P1486" s="102"/>
      <c r="Q1486" s="102"/>
      <c r="R1486" s="102"/>
    </row>
    <row r="1487" spans="1:18" ht="35.1" customHeight="1" x14ac:dyDescent="0.2">
      <c r="A1487" s="99"/>
      <c r="B1487" s="99"/>
      <c r="C1487" s="102"/>
      <c r="D1487" s="102"/>
      <c r="E1487" s="102"/>
      <c r="F1487" s="102"/>
      <c r="G1487" s="102"/>
      <c r="H1487" s="102"/>
      <c r="I1487" s="102"/>
      <c r="J1487" s="102"/>
      <c r="K1487" s="102"/>
      <c r="L1487" s="102"/>
      <c r="M1487" s="102"/>
      <c r="N1487" s="102"/>
      <c r="O1487" s="102"/>
      <c r="P1487" s="102"/>
      <c r="Q1487" s="102"/>
      <c r="R1487" s="102"/>
    </row>
    <row r="1488" spans="1:18" ht="35.1" customHeight="1" x14ac:dyDescent="0.2">
      <c r="A1488" s="99"/>
      <c r="B1488" s="99"/>
      <c r="C1488" s="102"/>
      <c r="D1488" s="102"/>
      <c r="E1488" s="102"/>
      <c r="F1488" s="102"/>
      <c r="G1488" s="102"/>
      <c r="H1488" s="102"/>
      <c r="I1488" s="102"/>
      <c r="J1488" s="102"/>
      <c r="K1488" s="102"/>
      <c r="L1488" s="102"/>
      <c r="M1488" s="102"/>
      <c r="N1488" s="102"/>
      <c r="O1488" s="102"/>
      <c r="P1488" s="102"/>
      <c r="Q1488" s="102"/>
      <c r="R1488" s="102"/>
    </row>
    <row r="1489" spans="1:18" ht="35.1" customHeight="1" x14ac:dyDescent="0.2">
      <c r="A1489" s="99"/>
      <c r="B1489" s="99"/>
      <c r="C1489" s="102"/>
      <c r="D1489" s="102"/>
      <c r="E1489" s="102"/>
      <c r="F1489" s="102"/>
      <c r="G1489" s="102"/>
      <c r="H1489" s="102"/>
      <c r="I1489" s="102"/>
      <c r="J1489" s="102"/>
      <c r="K1489" s="102"/>
      <c r="L1489" s="102"/>
      <c r="M1489" s="102"/>
      <c r="N1489" s="102"/>
      <c r="O1489" s="102"/>
      <c r="P1489" s="102"/>
      <c r="Q1489" s="102"/>
      <c r="R1489" s="102"/>
    </row>
    <row r="1490" spans="1:18" ht="35.1" customHeight="1" x14ac:dyDescent="0.2">
      <c r="A1490" s="99"/>
      <c r="B1490" s="99"/>
      <c r="C1490" s="102"/>
      <c r="D1490" s="102"/>
      <c r="E1490" s="102"/>
      <c r="F1490" s="102"/>
      <c r="G1490" s="102"/>
      <c r="H1490" s="102"/>
      <c r="I1490" s="102"/>
      <c r="J1490" s="102"/>
      <c r="K1490" s="102"/>
      <c r="L1490" s="102"/>
      <c r="M1490" s="102"/>
      <c r="N1490" s="102"/>
      <c r="O1490" s="102"/>
      <c r="P1490" s="102"/>
      <c r="Q1490" s="102"/>
      <c r="R1490" s="102"/>
    </row>
    <row r="1491" spans="1:18" ht="35.1" customHeight="1" x14ac:dyDescent="0.2">
      <c r="A1491" s="99"/>
      <c r="B1491" s="99"/>
      <c r="C1491" s="102"/>
      <c r="D1491" s="102"/>
      <c r="E1491" s="102"/>
      <c r="F1491" s="102"/>
      <c r="G1491" s="102"/>
      <c r="H1491" s="102"/>
      <c r="I1491" s="102"/>
      <c r="J1491" s="102"/>
      <c r="K1491" s="102"/>
      <c r="L1491" s="102"/>
      <c r="M1491" s="102"/>
      <c r="N1491" s="102"/>
      <c r="O1491" s="102"/>
      <c r="P1491" s="102"/>
      <c r="Q1491" s="102"/>
      <c r="R1491" s="102"/>
    </row>
    <row r="1492" spans="1:18" ht="35.1" customHeight="1" x14ac:dyDescent="0.2">
      <c r="A1492" s="99"/>
      <c r="B1492" s="99"/>
      <c r="C1492" s="102"/>
      <c r="D1492" s="102"/>
      <c r="E1492" s="102"/>
      <c r="F1492" s="102"/>
      <c r="G1492" s="102"/>
      <c r="H1492" s="102"/>
      <c r="I1492" s="102"/>
      <c r="J1492" s="102"/>
      <c r="K1492" s="102"/>
      <c r="L1492" s="102"/>
      <c r="M1492" s="102"/>
      <c r="N1492" s="102"/>
      <c r="O1492" s="102"/>
      <c r="P1492" s="102"/>
      <c r="Q1492" s="102"/>
      <c r="R1492" s="102"/>
    </row>
    <row r="1493" spans="1:18" ht="35.1" customHeight="1" x14ac:dyDescent="0.2">
      <c r="A1493" s="99"/>
      <c r="B1493" s="99"/>
      <c r="C1493" s="102"/>
      <c r="D1493" s="102"/>
      <c r="E1493" s="102"/>
      <c r="F1493" s="102"/>
      <c r="G1493" s="102"/>
      <c r="H1493" s="102"/>
      <c r="I1493" s="102"/>
      <c r="J1493" s="102"/>
      <c r="K1493" s="102"/>
      <c r="L1493" s="102"/>
      <c r="M1493" s="102"/>
      <c r="N1493" s="102"/>
      <c r="O1493" s="102"/>
      <c r="P1493" s="102"/>
      <c r="Q1493" s="102"/>
      <c r="R1493" s="102"/>
    </row>
    <row r="1494" spans="1:18" ht="35.1" customHeight="1" x14ac:dyDescent="0.2">
      <c r="A1494" s="99"/>
      <c r="B1494" s="99"/>
      <c r="C1494" s="102"/>
      <c r="D1494" s="102"/>
      <c r="E1494" s="102"/>
      <c r="F1494" s="102"/>
      <c r="G1494" s="102"/>
      <c r="H1494" s="102"/>
      <c r="I1494" s="102"/>
      <c r="J1494" s="102"/>
      <c r="K1494" s="102"/>
      <c r="L1494" s="102"/>
      <c r="M1494" s="102"/>
      <c r="N1494" s="102"/>
      <c r="O1494" s="102"/>
      <c r="P1494" s="102"/>
      <c r="Q1494" s="102"/>
      <c r="R1494" s="102"/>
    </row>
    <row r="1495" spans="1:18" ht="35.1" customHeight="1" x14ac:dyDescent="0.2">
      <c r="A1495" s="99"/>
      <c r="B1495" s="99"/>
      <c r="C1495" s="102"/>
      <c r="D1495" s="102"/>
      <c r="E1495" s="102"/>
      <c r="F1495" s="102"/>
      <c r="G1495" s="102"/>
      <c r="H1495" s="102"/>
      <c r="I1495" s="102"/>
      <c r="J1495" s="102"/>
      <c r="K1495" s="102"/>
      <c r="L1495" s="102"/>
      <c r="M1495" s="102"/>
      <c r="N1495" s="102"/>
      <c r="O1495" s="102"/>
      <c r="P1495" s="102"/>
      <c r="Q1495" s="102"/>
      <c r="R1495" s="102"/>
    </row>
    <row r="1496" spans="1:18" ht="35.1" customHeight="1" x14ac:dyDescent="0.2">
      <c r="A1496" s="99"/>
      <c r="B1496" s="99"/>
      <c r="C1496" s="102"/>
      <c r="D1496" s="102"/>
      <c r="E1496" s="102"/>
      <c r="F1496" s="102"/>
      <c r="G1496" s="102"/>
      <c r="H1496" s="102"/>
      <c r="I1496" s="102"/>
      <c r="J1496" s="102"/>
      <c r="K1496" s="102"/>
      <c r="L1496" s="102"/>
      <c r="M1496" s="102"/>
      <c r="N1496" s="102"/>
      <c r="O1496" s="102"/>
      <c r="P1496" s="102"/>
      <c r="Q1496" s="102"/>
      <c r="R1496" s="102"/>
    </row>
    <row r="1497" spans="1:18" ht="35.1" customHeight="1" x14ac:dyDescent="0.2">
      <c r="A1497" s="99"/>
      <c r="B1497" s="99"/>
      <c r="C1497" s="102"/>
      <c r="D1497" s="102"/>
      <c r="E1497" s="102"/>
      <c r="F1497" s="102"/>
      <c r="G1497" s="102"/>
      <c r="H1497" s="102"/>
      <c r="I1497" s="102"/>
      <c r="J1497" s="102"/>
      <c r="K1497" s="102"/>
      <c r="L1497" s="102"/>
      <c r="M1497" s="102"/>
      <c r="N1497" s="102"/>
      <c r="O1497" s="102"/>
      <c r="P1497" s="102"/>
      <c r="Q1497" s="102"/>
      <c r="R1497" s="102"/>
    </row>
    <row r="1498" spans="1:18" ht="35.1" customHeight="1" x14ac:dyDescent="0.2">
      <c r="A1498" s="99"/>
      <c r="B1498" s="99"/>
      <c r="C1498" s="102"/>
      <c r="D1498" s="102"/>
      <c r="E1498" s="102"/>
      <c r="F1498" s="102"/>
      <c r="G1498" s="102"/>
      <c r="H1498" s="102"/>
      <c r="I1498" s="102"/>
      <c r="J1498" s="102"/>
      <c r="K1498" s="102"/>
      <c r="L1498" s="102"/>
      <c r="M1498" s="102"/>
      <c r="N1498" s="102"/>
      <c r="O1498" s="102"/>
      <c r="P1498" s="102"/>
      <c r="Q1498" s="102"/>
      <c r="R1498" s="102"/>
    </row>
    <row r="1499" spans="1:18" ht="35.1" customHeight="1" x14ac:dyDescent="0.2">
      <c r="A1499" s="99"/>
      <c r="B1499" s="99"/>
      <c r="C1499" s="102"/>
      <c r="D1499" s="102"/>
      <c r="E1499" s="102"/>
      <c r="F1499" s="102"/>
      <c r="G1499" s="102"/>
      <c r="H1499" s="102"/>
      <c r="I1499" s="102"/>
      <c r="J1499" s="102"/>
      <c r="K1499" s="102"/>
      <c r="L1499" s="102"/>
      <c r="M1499" s="102"/>
      <c r="N1499" s="102"/>
      <c r="O1499" s="102"/>
      <c r="P1499" s="102"/>
      <c r="Q1499" s="102"/>
      <c r="R1499" s="102"/>
    </row>
    <row r="1500" spans="1:18" ht="35.1" customHeight="1" x14ac:dyDescent="0.2">
      <c r="A1500" s="99"/>
      <c r="B1500" s="99"/>
      <c r="C1500" s="102"/>
      <c r="D1500" s="102"/>
      <c r="E1500" s="102"/>
      <c r="F1500" s="102"/>
      <c r="G1500" s="102"/>
      <c r="H1500" s="102"/>
      <c r="I1500" s="102"/>
      <c r="J1500" s="102"/>
      <c r="K1500" s="102"/>
      <c r="L1500" s="102"/>
      <c r="M1500" s="102"/>
      <c r="N1500" s="102"/>
      <c r="O1500" s="102"/>
      <c r="P1500" s="102"/>
      <c r="Q1500" s="102"/>
      <c r="R1500" s="102"/>
    </row>
    <row r="1501" spans="1:18" ht="35.1" customHeight="1" x14ac:dyDescent="0.2">
      <c r="A1501" s="99"/>
      <c r="B1501" s="99"/>
      <c r="C1501" s="102"/>
      <c r="D1501" s="102"/>
      <c r="E1501" s="102"/>
      <c r="F1501" s="102"/>
      <c r="G1501" s="102"/>
      <c r="H1501" s="102"/>
      <c r="I1501" s="102"/>
      <c r="J1501" s="102"/>
      <c r="K1501" s="102"/>
      <c r="L1501" s="102"/>
      <c r="M1501" s="102"/>
      <c r="N1501" s="102"/>
      <c r="O1501" s="102"/>
      <c r="P1501" s="102"/>
      <c r="Q1501" s="102"/>
      <c r="R1501" s="102"/>
    </row>
    <row r="1502" spans="1:18" ht="35.1" customHeight="1" x14ac:dyDescent="0.2">
      <c r="A1502" s="99"/>
      <c r="B1502" s="99"/>
      <c r="C1502" s="102"/>
      <c r="D1502" s="102"/>
      <c r="E1502" s="102"/>
      <c r="F1502" s="102"/>
      <c r="G1502" s="102"/>
      <c r="H1502" s="102"/>
      <c r="I1502" s="102"/>
      <c r="J1502" s="102"/>
      <c r="K1502" s="102"/>
      <c r="L1502" s="102"/>
      <c r="M1502" s="102"/>
      <c r="N1502" s="102"/>
      <c r="O1502" s="102"/>
      <c r="P1502" s="102"/>
      <c r="Q1502" s="102"/>
      <c r="R1502" s="102"/>
    </row>
    <row r="1503" spans="1:18" ht="35.1" customHeight="1" x14ac:dyDescent="0.2">
      <c r="A1503" s="99"/>
      <c r="B1503" s="99"/>
      <c r="C1503" s="102"/>
      <c r="D1503" s="102"/>
      <c r="E1503" s="102"/>
      <c r="F1503" s="102"/>
      <c r="G1503" s="102"/>
      <c r="H1503" s="102"/>
      <c r="I1503" s="102"/>
      <c r="J1503" s="102"/>
      <c r="K1503" s="102"/>
      <c r="L1503" s="102"/>
      <c r="M1503" s="102"/>
      <c r="N1503" s="102"/>
      <c r="O1503" s="102"/>
      <c r="P1503" s="102"/>
      <c r="Q1503" s="102"/>
      <c r="R1503" s="102"/>
    </row>
    <row r="1504" spans="1:18" ht="35.1" customHeight="1" x14ac:dyDescent="0.2">
      <c r="A1504" s="99"/>
      <c r="B1504" s="99"/>
      <c r="C1504" s="102"/>
      <c r="D1504" s="102"/>
      <c r="E1504" s="102"/>
      <c r="F1504" s="102"/>
      <c r="G1504" s="102"/>
      <c r="H1504" s="102"/>
      <c r="I1504" s="102"/>
      <c r="J1504" s="102"/>
      <c r="K1504" s="102"/>
      <c r="L1504" s="102"/>
      <c r="M1504" s="102"/>
      <c r="N1504" s="102"/>
      <c r="O1504" s="102"/>
      <c r="P1504" s="102"/>
      <c r="Q1504" s="102"/>
      <c r="R1504" s="102"/>
    </row>
    <row r="1505" spans="1:18" ht="35.1" customHeight="1" x14ac:dyDescent="0.2">
      <c r="A1505" s="99"/>
      <c r="B1505" s="99"/>
      <c r="C1505" s="102"/>
      <c r="D1505" s="102"/>
      <c r="E1505" s="102"/>
      <c r="F1505" s="102"/>
      <c r="G1505" s="102"/>
      <c r="H1505" s="102"/>
      <c r="I1505" s="102"/>
      <c r="J1505" s="102"/>
      <c r="K1505" s="102"/>
      <c r="L1505" s="102"/>
      <c r="M1505" s="102"/>
      <c r="N1505" s="102"/>
      <c r="O1505" s="102"/>
      <c r="P1505" s="102"/>
      <c r="Q1505" s="102"/>
      <c r="R1505" s="102"/>
    </row>
    <row r="1506" spans="1:18" ht="35.1" customHeight="1" x14ac:dyDescent="0.2">
      <c r="A1506" s="99"/>
      <c r="B1506" s="99"/>
      <c r="C1506" s="102"/>
      <c r="D1506" s="102"/>
      <c r="E1506" s="102"/>
      <c r="F1506" s="102"/>
      <c r="G1506" s="102"/>
      <c r="H1506" s="102"/>
      <c r="I1506" s="102"/>
      <c r="J1506" s="102"/>
      <c r="K1506" s="102"/>
      <c r="L1506" s="102"/>
      <c r="M1506" s="102"/>
      <c r="N1506" s="102"/>
      <c r="O1506" s="102"/>
      <c r="P1506" s="102"/>
      <c r="Q1506" s="102"/>
      <c r="R1506" s="102"/>
    </row>
    <row r="1507" spans="1:18" ht="35.1" customHeight="1" x14ac:dyDescent="0.2">
      <c r="A1507" s="99"/>
      <c r="B1507" s="99"/>
      <c r="C1507" s="102"/>
      <c r="D1507" s="102"/>
      <c r="E1507" s="102"/>
      <c r="F1507" s="102"/>
      <c r="G1507" s="102"/>
      <c r="H1507" s="102"/>
      <c r="I1507" s="102"/>
      <c r="J1507" s="102"/>
      <c r="K1507" s="102"/>
      <c r="L1507" s="102"/>
      <c r="M1507" s="102"/>
      <c r="N1507" s="102"/>
      <c r="O1507" s="102"/>
      <c r="P1507" s="102"/>
      <c r="Q1507" s="102"/>
      <c r="R1507" s="102"/>
    </row>
    <row r="1508" spans="1:18" ht="35.1" customHeight="1" x14ac:dyDescent="0.2">
      <c r="A1508" s="99"/>
      <c r="B1508" s="99"/>
      <c r="C1508" s="102"/>
      <c r="D1508" s="102"/>
      <c r="E1508" s="102"/>
      <c r="F1508" s="102"/>
      <c r="G1508" s="102"/>
      <c r="H1508" s="102"/>
      <c r="I1508" s="102"/>
      <c r="J1508" s="102"/>
      <c r="K1508" s="102"/>
      <c r="L1508" s="102"/>
      <c r="M1508" s="102"/>
      <c r="N1508" s="102"/>
      <c r="O1508" s="102"/>
      <c r="P1508" s="102"/>
      <c r="Q1508" s="102"/>
      <c r="R1508" s="102"/>
    </row>
    <row r="1509" spans="1:18" ht="35.1" customHeight="1" x14ac:dyDescent="0.2">
      <c r="A1509" s="99"/>
      <c r="B1509" s="99"/>
      <c r="C1509" s="102"/>
      <c r="D1509" s="102"/>
      <c r="E1509" s="102"/>
      <c r="F1509" s="102"/>
      <c r="G1509" s="102"/>
      <c r="H1509" s="102"/>
      <c r="I1509" s="102"/>
      <c r="J1509" s="102"/>
      <c r="K1509" s="102"/>
      <c r="L1509" s="102"/>
      <c r="M1509" s="102"/>
      <c r="N1509" s="102"/>
      <c r="O1509" s="102"/>
      <c r="P1509" s="102"/>
      <c r="Q1509" s="102"/>
      <c r="R1509" s="102"/>
    </row>
    <row r="1510" spans="1:18" ht="35.1" customHeight="1" x14ac:dyDescent="0.2">
      <c r="A1510" s="99"/>
      <c r="B1510" s="99"/>
      <c r="C1510" s="102"/>
      <c r="D1510" s="102"/>
      <c r="E1510" s="102"/>
      <c r="F1510" s="102"/>
      <c r="G1510" s="102"/>
      <c r="H1510" s="102"/>
      <c r="I1510" s="102"/>
      <c r="J1510" s="102"/>
      <c r="K1510" s="102"/>
      <c r="L1510" s="102"/>
      <c r="M1510" s="102"/>
      <c r="N1510" s="102"/>
      <c r="O1510" s="102"/>
      <c r="P1510" s="102"/>
      <c r="Q1510" s="102"/>
      <c r="R1510" s="102"/>
    </row>
    <row r="1511" spans="1:18" ht="35.1" customHeight="1" x14ac:dyDescent="0.2">
      <c r="A1511" s="99"/>
      <c r="B1511" s="99"/>
      <c r="C1511" s="102"/>
      <c r="D1511" s="102"/>
      <c r="E1511" s="102"/>
      <c r="F1511" s="102"/>
      <c r="G1511" s="102"/>
      <c r="H1511" s="102"/>
      <c r="I1511" s="102"/>
      <c r="J1511" s="102"/>
      <c r="K1511" s="102"/>
      <c r="L1511" s="102"/>
      <c r="M1511" s="102"/>
      <c r="N1511" s="102"/>
      <c r="O1511" s="102"/>
      <c r="P1511" s="102"/>
      <c r="Q1511" s="102"/>
      <c r="R1511" s="102"/>
    </row>
    <row r="1512" spans="1:18" ht="35.1" customHeight="1" x14ac:dyDescent="0.2">
      <c r="A1512" s="99"/>
      <c r="B1512" s="99"/>
      <c r="C1512" s="102"/>
      <c r="D1512" s="102"/>
      <c r="E1512" s="102"/>
      <c r="F1512" s="102"/>
      <c r="G1512" s="102"/>
      <c r="H1512" s="102"/>
      <c r="I1512" s="102"/>
      <c r="J1512" s="102"/>
      <c r="K1512" s="102"/>
      <c r="L1512" s="102"/>
      <c r="M1512" s="102"/>
      <c r="N1512" s="102"/>
      <c r="O1512" s="102"/>
      <c r="P1512" s="102"/>
      <c r="Q1512" s="102"/>
      <c r="R1512" s="102"/>
    </row>
    <row r="1513" spans="1:18" ht="35.1" customHeight="1" x14ac:dyDescent="0.2">
      <c r="A1513" s="99"/>
      <c r="B1513" s="99"/>
      <c r="C1513" s="102"/>
      <c r="D1513" s="102"/>
      <c r="E1513" s="102"/>
      <c r="F1513" s="102"/>
      <c r="G1513" s="102"/>
      <c r="H1513" s="102"/>
      <c r="I1513" s="102"/>
      <c r="J1513" s="102"/>
      <c r="K1513" s="102"/>
      <c r="L1513" s="102"/>
      <c r="M1513" s="102"/>
      <c r="N1513" s="102"/>
      <c r="O1513" s="102"/>
      <c r="P1513" s="102"/>
      <c r="Q1513" s="102"/>
      <c r="R1513" s="102"/>
    </row>
    <row r="1514" spans="1:18" ht="35.1" customHeight="1" x14ac:dyDescent="0.2">
      <c r="A1514" s="99"/>
      <c r="B1514" s="99"/>
      <c r="C1514" s="102"/>
      <c r="D1514" s="102"/>
      <c r="E1514" s="102"/>
      <c r="F1514" s="102"/>
      <c r="G1514" s="102"/>
      <c r="H1514" s="102"/>
      <c r="I1514" s="102"/>
      <c r="J1514" s="102"/>
      <c r="K1514" s="102"/>
      <c r="L1514" s="102"/>
      <c r="M1514" s="102"/>
      <c r="N1514" s="102"/>
      <c r="O1514" s="102"/>
      <c r="P1514" s="102"/>
      <c r="Q1514" s="102"/>
      <c r="R1514" s="102"/>
    </row>
    <row r="1515" spans="1:18" ht="35.1" customHeight="1" x14ac:dyDescent="0.2">
      <c r="A1515" s="99"/>
      <c r="B1515" s="99"/>
      <c r="C1515" s="102"/>
      <c r="D1515" s="102"/>
      <c r="E1515" s="102"/>
      <c r="F1515" s="102"/>
      <c r="G1515" s="102"/>
      <c r="H1515" s="102"/>
      <c r="I1515" s="102"/>
      <c r="J1515" s="102"/>
      <c r="K1515" s="102"/>
      <c r="L1515" s="102"/>
      <c r="M1515" s="102"/>
      <c r="N1515" s="102"/>
      <c r="O1515" s="102"/>
      <c r="P1515" s="102"/>
      <c r="Q1515" s="102"/>
      <c r="R1515" s="102"/>
    </row>
    <row r="1516" spans="1:18" ht="35.1" customHeight="1" x14ac:dyDescent="0.2">
      <c r="A1516" s="99"/>
      <c r="B1516" s="99"/>
      <c r="C1516" s="102"/>
      <c r="D1516" s="102"/>
      <c r="E1516" s="102"/>
      <c r="F1516" s="102"/>
      <c r="G1516" s="102"/>
      <c r="H1516" s="102"/>
      <c r="I1516" s="102"/>
      <c r="J1516" s="102"/>
      <c r="K1516" s="102"/>
      <c r="L1516" s="102"/>
      <c r="M1516" s="102"/>
      <c r="N1516" s="102"/>
      <c r="O1516" s="102"/>
      <c r="P1516" s="102"/>
      <c r="Q1516" s="102"/>
      <c r="R1516" s="102"/>
    </row>
    <row r="1517" spans="1:18" ht="35.1" customHeight="1" x14ac:dyDescent="0.2">
      <c r="A1517" s="99"/>
      <c r="B1517" s="99"/>
      <c r="C1517" s="102"/>
      <c r="D1517" s="102"/>
      <c r="E1517" s="102"/>
      <c r="F1517" s="102"/>
      <c r="G1517" s="102"/>
      <c r="H1517" s="102"/>
      <c r="I1517" s="102"/>
      <c r="J1517" s="102"/>
      <c r="K1517" s="102"/>
      <c r="L1517" s="102"/>
      <c r="M1517" s="102"/>
      <c r="N1517" s="102"/>
      <c r="O1517" s="102"/>
      <c r="P1517" s="102"/>
      <c r="Q1517" s="102"/>
      <c r="R1517" s="102"/>
    </row>
    <row r="1518" spans="1:18" ht="35.1" customHeight="1" x14ac:dyDescent="0.2">
      <c r="A1518" s="99"/>
      <c r="B1518" s="99"/>
      <c r="C1518" s="102"/>
      <c r="D1518" s="102"/>
      <c r="E1518" s="102"/>
      <c r="F1518" s="102"/>
      <c r="G1518" s="102"/>
      <c r="H1518" s="102"/>
      <c r="I1518" s="102"/>
      <c r="J1518" s="102"/>
      <c r="K1518" s="102"/>
      <c r="L1518" s="102"/>
      <c r="M1518" s="102"/>
      <c r="N1518" s="102"/>
      <c r="O1518" s="102"/>
      <c r="P1518" s="102"/>
      <c r="Q1518" s="102"/>
      <c r="R1518" s="102"/>
    </row>
    <row r="1519" spans="1:18" ht="35.1" customHeight="1" x14ac:dyDescent="0.2">
      <c r="A1519" s="99"/>
      <c r="B1519" s="99"/>
      <c r="C1519" s="102"/>
      <c r="D1519" s="102"/>
      <c r="E1519" s="102"/>
      <c r="F1519" s="102"/>
      <c r="G1519" s="102"/>
      <c r="H1519" s="102"/>
      <c r="I1519" s="102"/>
      <c r="J1519" s="102"/>
      <c r="K1519" s="102"/>
      <c r="L1519" s="102"/>
      <c r="M1519" s="102"/>
      <c r="N1519" s="102"/>
      <c r="O1519" s="102"/>
      <c r="P1519" s="102"/>
      <c r="Q1519" s="102"/>
      <c r="R1519" s="102"/>
    </row>
    <row r="1520" spans="1:18" ht="35.1" customHeight="1" x14ac:dyDescent="0.2">
      <c r="A1520" s="99"/>
      <c r="B1520" s="99"/>
      <c r="C1520" s="102"/>
      <c r="D1520" s="102"/>
      <c r="E1520" s="102"/>
      <c r="F1520" s="102"/>
      <c r="G1520" s="102"/>
      <c r="H1520" s="102"/>
      <c r="I1520" s="102"/>
      <c r="J1520" s="102"/>
      <c r="K1520" s="102"/>
      <c r="L1520" s="102"/>
      <c r="M1520" s="102"/>
      <c r="N1520" s="102"/>
      <c r="O1520" s="102"/>
      <c r="P1520" s="102"/>
      <c r="Q1520" s="102"/>
      <c r="R1520" s="102"/>
    </row>
    <row r="1521" spans="1:18" ht="35.1" customHeight="1" x14ac:dyDescent="0.2">
      <c r="A1521" s="99"/>
      <c r="B1521" s="99"/>
      <c r="C1521" s="102"/>
      <c r="D1521" s="102"/>
      <c r="E1521" s="102"/>
      <c r="F1521" s="102"/>
      <c r="G1521" s="102"/>
      <c r="H1521" s="102"/>
      <c r="I1521" s="102"/>
      <c r="J1521" s="102"/>
      <c r="K1521" s="102"/>
      <c r="L1521" s="102"/>
      <c r="M1521" s="102"/>
      <c r="N1521" s="102"/>
      <c r="O1521" s="102"/>
      <c r="P1521" s="102"/>
      <c r="Q1521" s="102"/>
      <c r="R1521" s="102"/>
    </row>
    <row r="1522" spans="1:18" ht="35.1" customHeight="1" x14ac:dyDescent="0.2">
      <c r="A1522" s="99"/>
      <c r="B1522" s="99"/>
      <c r="C1522" s="102"/>
      <c r="D1522" s="102"/>
      <c r="E1522" s="102"/>
      <c r="F1522" s="102"/>
      <c r="G1522" s="102"/>
      <c r="H1522" s="102"/>
      <c r="I1522" s="102"/>
      <c r="J1522" s="102"/>
      <c r="K1522" s="102"/>
      <c r="L1522" s="102"/>
      <c r="M1522" s="102"/>
      <c r="N1522" s="102"/>
      <c r="O1522" s="102"/>
      <c r="P1522" s="102"/>
      <c r="Q1522" s="102"/>
      <c r="R1522" s="102"/>
    </row>
    <row r="1523" spans="1:18" ht="35.1" customHeight="1" x14ac:dyDescent="0.2">
      <c r="A1523" s="99"/>
      <c r="B1523" s="99"/>
      <c r="C1523" s="102"/>
      <c r="D1523" s="102"/>
      <c r="E1523" s="102"/>
      <c r="F1523" s="102"/>
      <c r="G1523" s="102"/>
      <c r="H1523" s="102"/>
      <c r="I1523" s="102"/>
      <c r="J1523" s="102"/>
      <c r="K1523" s="102"/>
      <c r="L1523" s="102"/>
      <c r="M1523" s="102"/>
      <c r="N1523" s="102"/>
      <c r="O1523" s="102"/>
      <c r="P1523" s="102"/>
      <c r="Q1523" s="102"/>
      <c r="R1523" s="102"/>
    </row>
    <row r="1524" spans="1:18" ht="35.1" customHeight="1" x14ac:dyDescent="0.2">
      <c r="A1524" s="99"/>
      <c r="B1524" s="99"/>
      <c r="C1524" s="102"/>
      <c r="D1524" s="102"/>
      <c r="E1524" s="102"/>
      <c r="F1524" s="102"/>
      <c r="G1524" s="102"/>
      <c r="H1524" s="102"/>
      <c r="I1524" s="102"/>
      <c r="J1524" s="102"/>
      <c r="K1524" s="102"/>
      <c r="L1524" s="102"/>
      <c r="M1524" s="102"/>
      <c r="N1524" s="102"/>
      <c r="O1524" s="102"/>
      <c r="P1524" s="102"/>
      <c r="Q1524" s="102"/>
      <c r="R1524" s="102"/>
    </row>
    <row r="1525" spans="1:18" ht="35.1" customHeight="1" x14ac:dyDescent="0.2">
      <c r="A1525" s="99"/>
      <c r="B1525" s="99"/>
      <c r="C1525" s="102"/>
      <c r="D1525" s="102"/>
      <c r="E1525" s="102"/>
      <c r="F1525" s="102"/>
      <c r="G1525" s="102"/>
      <c r="H1525" s="102"/>
      <c r="I1525" s="102"/>
      <c r="J1525" s="102"/>
      <c r="K1525" s="102"/>
      <c r="L1525" s="102"/>
      <c r="M1525" s="102"/>
      <c r="N1525" s="102"/>
      <c r="O1525" s="102"/>
      <c r="P1525" s="102"/>
      <c r="Q1525" s="102"/>
      <c r="R1525" s="102"/>
    </row>
    <row r="1526" spans="1:18" ht="35.1" customHeight="1" x14ac:dyDescent="0.2">
      <c r="A1526" s="99"/>
      <c r="B1526" s="99"/>
      <c r="C1526" s="102"/>
      <c r="D1526" s="102"/>
      <c r="E1526" s="102"/>
      <c r="F1526" s="102"/>
      <c r="G1526" s="102"/>
      <c r="H1526" s="102"/>
      <c r="I1526" s="102"/>
      <c r="J1526" s="102"/>
      <c r="K1526" s="102"/>
      <c r="L1526" s="102"/>
      <c r="M1526" s="102"/>
      <c r="N1526" s="102"/>
      <c r="O1526" s="102"/>
      <c r="P1526" s="102"/>
      <c r="Q1526" s="102"/>
      <c r="R1526" s="102"/>
    </row>
    <row r="1527" spans="1:18" ht="35.1" customHeight="1" x14ac:dyDescent="0.2">
      <c r="A1527" s="99"/>
      <c r="B1527" s="99"/>
      <c r="C1527" s="102"/>
      <c r="D1527" s="102"/>
      <c r="E1527" s="102"/>
      <c r="F1527" s="102"/>
      <c r="G1527" s="102"/>
      <c r="H1527" s="102"/>
      <c r="I1527" s="102"/>
      <c r="J1527" s="102"/>
      <c r="K1527" s="102"/>
      <c r="L1527" s="102"/>
      <c r="M1527" s="102"/>
      <c r="N1527" s="102"/>
      <c r="O1527" s="102"/>
      <c r="P1527" s="102"/>
      <c r="Q1527" s="102"/>
      <c r="R1527" s="102"/>
    </row>
    <row r="1528" spans="1:18" ht="35.1" customHeight="1" x14ac:dyDescent="0.2">
      <c r="A1528" s="99"/>
      <c r="B1528" s="99"/>
      <c r="C1528" s="102"/>
      <c r="D1528" s="102"/>
      <c r="E1528" s="102"/>
      <c r="F1528" s="102"/>
      <c r="G1528" s="102"/>
      <c r="H1528" s="102"/>
      <c r="I1528" s="102"/>
      <c r="J1528" s="102"/>
      <c r="K1528" s="102"/>
      <c r="L1528" s="102"/>
      <c r="M1528" s="102"/>
      <c r="N1528" s="102"/>
      <c r="O1528" s="102"/>
      <c r="P1528" s="102"/>
      <c r="Q1528" s="102"/>
      <c r="R1528" s="102"/>
    </row>
    <row r="1529" spans="1:18" ht="35.1" customHeight="1" x14ac:dyDescent="0.2">
      <c r="A1529" s="99"/>
      <c r="B1529" s="99"/>
      <c r="C1529" s="102"/>
      <c r="D1529" s="102"/>
      <c r="E1529" s="102"/>
      <c r="F1529" s="102"/>
      <c r="G1529" s="102"/>
      <c r="H1529" s="102"/>
      <c r="I1529" s="102"/>
      <c r="J1529" s="102"/>
      <c r="K1529" s="102"/>
      <c r="L1529" s="102"/>
      <c r="M1529" s="102"/>
      <c r="N1529" s="102"/>
      <c r="O1529" s="102"/>
      <c r="P1529" s="102"/>
      <c r="Q1529" s="102"/>
      <c r="R1529" s="102"/>
    </row>
    <row r="1530" spans="1:18" ht="35.1" customHeight="1" x14ac:dyDescent="0.2">
      <c r="A1530" s="99"/>
      <c r="B1530" s="99"/>
      <c r="C1530" s="102"/>
      <c r="D1530" s="102"/>
      <c r="E1530" s="102"/>
      <c r="F1530" s="102"/>
      <c r="G1530" s="102"/>
      <c r="H1530" s="102"/>
      <c r="I1530" s="102"/>
      <c r="J1530" s="102"/>
      <c r="K1530" s="102"/>
      <c r="L1530" s="102"/>
      <c r="M1530" s="102"/>
      <c r="N1530" s="102"/>
      <c r="O1530" s="102"/>
      <c r="P1530" s="102"/>
      <c r="Q1530" s="102"/>
      <c r="R1530" s="102"/>
    </row>
    <row r="1531" spans="1:18" ht="35.1" customHeight="1" x14ac:dyDescent="0.2">
      <c r="A1531" s="99"/>
      <c r="B1531" s="99"/>
      <c r="C1531" s="102"/>
      <c r="D1531" s="102"/>
      <c r="E1531" s="102"/>
      <c r="F1531" s="102"/>
      <c r="G1531" s="102"/>
      <c r="H1531" s="102"/>
      <c r="I1531" s="102"/>
      <c r="J1531" s="102"/>
      <c r="K1531" s="102"/>
      <c r="L1531" s="102"/>
      <c r="M1531" s="102"/>
      <c r="N1531" s="102"/>
      <c r="O1531" s="102"/>
      <c r="P1531" s="102"/>
      <c r="Q1531" s="102"/>
      <c r="R1531" s="102"/>
    </row>
    <row r="1532" spans="1:18" ht="35.1" customHeight="1" x14ac:dyDescent="0.2">
      <c r="A1532" s="99"/>
      <c r="B1532" s="99"/>
      <c r="C1532" s="102"/>
      <c r="D1532" s="102"/>
      <c r="E1532" s="102"/>
      <c r="F1532" s="102"/>
      <c r="G1532" s="102"/>
      <c r="H1532" s="102"/>
      <c r="I1532" s="102"/>
      <c r="J1532" s="102"/>
      <c r="K1532" s="102"/>
      <c r="L1532" s="102"/>
      <c r="M1532" s="102"/>
      <c r="N1532" s="102"/>
      <c r="O1532" s="102"/>
      <c r="P1532" s="102"/>
      <c r="Q1532" s="102"/>
      <c r="R1532" s="102"/>
    </row>
    <row r="1533" spans="1:18" ht="35.1" customHeight="1" x14ac:dyDescent="0.2">
      <c r="A1533" s="99"/>
      <c r="B1533" s="99"/>
      <c r="C1533" s="102"/>
      <c r="D1533" s="102"/>
      <c r="E1533" s="102"/>
      <c r="F1533" s="102"/>
      <c r="G1533" s="102"/>
      <c r="H1533" s="102"/>
      <c r="I1533" s="102"/>
      <c r="J1533" s="102"/>
      <c r="K1533" s="102"/>
      <c r="L1533" s="102"/>
      <c r="M1533" s="102"/>
      <c r="N1533" s="102"/>
      <c r="O1533" s="102"/>
      <c r="P1533" s="102"/>
      <c r="Q1533" s="102"/>
      <c r="R1533" s="102"/>
    </row>
    <row r="1534" spans="1:18" ht="35.1" customHeight="1" x14ac:dyDescent="0.2">
      <c r="A1534" s="99"/>
      <c r="B1534" s="99"/>
      <c r="C1534" s="102"/>
      <c r="D1534" s="102"/>
      <c r="E1534" s="102"/>
      <c r="F1534" s="102"/>
      <c r="G1534" s="102"/>
      <c r="H1534" s="102"/>
      <c r="I1534" s="102"/>
      <c r="J1534" s="102"/>
      <c r="K1534" s="102"/>
      <c r="L1534" s="102"/>
      <c r="M1534" s="102"/>
      <c r="N1534" s="102"/>
      <c r="O1534" s="102"/>
      <c r="P1534" s="102"/>
      <c r="Q1534" s="102"/>
      <c r="R1534" s="102"/>
    </row>
    <row r="1535" spans="1:18" ht="35.1" customHeight="1" x14ac:dyDescent="0.2">
      <c r="A1535" s="99"/>
      <c r="B1535" s="99"/>
      <c r="C1535" s="102"/>
      <c r="D1535" s="102"/>
      <c r="E1535" s="102"/>
      <c r="F1535" s="102"/>
      <c r="G1535" s="102"/>
      <c r="H1535" s="102"/>
      <c r="I1535" s="102"/>
      <c r="J1535" s="102"/>
      <c r="K1535" s="102"/>
      <c r="L1535" s="102"/>
      <c r="M1535" s="102"/>
      <c r="N1535" s="102"/>
      <c r="O1535" s="102"/>
      <c r="P1535" s="102"/>
      <c r="Q1535" s="102"/>
      <c r="R1535" s="102"/>
    </row>
    <row r="1536" spans="1:18" ht="35.1" customHeight="1" x14ac:dyDescent="0.2">
      <c r="A1536" s="99"/>
      <c r="B1536" s="99"/>
      <c r="C1536" s="102"/>
      <c r="D1536" s="102"/>
      <c r="E1536" s="102"/>
      <c r="F1536" s="102"/>
      <c r="G1536" s="102"/>
      <c r="H1536" s="102"/>
      <c r="I1536" s="102"/>
      <c r="J1536" s="102"/>
      <c r="K1536" s="102"/>
      <c r="L1536" s="102"/>
      <c r="M1536" s="102"/>
      <c r="N1536" s="102"/>
      <c r="O1536" s="102"/>
      <c r="P1536" s="102"/>
      <c r="Q1536" s="102"/>
      <c r="R1536" s="102"/>
    </row>
    <row r="1537" spans="1:18" ht="35.1" customHeight="1" x14ac:dyDescent="0.2">
      <c r="A1537" s="99"/>
      <c r="B1537" s="99"/>
      <c r="C1537" s="102"/>
      <c r="D1537" s="102"/>
      <c r="E1537" s="102"/>
      <c r="F1537" s="102"/>
      <c r="G1537" s="102"/>
      <c r="H1537" s="102"/>
      <c r="I1537" s="102"/>
      <c r="J1537" s="102"/>
      <c r="K1537" s="102"/>
      <c r="L1537" s="102"/>
      <c r="M1537" s="102"/>
      <c r="N1537" s="102"/>
      <c r="O1537" s="102"/>
      <c r="P1537" s="102"/>
      <c r="Q1537" s="102"/>
      <c r="R1537" s="102"/>
    </row>
    <row r="1538" spans="1:18" ht="35.1" customHeight="1" x14ac:dyDescent="0.2">
      <c r="A1538" s="99"/>
      <c r="B1538" s="99"/>
      <c r="C1538" s="102"/>
      <c r="D1538" s="102"/>
      <c r="E1538" s="102"/>
      <c r="F1538" s="102"/>
      <c r="G1538" s="102"/>
      <c r="H1538" s="102"/>
      <c r="I1538" s="102"/>
      <c r="J1538" s="102"/>
      <c r="K1538" s="102"/>
      <c r="L1538" s="102"/>
      <c r="M1538" s="102"/>
      <c r="N1538" s="102"/>
      <c r="O1538" s="102"/>
      <c r="P1538" s="102"/>
      <c r="Q1538" s="102"/>
      <c r="R1538" s="102"/>
    </row>
    <row r="1539" spans="1:18" ht="35.1" customHeight="1" x14ac:dyDescent="0.2">
      <c r="A1539" s="99"/>
      <c r="B1539" s="99"/>
      <c r="C1539" s="102"/>
      <c r="D1539" s="102"/>
      <c r="E1539" s="102"/>
      <c r="F1539" s="102"/>
      <c r="G1539" s="102"/>
      <c r="H1539" s="102"/>
      <c r="I1539" s="102"/>
      <c r="J1539" s="102"/>
      <c r="K1539" s="102"/>
      <c r="L1539" s="102"/>
      <c r="M1539" s="102"/>
      <c r="N1539" s="102"/>
      <c r="O1539" s="102"/>
      <c r="P1539" s="102"/>
      <c r="Q1539" s="102"/>
      <c r="R1539" s="102"/>
    </row>
    <row r="1540" spans="1:18" ht="35.1" customHeight="1" x14ac:dyDescent="0.2">
      <c r="A1540" s="99"/>
      <c r="B1540" s="99"/>
      <c r="C1540" s="102"/>
      <c r="D1540" s="102"/>
      <c r="E1540" s="102"/>
      <c r="F1540" s="102"/>
      <c r="G1540" s="102"/>
      <c r="H1540" s="102"/>
      <c r="I1540" s="102"/>
      <c r="J1540" s="102"/>
      <c r="K1540" s="102"/>
      <c r="L1540" s="102"/>
      <c r="M1540" s="102"/>
      <c r="N1540" s="102"/>
      <c r="O1540" s="102"/>
      <c r="P1540" s="102"/>
      <c r="Q1540" s="102"/>
      <c r="R1540" s="102"/>
    </row>
    <row r="1541" spans="1:18" ht="35.1" customHeight="1" x14ac:dyDescent="0.2">
      <c r="A1541" s="99"/>
      <c r="B1541" s="99"/>
      <c r="C1541" s="102"/>
      <c r="D1541" s="102"/>
      <c r="E1541" s="102"/>
      <c r="F1541" s="102"/>
      <c r="G1541" s="102"/>
      <c r="H1541" s="102"/>
      <c r="I1541" s="102"/>
      <c r="J1541" s="102"/>
      <c r="K1541" s="102"/>
      <c r="L1541" s="102"/>
      <c r="M1541" s="102"/>
      <c r="N1541" s="102"/>
      <c r="O1541" s="102"/>
      <c r="P1541" s="102"/>
      <c r="Q1541" s="102"/>
      <c r="R1541" s="102"/>
    </row>
    <row r="1542" spans="1:18" ht="35.1" customHeight="1" x14ac:dyDescent="0.2">
      <c r="A1542" s="99"/>
      <c r="B1542" s="99"/>
      <c r="C1542" s="102"/>
      <c r="D1542" s="102"/>
      <c r="E1542" s="102"/>
      <c r="F1542" s="102"/>
      <c r="G1542" s="102"/>
      <c r="H1542" s="102"/>
      <c r="I1542" s="102"/>
      <c r="J1542" s="102"/>
      <c r="K1542" s="102"/>
      <c r="L1542" s="102"/>
      <c r="M1542" s="102"/>
      <c r="N1542" s="102"/>
      <c r="O1542" s="102"/>
      <c r="P1542" s="102"/>
      <c r="Q1542" s="102"/>
      <c r="R1542" s="102"/>
    </row>
    <row r="1543" spans="1:18" ht="35.1" customHeight="1" x14ac:dyDescent="0.2">
      <c r="A1543" s="99"/>
      <c r="B1543" s="99"/>
      <c r="C1543" s="102"/>
      <c r="D1543" s="102"/>
      <c r="E1543" s="102"/>
      <c r="F1543" s="102"/>
      <c r="G1543" s="102"/>
      <c r="H1543" s="102"/>
      <c r="I1543" s="102"/>
      <c r="J1543" s="102"/>
      <c r="K1543" s="102"/>
      <c r="L1543" s="102"/>
      <c r="M1543" s="102"/>
      <c r="N1543" s="102"/>
      <c r="O1543" s="102"/>
      <c r="P1543" s="102"/>
      <c r="Q1543" s="102"/>
      <c r="R1543" s="102"/>
    </row>
    <row r="1544" spans="1:18" ht="35.1" customHeight="1" x14ac:dyDescent="0.2">
      <c r="A1544" s="99"/>
      <c r="B1544" s="99"/>
      <c r="C1544" s="102"/>
      <c r="D1544" s="102"/>
      <c r="E1544" s="102"/>
      <c r="F1544" s="102"/>
      <c r="G1544" s="102"/>
      <c r="H1544" s="102"/>
      <c r="I1544" s="102"/>
      <c r="J1544" s="102"/>
      <c r="K1544" s="102"/>
      <c r="L1544" s="102"/>
      <c r="M1544" s="102"/>
      <c r="N1544" s="102"/>
      <c r="O1544" s="102"/>
      <c r="P1544" s="102"/>
      <c r="Q1544" s="102"/>
      <c r="R1544" s="102"/>
    </row>
    <row r="1545" spans="1:18" ht="35.1" customHeight="1" x14ac:dyDescent="0.2">
      <c r="A1545" s="99"/>
      <c r="B1545" s="99"/>
      <c r="C1545" s="102"/>
      <c r="D1545" s="102"/>
      <c r="E1545" s="102"/>
      <c r="F1545" s="102"/>
      <c r="G1545" s="102"/>
      <c r="H1545" s="102"/>
      <c r="I1545" s="102"/>
      <c r="J1545" s="102"/>
      <c r="K1545" s="102"/>
      <c r="L1545" s="102"/>
      <c r="M1545" s="102"/>
      <c r="N1545" s="102"/>
      <c r="O1545" s="102"/>
      <c r="P1545" s="102"/>
      <c r="Q1545" s="102"/>
      <c r="R1545" s="102"/>
    </row>
    <row r="1546" spans="1:18" ht="35.1" customHeight="1" x14ac:dyDescent="0.2">
      <c r="A1546" s="99"/>
      <c r="B1546" s="99"/>
      <c r="C1546" s="102"/>
      <c r="D1546" s="102"/>
      <c r="E1546" s="102"/>
      <c r="F1546" s="102"/>
      <c r="G1546" s="102"/>
      <c r="H1546" s="102"/>
      <c r="I1546" s="102"/>
      <c r="J1546" s="102"/>
      <c r="K1546" s="102"/>
      <c r="L1546" s="102"/>
      <c r="M1546" s="102"/>
      <c r="N1546" s="102"/>
      <c r="O1546" s="102"/>
      <c r="P1546" s="102"/>
      <c r="Q1546" s="102"/>
      <c r="R1546" s="102"/>
    </row>
    <row r="1547" spans="1:18" ht="35.1" customHeight="1" x14ac:dyDescent="0.2">
      <c r="A1547" s="99"/>
      <c r="B1547" s="99"/>
      <c r="C1547" s="102"/>
      <c r="D1547" s="102"/>
      <c r="E1547" s="102"/>
      <c r="F1547" s="102"/>
      <c r="G1547" s="102"/>
      <c r="H1547" s="102"/>
      <c r="I1547" s="102"/>
      <c r="J1547" s="102"/>
      <c r="K1547" s="102"/>
      <c r="L1547" s="102"/>
      <c r="M1547" s="102"/>
      <c r="N1547" s="102"/>
      <c r="O1547" s="102"/>
      <c r="P1547" s="102"/>
      <c r="Q1547" s="102"/>
      <c r="R1547" s="102"/>
    </row>
    <row r="1548" spans="1:18" ht="35.1" customHeight="1" x14ac:dyDescent="0.2">
      <c r="A1548" s="99"/>
      <c r="B1548" s="99"/>
      <c r="C1548" s="102"/>
      <c r="D1548" s="102"/>
      <c r="E1548" s="102"/>
      <c r="F1548" s="102"/>
      <c r="G1548" s="102"/>
      <c r="H1548" s="102"/>
      <c r="I1548" s="102"/>
      <c r="J1548" s="102"/>
      <c r="K1548" s="102"/>
      <c r="L1548" s="102"/>
      <c r="M1548" s="102"/>
      <c r="N1548" s="102"/>
      <c r="O1548" s="102"/>
      <c r="P1548" s="102"/>
      <c r="Q1548" s="102"/>
      <c r="R1548" s="102"/>
    </row>
    <row r="1549" spans="1:18" ht="35.1" customHeight="1" x14ac:dyDescent="0.2">
      <c r="A1549" s="99"/>
      <c r="B1549" s="99"/>
      <c r="C1549" s="102"/>
      <c r="D1549" s="102"/>
      <c r="E1549" s="102"/>
      <c r="F1549" s="102"/>
      <c r="G1549" s="102"/>
      <c r="H1549" s="102"/>
      <c r="I1549" s="102"/>
      <c r="J1549" s="102"/>
      <c r="K1549" s="102"/>
      <c r="L1549" s="102"/>
      <c r="M1549" s="102"/>
      <c r="N1549" s="102"/>
      <c r="O1549" s="102"/>
      <c r="P1549" s="102"/>
      <c r="Q1549" s="102"/>
      <c r="R1549" s="102"/>
    </row>
    <row r="1550" spans="1:18" ht="35.1" customHeight="1" x14ac:dyDescent="0.2">
      <c r="A1550" s="99"/>
      <c r="B1550" s="99"/>
      <c r="C1550" s="102"/>
      <c r="D1550" s="102"/>
      <c r="E1550" s="102"/>
      <c r="F1550" s="102"/>
      <c r="G1550" s="102"/>
      <c r="H1550" s="102"/>
      <c r="I1550" s="102"/>
      <c r="J1550" s="102"/>
      <c r="K1550" s="102"/>
      <c r="L1550" s="102"/>
      <c r="M1550" s="102"/>
      <c r="N1550" s="102"/>
      <c r="O1550" s="102"/>
      <c r="P1550" s="102"/>
      <c r="Q1550" s="102"/>
      <c r="R1550" s="102"/>
    </row>
    <row r="1551" spans="1:18" ht="35.1" customHeight="1" x14ac:dyDescent="0.2">
      <c r="A1551" s="99"/>
      <c r="B1551" s="99"/>
      <c r="C1551" s="102"/>
      <c r="D1551" s="102"/>
      <c r="E1551" s="102"/>
      <c r="F1551" s="102"/>
      <c r="G1551" s="102"/>
      <c r="H1551" s="102"/>
      <c r="I1551" s="102"/>
      <c r="J1551" s="102"/>
      <c r="K1551" s="102"/>
      <c r="L1551" s="102"/>
      <c r="M1551" s="102"/>
      <c r="N1551" s="102"/>
      <c r="O1551" s="102"/>
      <c r="P1551" s="102"/>
      <c r="Q1551" s="102"/>
      <c r="R1551" s="102"/>
    </row>
    <row r="1552" spans="1:18" ht="35.1" customHeight="1" x14ac:dyDescent="0.2">
      <c r="A1552" s="99"/>
      <c r="B1552" s="99"/>
      <c r="C1552" s="102"/>
      <c r="D1552" s="102"/>
      <c r="E1552" s="102"/>
      <c r="F1552" s="102"/>
      <c r="G1552" s="102"/>
      <c r="H1552" s="102"/>
      <c r="I1552" s="102"/>
      <c r="J1552" s="102"/>
      <c r="K1552" s="102"/>
      <c r="L1552" s="102"/>
      <c r="M1552" s="102"/>
      <c r="N1552" s="102"/>
      <c r="O1552" s="102"/>
      <c r="P1552" s="102"/>
      <c r="Q1552" s="102"/>
      <c r="R1552" s="102"/>
    </row>
    <row r="1553" spans="1:18" ht="35.1" customHeight="1" x14ac:dyDescent="0.2">
      <c r="A1553" s="99"/>
      <c r="B1553" s="99"/>
      <c r="C1553" s="102"/>
      <c r="D1553" s="102"/>
      <c r="E1553" s="102"/>
      <c r="F1553" s="102"/>
      <c r="G1553" s="102"/>
      <c r="H1553" s="102"/>
      <c r="I1553" s="102"/>
      <c r="J1553" s="102"/>
      <c r="K1553" s="102"/>
      <c r="L1553" s="102"/>
      <c r="M1553" s="102"/>
      <c r="N1553" s="102"/>
      <c r="O1553" s="102"/>
      <c r="P1553" s="102"/>
      <c r="Q1553" s="102"/>
      <c r="R1553" s="102"/>
    </row>
    <row r="1554" spans="1:18" ht="35.1" customHeight="1" x14ac:dyDescent="0.2">
      <c r="A1554" s="99"/>
      <c r="B1554" s="99"/>
      <c r="C1554" s="102"/>
      <c r="D1554" s="102"/>
      <c r="E1554" s="102"/>
      <c r="F1554" s="102"/>
      <c r="G1554" s="102"/>
      <c r="H1554" s="102"/>
      <c r="I1554" s="102"/>
      <c r="J1554" s="102"/>
      <c r="K1554" s="102"/>
      <c r="L1554" s="102"/>
      <c r="M1554" s="102"/>
      <c r="N1554" s="102"/>
      <c r="O1554" s="102"/>
      <c r="P1554" s="102"/>
      <c r="Q1554" s="102"/>
      <c r="R1554" s="102"/>
    </row>
    <row r="1555" spans="1:18" ht="35.1" customHeight="1" x14ac:dyDescent="0.2">
      <c r="A1555" s="99"/>
      <c r="B1555" s="99"/>
      <c r="C1555" s="102"/>
      <c r="D1555" s="102"/>
      <c r="E1555" s="102"/>
      <c r="F1555" s="102"/>
      <c r="G1555" s="102"/>
      <c r="H1555" s="102"/>
      <c r="I1555" s="102"/>
      <c r="J1555" s="102"/>
      <c r="K1555" s="102"/>
      <c r="L1555" s="102"/>
      <c r="M1555" s="102"/>
      <c r="N1555" s="102"/>
      <c r="O1555" s="102"/>
      <c r="P1555" s="102"/>
      <c r="Q1555" s="102"/>
      <c r="R1555" s="102"/>
    </row>
    <row r="1556" spans="1:18" ht="35.1" customHeight="1" x14ac:dyDescent="0.2">
      <c r="A1556" s="99"/>
      <c r="B1556" s="99"/>
      <c r="C1556" s="102"/>
      <c r="D1556" s="102"/>
      <c r="E1556" s="102"/>
      <c r="F1556" s="102"/>
      <c r="G1556" s="102"/>
      <c r="H1556" s="102"/>
      <c r="I1556" s="102"/>
      <c r="J1556" s="102"/>
      <c r="K1556" s="102"/>
      <c r="L1556" s="102"/>
      <c r="M1556" s="102"/>
      <c r="N1556" s="102"/>
      <c r="O1556" s="102"/>
      <c r="P1556" s="102"/>
      <c r="Q1556" s="102"/>
      <c r="R1556" s="102"/>
    </row>
    <row r="1557" spans="1:18" ht="35.1" customHeight="1" x14ac:dyDescent="0.2">
      <c r="A1557" s="99"/>
      <c r="B1557" s="99"/>
      <c r="C1557" s="102"/>
      <c r="D1557" s="102"/>
      <c r="E1557" s="102"/>
      <c r="F1557" s="102"/>
      <c r="G1557" s="102"/>
      <c r="H1557" s="102"/>
      <c r="I1557" s="102"/>
      <c r="J1557" s="102"/>
      <c r="K1557" s="102"/>
      <c r="L1557" s="102"/>
      <c r="M1557" s="102"/>
      <c r="N1557" s="102"/>
      <c r="O1557" s="102"/>
      <c r="P1557" s="102"/>
      <c r="Q1557" s="102"/>
      <c r="R1557" s="102"/>
    </row>
    <row r="1558" spans="1:18" ht="35.1" customHeight="1" x14ac:dyDescent="0.2">
      <c r="A1558" s="99"/>
      <c r="B1558" s="99"/>
      <c r="C1558" s="102"/>
      <c r="D1558" s="102"/>
      <c r="E1558" s="102"/>
      <c r="F1558" s="102"/>
      <c r="G1558" s="102"/>
      <c r="H1558" s="102"/>
      <c r="I1558" s="102"/>
      <c r="J1558" s="102"/>
      <c r="K1558" s="102"/>
      <c r="L1558" s="102"/>
      <c r="M1558" s="102"/>
      <c r="N1558" s="102"/>
      <c r="O1558" s="102"/>
      <c r="P1558" s="102"/>
      <c r="Q1558" s="102"/>
      <c r="R1558" s="102"/>
    </row>
    <row r="1559" spans="1:18" ht="35.1" customHeight="1" x14ac:dyDescent="0.2">
      <c r="A1559" s="99"/>
      <c r="B1559" s="99"/>
      <c r="C1559" s="102"/>
      <c r="D1559" s="102"/>
      <c r="E1559" s="102"/>
      <c r="F1559" s="102"/>
      <c r="G1559" s="102"/>
      <c r="H1559" s="102"/>
      <c r="I1559" s="102"/>
      <c r="J1559" s="102"/>
      <c r="K1559" s="102"/>
      <c r="L1559" s="102"/>
      <c r="M1559" s="102"/>
      <c r="N1559" s="102"/>
      <c r="O1559" s="102"/>
      <c r="P1559" s="102"/>
      <c r="Q1559" s="102"/>
      <c r="R1559" s="102"/>
    </row>
    <row r="1560" spans="1:18" ht="35.1" customHeight="1" x14ac:dyDescent="0.2">
      <c r="A1560" s="99"/>
      <c r="B1560" s="99"/>
      <c r="C1560" s="102"/>
      <c r="D1560" s="102"/>
      <c r="E1560" s="102"/>
      <c r="F1560" s="102"/>
      <c r="G1560" s="102"/>
      <c r="H1560" s="102"/>
      <c r="I1560" s="102"/>
      <c r="J1560" s="102"/>
      <c r="K1560" s="102"/>
      <c r="L1560" s="102"/>
      <c r="M1560" s="102"/>
      <c r="N1560" s="102"/>
      <c r="O1560" s="102"/>
      <c r="P1560" s="102"/>
      <c r="Q1560" s="102"/>
      <c r="R1560" s="102"/>
    </row>
    <row r="1561" spans="1:18" ht="35.1" customHeight="1" x14ac:dyDescent="0.2">
      <c r="A1561" s="99"/>
      <c r="B1561" s="99"/>
      <c r="C1561" s="102"/>
      <c r="D1561" s="102"/>
      <c r="E1561" s="102"/>
      <c r="F1561" s="102"/>
      <c r="G1561" s="102"/>
      <c r="H1561" s="102"/>
      <c r="I1561" s="102"/>
      <c r="J1561" s="102"/>
      <c r="K1561" s="102"/>
      <c r="L1561" s="102"/>
      <c r="M1561" s="102"/>
      <c r="N1561" s="102"/>
      <c r="O1561" s="102"/>
      <c r="P1561" s="102"/>
      <c r="Q1561" s="102"/>
      <c r="R1561" s="102"/>
    </row>
    <row r="1562" spans="1:18" ht="35.1" customHeight="1" x14ac:dyDescent="0.2">
      <c r="A1562" s="99"/>
      <c r="B1562" s="99"/>
      <c r="C1562" s="102"/>
      <c r="D1562" s="102"/>
      <c r="E1562" s="102"/>
      <c r="F1562" s="102"/>
      <c r="G1562" s="102"/>
      <c r="H1562" s="102"/>
      <c r="I1562" s="102"/>
      <c r="J1562" s="102"/>
      <c r="K1562" s="102"/>
      <c r="L1562" s="102"/>
      <c r="M1562" s="102"/>
      <c r="N1562" s="102"/>
      <c r="O1562" s="102"/>
      <c r="P1562" s="102"/>
      <c r="Q1562" s="102"/>
      <c r="R1562" s="102"/>
    </row>
    <row r="1563" spans="1:18" ht="35.1" customHeight="1" x14ac:dyDescent="0.2">
      <c r="A1563" s="99"/>
      <c r="B1563" s="99"/>
      <c r="C1563" s="102"/>
      <c r="D1563" s="102"/>
      <c r="E1563" s="102"/>
      <c r="F1563" s="102"/>
      <c r="G1563" s="102"/>
      <c r="H1563" s="102"/>
      <c r="I1563" s="102"/>
      <c r="J1563" s="102"/>
      <c r="K1563" s="102"/>
      <c r="L1563" s="102"/>
      <c r="M1563" s="102"/>
      <c r="N1563" s="102"/>
      <c r="O1563" s="102"/>
      <c r="P1563" s="102"/>
      <c r="Q1563" s="102"/>
      <c r="R1563" s="102"/>
    </row>
    <row r="1564" spans="1:18" ht="35.1" customHeight="1" x14ac:dyDescent="0.2">
      <c r="A1564" s="99"/>
      <c r="B1564" s="99"/>
      <c r="C1564" s="102"/>
      <c r="D1564" s="102"/>
      <c r="E1564" s="102"/>
      <c r="F1564" s="102"/>
      <c r="G1564" s="102"/>
      <c r="H1564" s="102"/>
      <c r="I1564" s="102"/>
      <c r="J1564" s="102"/>
      <c r="K1564" s="102"/>
      <c r="L1564" s="102"/>
      <c r="M1564" s="102"/>
      <c r="N1564" s="102"/>
      <c r="O1564" s="102"/>
      <c r="P1564" s="102"/>
      <c r="Q1564" s="102"/>
      <c r="R1564" s="102"/>
    </row>
    <row r="1565" spans="1:18" ht="35.1" customHeight="1" x14ac:dyDescent="0.2">
      <c r="A1565" s="99"/>
      <c r="B1565" s="99"/>
      <c r="C1565" s="102"/>
      <c r="D1565" s="102"/>
      <c r="E1565" s="102"/>
      <c r="F1565" s="102"/>
      <c r="G1565" s="102"/>
      <c r="H1565" s="102"/>
      <c r="I1565" s="102"/>
      <c r="J1565" s="102"/>
      <c r="K1565" s="102"/>
      <c r="L1565" s="102"/>
      <c r="M1565" s="102"/>
      <c r="N1565" s="102"/>
      <c r="O1565" s="102"/>
      <c r="P1565" s="102"/>
      <c r="Q1565" s="102"/>
      <c r="R1565" s="102"/>
    </row>
    <row r="1566" spans="1:18" ht="35.1" customHeight="1" x14ac:dyDescent="0.2">
      <c r="A1566" s="99"/>
      <c r="B1566" s="99"/>
      <c r="C1566" s="102"/>
      <c r="D1566" s="102"/>
      <c r="E1566" s="102"/>
      <c r="F1566" s="102"/>
      <c r="G1566" s="102"/>
      <c r="H1566" s="102"/>
      <c r="I1566" s="102"/>
      <c r="J1566" s="102"/>
      <c r="K1566" s="102"/>
      <c r="L1566" s="102"/>
      <c r="M1566" s="102"/>
      <c r="N1566" s="102"/>
      <c r="O1566" s="102"/>
      <c r="P1566" s="102"/>
      <c r="Q1566" s="102"/>
      <c r="R1566" s="102"/>
    </row>
    <row r="1567" spans="1:18" ht="35.1" customHeight="1" x14ac:dyDescent="0.2">
      <c r="A1567" s="99"/>
      <c r="B1567" s="99"/>
      <c r="C1567" s="102"/>
      <c r="D1567" s="102"/>
      <c r="E1567" s="102"/>
      <c r="F1567" s="102"/>
      <c r="G1567" s="102"/>
      <c r="H1567" s="102"/>
      <c r="I1567" s="102"/>
      <c r="J1567" s="102"/>
      <c r="K1567" s="102"/>
      <c r="L1567" s="102"/>
      <c r="M1567" s="102"/>
      <c r="N1567" s="102"/>
      <c r="O1567" s="102"/>
      <c r="P1567" s="102"/>
      <c r="Q1567" s="102"/>
      <c r="R1567" s="102"/>
    </row>
    <row r="1568" spans="1:18" ht="35.1" customHeight="1" x14ac:dyDescent="0.2">
      <c r="A1568" s="99"/>
      <c r="B1568" s="99"/>
      <c r="C1568" s="102"/>
      <c r="D1568" s="102"/>
      <c r="E1568" s="102"/>
      <c r="F1568" s="102"/>
      <c r="G1568" s="102"/>
      <c r="H1568" s="102"/>
      <c r="I1568" s="102"/>
      <c r="J1568" s="102"/>
      <c r="K1568" s="102"/>
      <c r="L1568" s="102"/>
      <c r="M1568" s="102"/>
      <c r="N1568" s="102"/>
      <c r="O1568" s="102"/>
      <c r="P1568" s="102"/>
      <c r="Q1568" s="102"/>
      <c r="R1568" s="102"/>
    </row>
    <row r="1569" spans="1:18" ht="35.1" customHeight="1" x14ac:dyDescent="0.2">
      <c r="A1569" s="99"/>
      <c r="B1569" s="99"/>
      <c r="C1569" s="102"/>
      <c r="D1569" s="102"/>
      <c r="E1569" s="102"/>
      <c r="F1569" s="102"/>
      <c r="G1569" s="102"/>
      <c r="H1569" s="102"/>
      <c r="I1569" s="102"/>
      <c r="J1569" s="102"/>
      <c r="K1569" s="102"/>
      <c r="L1569" s="102"/>
      <c r="M1569" s="102"/>
      <c r="N1569" s="102"/>
      <c r="O1569" s="102"/>
      <c r="P1569" s="102"/>
      <c r="Q1569" s="102"/>
      <c r="R1569" s="102"/>
    </row>
    <row r="1570" spans="1:18" ht="35.1" customHeight="1" x14ac:dyDescent="0.2">
      <c r="A1570" s="99"/>
      <c r="B1570" s="99"/>
      <c r="C1570" s="102"/>
      <c r="D1570" s="102"/>
      <c r="E1570" s="102"/>
      <c r="F1570" s="102"/>
      <c r="G1570" s="102"/>
      <c r="H1570" s="102"/>
      <c r="I1570" s="102"/>
      <c r="J1570" s="102"/>
      <c r="K1570" s="102"/>
      <c r="L1570" s="102"/>
      <c r="M1570" s="102"/>
      <c r="N1570" s="102"/>
      <c r="O1570" s="102"/>
      <c r="P1570" s="102"/>
      <c r="Q1570" s="102"/>
      <c r="R1570" s="102"/>
    </row>
    <row r="1571" spans="1:18" ht="35.1" customHeight="1" x14ac:dyDescent="0.2">
      <c r="A1571" s="99"/>
      <c r="B1571" s="99"/>
      <c r="C1571" s="102"/>
      <c r="D1571" s="102"/>
      <c r="E1571" s="102"/>
      <c r="F1571" s="102"/>
      <c r="G1571" s="102"/>
      <c r="H1571" s="102"/>
      <c r="I1571" s="102"/>
      <c r="J1571" s="102"/>
      <c r="K1571" s="102"/>
      <c r="L1571" s="102"/>
      <c r="M1571" s="102"/>
      <c r="N1571" s="102"/>
      <c r="O1571" s="102"/>
      <c r="P1571" s="102"/>
      <c r="Q1571" s="102"/>
      <c r="R1571" s="102"/>
    </row>
    <row r="1572" spans="1:18" ht="35.1" customHeight="1" x14ac:dyDescent="0.2">
      <c r="A1572" s="99"/>
      <c r="B1572" s="99"/>
      <c r="C1572" s="102"/>
      <c r="D1572" s="102"/>
      <c r="E1572" s="102"/>
      <c r="F1572" s="102"/>
      <c r="G1572" s="102"/>
      <c r="H1572" s="102"/>
      <c r="I1572" s="102"/>
      <c r="J1572" s="102"/>
      <c r="K1572" s="102"/>
      <c r="L1572" s="102"/>
      <c r="M1572" s="102"/>
      <c r="N1572" s="102"/>
      <c r="O1572" s="102"/>
      <c r="P1572" s="102"/>
      <c r="Q1572" s="102"/>
      <c r="R1572" s="102"/>
    </row>
    <row r="1573" spans="1:18" ht="35.1" customHeight="1" x14ac:dyDescent="0.2">
      <c r="A1573" s="99"/>
      <c r="B1573" s="99"/>
      <c r="C1573" s="102"/>
      <c r="D1573" s="102"/>
      <c r="E1573" s="102"/>
      <c r="F1573" s="102"/>
      <c r="G1573" s="102"/>
      <c r="H1573" s="102"/>
      <c r="I1573" s="102"/>
      <c r="J1573" s="102"/>
      <c r="K1573" s="102"/>
      <c r="L1573" s="102"/>
      <c r="M1573" s="102"/>
      <c r="N1573" s="102"/>
      <c r="O1573" s="102"/>
      <c r="P1573" s="102"/>
      <c r="Q1573" s="102"/>
      <c r="R1573" s="102"/>
    </row>
    <row r="1574" spans="1:18" ht="35.1" customHeight="1" x14ac:dyDescent="0.2">
      <c r="A1574" s="99"/>
      <c r="B1574" s="99"/>
      <c r="C1574" s="102"/>
      <c r="D1574" s="102"/>
      <c r="E1574" s="102"/>
      <c r="F1574" s="102"/>
      <c r="G1574" s="102"/>
      <c r="H1574" s="102"/>
      <c r="I1574" s="102"/>
      <c r="J1574" s="102"/>
      <c r="K1574" s="102"/>
      <c r="L1574" s="102"/>
      <c r="M1574" s="102"/>
      <c r="N1574" s="102"/>
      <c r="O1574" s="102"/>
      <c r="P1574" s="102"/>
      <c r="Q1574" s="102"/>
      <c r="R1574" s="102"/>
    </row>
    <row r="1575" spans="1:18" ht="35.1" customHeight="1" x14ac:dyDescent="0.2">
      <c r="A1575" s="99"/>
      <c r="B1575" s="99"/>
      <c r="C1575" s="102"/>
      <c r="D1575" s="102"/>
      <c r="E1575" s="102"/>
      <c r="F1575" s="102"/>
      <c r="G1575" s="102"/>
      <c r="H1575" s="102"/>
      <c r="I1575" s="102"/>
      <c r="J1575" s="102"/>
      <c r="K1575" s="102"/>
      <c r="L1575" s="102"/>
      <c r="M1575" s="102"/>
      <c r="N1575" s="102"/>
      <c r="O1575" s="102"/>
      <c r="P1575" s="102"/>
      <c r="Q1575" s="102"/>
      <c r="R1575" s="102"/>
    </row>
    <row r="1576" spans="1:18" ht="35.1" customHeight="1" x14ac:dyDescent="0.2">
      <c r="A1576" s="99"/>
      <c r="B1576" s="99"/>
      <c r="C1576" s="102"/>
      <c r="D1576" s="102"/>
      <c r="E1576" s="102"/>
      <c r="F1576" s="102"/>
      <c r="G1576" s="102"/>
      <c r="H1576" s="102"/>
      <c r="I1576" s="102"/>
      <c r="J1576" s="102"/>
      <c r="K1576" s="102"/>
      <c r="L1576" s="102"/>
      <c r="M1576" s="102"/>
      <c r="N1576" s="102"/>
      <c r="O1576" s="102"/>
      <c r="P1576" s="102"/>
      <c r="Q1576" s="102"/>
      <c r="R1576" s="102"/>
    </row>
    <row r="1577" spans="1:18" ht="35.1" customHeight="1" x14ac:dyDescent="0.2">
      <c r="A1577" s="99"/>
      <c r="B1577" s="99"/>
      <c r="C1577" s="102"/>
      <c r="D1577" s="102"/>
      <c r="E1577" s="102"/>
      <c r="F1577" s="102"/>
      <c r="G1577" s="102"/>
      <c r="H1577" s="102"/>
      <c r="I1577" s="102"/>
      <c r="J1577" s="102"/>
      <c r="K1577" s="102"/>
      <c r="L1577" s="102"/>
      <c r="M1577" s="102"/>
      <c r="N1577" s="102"/>
      <c r="O1577" s="102"/>
      <c r="P1577" s="102"/>
      <c r="Q1577" s="102"/>
      <c r="R1577" s="102"/>
    </row>
    <row r="1578" spans="1:18" ht="35.1" customHeight="1" x14ac:dyDescent="0.2">
      <c r="A1578" s="99"/>
      <c r="B1578" s="99"/>
      <c r="C1578" s="102"/>
      <c r="D1578" s="102"/>
      <c r="E1578" s="102"/>
      <c r="F1578" s="102"/>
      <c r="G1578" s="102"/>
      <c r="H1578" s="102"/>
      <c r="I1578" s="102"/>
      <c r="J1578" s="102"/>
      <c r="K1578" s="102"/>
      <c r="L1578" s="102"/>
      <c r="M1578" s="102"/>
      <c r="N1578" s="102"/>
      <c r="O1578" s="102"/>
      <c r="P1578" s="102"/>
      <c r="Q1578" s="102"/>
      <c r="R1578" s="102"/>
    </row>
    <row r="1579" spans="1:18" ht="35.1" customHeight="1" x14ac:dyDescent="0.2">
      <c r="A1579" s="99"/>
      <c r="B1579" s="99"/>
      <c r="C1579" s="102"/>
      <c r="D1579" s="102"/>
      <c r="E1579" s="102"/>
      <c r="F1579" s="102"/>
      <c r="G1579" s="102"/>
      <c r="H1579" s="102"/>
      <c r="I1579" s="102"/>
      <c r="J1579" s="102"/>
      <c r="K1579" s="102"/>
      <c r="L1579" s="102"/>
      <c r="M1579" s="102"/>
      <c r="N1579" s="102"/>
      <c r="O1579" s="102"/>
      <c r="P1579" s="102"/>
      <c r="Q1579" s="102"/>
      <c r="R1579" s="102"/>
    </row>
    <row r="1580" spans="1:18" ht="35.1" customHeight="1" x14ac:dyDescent="0.2">
      <c r="A1580" s="99"/>
      <c r="B1580" s="99"/>
      <c r="C1580" s="102"/>
      <c r="D1580" s="102"/>
      <c r="E1580" s="102"/>
      <c r="F1580" s="102"/>
      <c r="G1580" s="102"/>
      <c r="H1580" s="102"/>
      <c r="I1580" s="102"/>
      <c r="J1580" s="102"/>
      <c r="K1580" s="102"/>
      <c r="L1580" s="102"/>
      <c r="M1580" s="102"/>
      <c r="N1580" s="102"/>
      <c r="O1580" s="102"/>
      <c r="P1580" s="102"/>
      <c r="Q1580" s="102"/>
      <c r="R1580" s="102"/>
    </row>
    <row r="1581" spans="1:18" ht="35.1" customHeight="1" x14ac:dyDescent="0.2">
      <c r="A1581" s="99"/>
      <c r="B1581" s="99"/>
      <c r="C1581" s="102"/>
      <c r="D1581" s="102"/>
      <c r="E1581" s="102"/>
      <c r="F1581" s="102"/>
      <c r="G1581" s="102"/>
      <c r="H1581" s="102"/>
      <c r="I1581" s="102"/>
      <c r="J1581" s="102"/>
      <c r="K1581" s="102"/>
      <c r="L1581" s="102"/>
      <c r="M1581" s="102"/>
      <c r="N1581" s="102"/>
      <c r="O1581" s="102"/>
      <c r="P1581" s="102"/>
      <c r="Q1581" s="102"/>
      <c r="R1581" s="102"/>
    </row>
    <row r="1582" spans="1:18" ht="35.1" customHeight="1" x14ac:dyDescent="0.2">
      <c r="A1582" s="99"/>
      <c r="B1582" s="99"/>
      <c r="C1582" s="102"/>
      <c r="D1582" s="102"/>
      <c r="E1582" s="102"/>
      <c r="F1582" s="102"/>
      <c r="G1582" s="102"/>
      <c r="H1582" s="102"/>
      <c r="I1582" s="102"/>
      <c r="J1582" s="102"/>
      <c r="K1582" s="102"/>
      <c r="L1582" s="102"/>
      <c r="M1582" s="102"/>
      <c r="N1582" s="102"/>
      <c r="O1582" s="102"/>
      <c r="P1582" s="102"/>
      <c r="Q1582" s="102"/>
      <c r="R1582" s="102"/>
    </row>
    <row r="1583" spans="1:18" ht="35.1" customHeight="1" x14ac:dyDescent="0.2">
      <c r="A1583" s="99"/>
      <c r="B1583" s="99"/>
      <c r="C1583" s="102"/>
      <c r="D1583" s="102"/>
      <c r="E1583" s="102"/>
      <c r="F1583" s="102"/>
      <c r="G1583" s="102"/>
      <c r="H1583" s="102"/>
      <c r="I1583" s="102"/>
      <c r="J1583" s="102"/>
      <c r="K1583" s="102"/>
      <c r="L1583" s="102"/>
      <c r="M1583" s="102"/>
      <c r="N1583" s="102"/>
      <c r="O1583" s="102"/>
      <c r="P1583" s="102"/>
      <c r="Q1583" s="102"/>
      <c r="R1583" s="102"/>
    </row>
    <row r="1584" spans="1:18" ht="35.1" customHeight="1" x14ac:dyDescent="0.2">
      <c r="A1584" s="99"/>
      <c r="B1584" s="99"/>
      <c r="C1584" s="102"/>
      <c r="D1584" s="102"/>
      <c r="E1584" s="102"/>
      <c r="F1584" s="102"/>
      <c r="G1584" s="102"/>
      <c r="H1584" s="102"/>
      <c r="I1584" s="102"/>
      <c r="J1584" s="102"/>
      <c r="K1584" s="102"/>
      <c r="L1584" s="102"/>
      <c r="M1584" s="102"/>
      <c r="N1584" s="102"/>
      <c r="O1584" s="102"/>
      <c r="P1584" s="102"/>
      <c r="Q1584" s="102"/>
      <c r="R1584" s="102"/>
    </row>
    <row r="1585" spans="1:18" ht="35.1" customHeight="1" x14ac:dyDescent="0.2">
      <c r="A1585" s="99"/>
      <c r="B1585" s="99"/>
      <c r="C1585" s="102"/>
      <c r="D1585" s="102"/>
      <c r="E1585" s="102"/>
      <c r="F1585" s="102"/>
      <c r="G1585" s="102"/>
      <c r="H1585" s="102"/>
      <c r="I1585" s="102"/>
      <c r="J1585" s="102"/>
      <c r="K1585" s="102"/>
      <c r="L1585" s="102"/>
      <c r="M1585" s="102"/>
      <c r="N1585" s="102"/>
      <c r="O1585" s="102"/>
      <c r="P1585" s="102"/>
      <c r="Q1585" s="102"/>
      <c r="R1585" s="102"/>
    </row>
    <row r="1586" spans="1:18" ht="35.1" customHeight="1" x14ac:dyDescent="0.2">
      <c r="A1586" s="99"/>
      <c r="B1586" s="99"/>
      <c r="C1586" s="102"/>
      <c r="D1586" s="102"/>
      <c r="E1586" s="102"/>
      <c r="F1586" s="102"/>
      <c r="G1586" s="102"/>
      <c r="H1586" s="102"/>
      <c r="I1586" s="102"/>
      <c r="J1586" s="102"/>
      <c r="K1586" s="102"/>
      <c r="L1586" s="102"/>
      <c r="M1586" s="102"/>
      <c r="N1586" s="102"/>
      <c r="O1586" s="102"/>
      <c r="P1586" s="102"/>
      <c r="Q1586" s="102"/>
      <c r="R1586" s="102"/>
    </row>
    <row r="1587" spans="1:18" ht="35.1" customHeight="1" x14ac:dyDescent="0.2">
      <c r="A1587" s="99"/>
      <c r="B1587" s="99"/>
      <c r="C1587" s="102"/>
      <c r="D1587" s="102"/>
      <c r="E1587" s="102"/>
      <c r="F1587" s="102"/>
      <c r="G1587" s="102"/>
      <c r="H1587" s="102"/>
      <c r="I1587" s="102"/>
      <c r="J1587" s="102"/>
      <c r="K1587" s="102"/>
      <c r="L1587" s="102"/>
      <c r="M1587" s="102"/>
      <c r="N1587" s="102"/>
      <c r="O1587" s="102"/>
      <c r="P1587" s="102"/>
      <c r="Q1587" s="102"/>
      <c r="R1587" s="102"/>
    </row>
    <row r="1588" spans="1:18" ht="35.1" customHeight="1" x14ac:dyDescent="0.2">
      <c r="A1588" s="99"/>
      <c r="B1588" s="99"/>
      <c r="C1588" s="102"/>
      <c r="D1588" s="102"/>
      <c r="E1588" s="102"/>
      <c r="F1588" s="102"/>
      <c r="G1588" s="102"/>
      <c r="H1588" s="102"/>
      <c r="I1588" s="102"/>
      <c r="J1588" s="102"/>
      <c r="K1588" s="102"/>
      <c r="L1588" s="102"/>
      <c r="M1588" s="102"/>
      <c r="N1588" s="102"/>
      <c r="O1588" s="102"/>
      <c r="P1588" s="102"/>
      <c r="Q1588" s="102"/>
      <c r="R1588" s="102"/>
    </row>
    <row r="1589" spans="1:18" ht="35.1" customHeight="1" x14ac:dyDescent="0.2">
      <c r="A1589" s="99"/>
      <c r="B1589" s="99"/>
      <c r="C1589" s="102"/>
      <c r="D1589" s="102"/>
      <c r="E1589" s="102"/>
      <c r="F1589" s="102"/>
      <c r="G1589" s="102"/>
      <c r="H1589" s="102"/>
      <c r="I1589" s="102"/>
      <c r="J1589" s="102"/>
      <c r="K1589" s="102"/>
      <c r="L1589" s="102"/>
      <c r="M1589" s="102"/>
      <c r="N1589" s="102"/>
      <c r="O1589" s="102"/>
      <c r="P1589" s="102"/>
      <c r="Q1589" s="102"/>
      <c r="R1589" s="102"/>
    </row>
    <row r="1590" spans="1:18" ht="35.1" customHeight="1" x14ac:dyDescent="0.2">
      <c r="A1590" s="99"/>
      <c r="B1590" s="99"/>
      <c r="C1590" s="102"/>
      <c r="D1590" s="102"/>
      <c r="E1590" s="102"/>
      <c r="F1590" s="102"/>
      <c r="G1590" s="102"/>
      <c r="H1590" s="102"/>
      <c r="I1590" s="102"/>
      <c r="J1590" s="102"/>
      <c r="K1590" s="102"/>
      <c r="L1590" s="102"/>
      <c r="M1590" s="102"/>
      <c r="N1590" s="102"/>
      <c r="O1590" s="102"/>
      <c r="P1590" s="102"/>
      <c r="Q1590" s="102"/>
      <c r="R1590" s="102"/>
    </row>
    <row r="1591" spans="1:18" ht="35.1" customHeight="1" x14ac:dyDescent="0.2">
      <c r="A1591" s="99"/>
      <c r="B1591" s="99"/>
      <c r="C1591" s="102"/>
      <c r="D1591" s="102"/>
      <c r="E1591" s="102"/>
      <c r="F1591" s="102"/>
      <c r="G1591" s="102"/>
      <c r="H1591" s="102"/>
      <c r="I1591" s="102"/>
      <c r="J1591" s="102"/>
      <c r="K1591" s="102"/>
      <c r="L1591" s="102"/>
      <c r="M1591" s="102"/>
      <c r="N1591" s="102"/>
      <c r="O1591" s="102"/>
      <c r="P1591" s="102"/>
      <c r="Q1591" s="102"/>
      <c r="R1591" s="102"/>
    </row>
    <row r="1592" spans="1:18" ht="35.1" customHeight="1" x14ac:dyDescent="0.2">
      <c r="A1592" s="99"/>
      <c r="B1592" s="99"/>
      <c r="C1592" s="102"/>
      <c r="D1592" s="102"/>
      <c r="E1592" s="102"/>
      <c r="F1592" s="102"/>
      <c r="G1592" s="102"/>
      <c r="H1592" s="102"/>
      <c r="I1592" s="102"/>
      <c r="J1592" s="102"/>
      <c r="K1592" s="102"/>
      <c r="L1592" s="102"/>
      <c r="M1592" s="102"/>
      <c r="N1592" s="102"/>
      <c r="O1592" s="102"/>
      <c r="P1592" s="102"/>
      <c r="Q1592" s="102"/>
      <c r="R1592" s="102"/>
    </row>
    <row r="1593" spans="1:18" ht="35.1" customHeight="1" x14ac:dyDescent="0.2">
      <c r="A1593" s="99"/>
      <c r="B1593" s="99"/>
      <c r="C1593" s="102"/>
      <c r="D1593" s="102"/>
      <c r="E1593" s="102"/>
      <c r="F1593" s="102"/>
      <c r="G1593" s="102"/>
      <c r="H1593" s="102"/>
      <c r="I1593" s="102"/>
      <c r="J1593" s="102"/>
      <c r="K1593" s="102"/>
      <c r="L1593" s="102"/>
      <c r="M1593" s="102"/>
      <c r="N1593" s="102"/>
      <c r="O1593" s="102"/>
      <c r="P1593" s="102"/>
      <c r="Q1593" s="102"/>
      <c r="R1593" s="102"/>
    </row>
    <row r="1594" spans="1:18" ht="35.1" customHeight="1" x14ac:dyDescent="0.2">
      <c r="A1594" s="99"/>
      <c r="B1594" s="99"/>
      <c r="C1594" s="102"/>
      <c r="D1594" s="102"/>
      <c r="E1594" s="102"/>
      <c r="F1594" s="102"/>
      <c r="G1594" s="102"/>
      <c r="H1594" s="102"/>
      <c r="I1594" s="102"/>
      <c r="J1594" s="102"/>
      <c r="K1594" s="102"/>
      <c r="L1594" s="102"/>
      <c r="M1594" s="102"/>
      <c r="N1594" s="102"/>
      <c r="O1594" s="102"/>
      <c r="P1594" s="102"/>
      <c r="Q1594" s="102"/>
      <c r="R1594" s="102"/>
    </row>
    <row r="1595" spans="1:18" ht="35.1" customHeight="1" x14ac:dyDescent="0.2">
      <c r="A1595" s="99"/>
      <c r="B1595" s="99"/>
      <c r="C1595" s="102"/>
      <c r="D1595" s="102"/>
      <c r="E1595" s="102"/>
      <c r="F1595" s="102"/>
      <c r="G1595" s="102"/>
      <c r="H1595" s="102"/>
      <c r="I1595" s="102"/>
      <c r="J1595" s="102"/>
      <c r="K1595" s="102"/>
      <c r="L1595" s="102"/>
      <c r="M1595" s="102"/>
      <c r="N1595" s="102"/>
      <c r="O1595" s="102"/>
      <c r="P1595" s="102"/>
      <c r="Q1595" s="102"/>
      <c r="R1595" s="102"/>
    </row>
    <row r="1596" spans="1:18" ht="35.1" customHeight="1" x14ac:dyDescent="0.2">
      <c r="A1596" s="99"/>
      <c r="B1596" s="99"/>
      <c r="C1596" s="102"/>
      <c r="D1596" s="102"/>
      <c r="E1596" s="102"/>
      <c r="F1596" s="102"/>
      <c r="G1596" s="102"/>
      <c r="H1596" s="102"/>
      <c r="I1596" s="102"/>
      <c r="J1596" s="102"/>
      <c r="K1596" s="102"/>
      <c r="L1596" s="102"/>
      <c r="M1596" s="102"/>
      <c r="N1596" s="102"/>
      <c r="O1596" s="102"/>
      <c r="P1596" s="102"/>
      <c r="Q1596" s="102"/>
      <c r="R1596" s="102"/>
    </row>
    <row r="1597" spans="1:18" ht="35.1" customHeight="1" x14ac:dyDescent="0.2">
      <c r="A1597" s="99"/>
      <c r="B1597" s="99"/>
      <c r="C1597" s="102"/>
      <c r="D1597" s="102"/>
      <c r="E1597" s="102"/>
      <c r="F1597" s="102"/>
      <c r="G1597" s="102"/>
      <c r="H1597" s="102"/>
      <c r="I1597" s="102"/>
      <c r="J1597" s="102"/>
      <c r="K1597" s="102"/>
      <c r="L1597" s="102"/>
      <c r="M1597" s="102"/>
      <c r="N1597" s="102"/>
      <c r="O1597" s="102"/>
      <c r="P1597" s="102"/>
      <c r="Q1597" s="102"/>
      <c r="R1597" s="102"/>
    </row>
    <row r="1598" spans="1:18" ht="35.1" customHeight="1" x14ac:dyDescent="0.2">
      <c r="A1598" s="99"/>
      <c r="B1598" s="99"/>
      <c r="C1598" s="102"/>
      <c r="D1598" s="102"/>
      <c r="E1598" s="102"/>
      <c r="F1598" s="102"/>
      <c r="G1598" s="102"/>
      <c r="H1598" s="102"/>
      <c r="I1598" s="102"/>
      <c r="J1598" s="102"/>
      <c r="K1598" s="102"/>
      <c r="L1598" s="102"/>
      <c r="M1598" s="102"/>
      <c r="N1598" s="102"/>
      <c r="O1598" s="102"/>
      <c r="P1598" s="102"/>
      <c r="Q1598" s="102"/>
      <c r="R1598" s="102"/>
    </row>
    <row r="1599" spans="1:18" ht="35.1" customHeight="1" x14ac:dyDescent="0.2">
      <c r="A1599" s="99"/>
      <c r="B1599" s="99"/>
      <c r="C1599" s="102"/>
      <c r="D1599" s="102"/>
      <c r="E1599" s="102"/>
      <c r="F1599" s="102"/>
      <c r="G1599" s="102"/>
      <c r="H1599" s="102"/>
      <c r="I1599" s="102"/>
      <c r="J1599" s="102"/>
      <c r="K1599" s="102"/>
      <c r="L1599" s="102"/>
      <c r="M1599" s="102"/>
      <c r="N1599" s="102"/>
      <c r="O1599" s="102"/>
      <c r="P1599" s="102"/>
      <c r="Q1599" s="102"/>
      <c r="R1599" s="102"/>
    </row>
    <row r="1600" spans="1:18" ht="35.1" customHeight="1" x14ac:dyDescent="0.2">
      <c r="A1600" s="99"/>
      <c r="B1600" s="99"/>
      <c r="C1600" s="102"/>
      <c r="D1600" s="102"/>
      <c r="E1600" s="102"/>
      <c r="F1600" s="102"/>
      <c r="G1600" s="102"/>
      <c r="H1600" s="102"/>
      <c r="I1600" s="102"/>
      <c r="J1600" s="102"/>
      <c r="K1600" s="102"/>
      <c r="L1600" s="102"/>
      <c r="M1600" s="102"/>
      <c r="N1600" s="102"/>
      <c r="O1600" s="102"/>
      <c r="P1600" s="102"/>
      <c r="Q1600" s="102"/>
      <c r="R1600" s="102"/>
    </row>
    <row r="1601" spans="1:18" ht="35.1" customHeight="1" x14ac:dyDescent="0.2">
      <c r="A1601" s="99"/>
      <c r="B1601" s="99"/>
      <c r="C1601" s="102"/>
      <c r="D1601" s="102"/>
      <c r="E1601" s="102"/>
      <c r="F1601" s="102"/>
      <c r="G1601" s="102"/>
      <c r="H1601" s="102"/>
      <c r="I1601" s="102"/>
      <c r="J1601" s="102"/>
      <c r="K1601" s="102"/>
      <c r="L1601" s="102"/>
      <c r="M1601" s="102"/>
      <c r="N1601" s="102"/>
      <c r="O1601" s="102"/>
      <c r="P1601" s="102"/>
      <c r="Q1601" s="102"/>
      <c r="R1601" s="102"/>
    </row>
    <row r="1602" spans="1:18" ht="35.1" customHeight="1" x14ac:dyDescent="0.2">
      <c r="A1602" s="99"/>
      <c r="B1602" s="99"/>
      <c r="C1602" s="102"/>
      <c r="D1602" s="102"/>
      <c r="E1602" s="102"/>
      <c r="F1602" s="102"/>
      <c r="G1602" s="102"/>
      <c r="H1602" s="102"/>
      <c r="I1602" s="102"/>
      <c r="J1602" s="102"/>
      <c r="K1602" s="102"/>
      <c r="L1602" s="102"/>
      <c r="M1602" s="102"/>
      <c r="N1602" s="102"/>
      <c r="O1602" s="102"/>
      <c r="P1602" s="102"/>
      <c r="Q1602" s="102"/>
      <c r="R1602" s="102"/>
    </row>
    <row r="1603" spans="1:18" ht="35.1" customHeight="1" x14ac:dyDescent="0.2">
      <c r="A1603" s="99"/>
      <c r="B1603" s="99"/>
      <c r="C1603" s="102"/>
      <c r="D1603" s="102"/>
      <c r="E1603" s="102"/>
      <c r="F1603" s="102"/>
      <c r="G1603" s="102"/>
      <c r="H1603" s="102"/>
      <c r="I1603" s="102"/>
      <c r="J1603" s="102"/>
      <c r="K1603" s="102"/>
      <c r="L1603" s="102"/>
      <c r="M1603" s="102"/>
      <c r="N1603" s="102"/>
      <c r="O1603" s="102"/>
      <c r="P1603" s="102"/>
      <c r="Q1603" s="102"/>
      <c r="R1603" s="102"/>
    </row>
    <row r="1604" spans="1:18" ht="35.1" customHeight="1" x14ac:dyDescent="0.2">
      <c r="A1604" s="99"/>
      <c r="B1604" s="99"/>
      <c r="C1604" s="102"/>
      <c r="D1604" s="102"/>
      <c r="E1604" s="102"/>
      <c r="F1604" s="102"/>
      <c r="G1604" s="102"/>
      <c r="H1604" s="102"/>
      <c r="I1604" s="102"/>
      <c r="J1604" s="102"/>
      <c r="K1604" s="102"/>
      <c r="L1604" s="102"/>
      <c r="M1604" s="102"/>
      <c r="N1604" s="102"/>
      <c r="O1604" s="102"/>
      <c r="P1604" s="102"/>
      <c r="Q1604" s="102"/>
      <c r="R1604" s="102"/>
    </row>
    <row r="1605" spans="1:18" ht="35.1" customHeight="1" x14ac:dyDescent="0.2">
      <c r="A1605" s="99"/>
      <c r="B1605" s="99"/>
      <c r="C1605" s="102"/>
      <c r="D1605" s="102"/>
      <c r="E1605" s="102"/>
      <c r="F1605" s="102"/>
      <c r="G1605" s="102"/>
      <c r="H1605" s="102"/>
      <c r="I1605" s="102"/>
      <c r="J1605" s="102"/>
      <c r="K1605" s="102"/>
      <c r="L1605" s="102"/>
      <c r="M1605" s="102"/>
      <c r="N1605" s="102"/>
      <c r="O1605" s="102"/>
      <c r="P1605" s="102"/>
      <c r="Q1605" s="102"/>
      <c r="R1605" s="102"/>
    </row>
    <row r="1606" spans="1:18" ht="35.1" customHeight="1" x14ac:dyDescent="0.2">
      <c r="A1606" s="99"/>
      <c r="B1606" s="99"/>
      <c r="C1606" s="102"/>
      <c r="D1606" s="102"/>
      <c r="E1606" s="102"/>
      <c r="F1606" s="102"/>
      <c r="G1606" s="102"/>
      <c r="H1606" s="102"/>
      <c r="I1606" s="102"/>
      <c r="J1606" s="102"/>
      <c r="K1606" s="102"/>
      <c r="L1606" s="102"/>
      <c r="M1606" s="102"/>
      <c r="N1606" s="102"/>
      <c r="O1606" s="102"/>
      <c r="P1606" s="102"/>
      <c r="Q1606" s="102"/>
      <c r="R1606" s="102"/>
    </row>
    <row r="1607" spans="1:18" ht="35.1" customHeight="1" x14ac:dyDescent="0.2">
      <c r="A1607" s="99"/>
      <c r="B1607" s="99"/>
      <c r="C1607" s="102"/>
      <c r="D1607" s="102"/>
      <c r="E1607" s="102"/>
      <c r="F1607" s="102"/>
      <c r="G1607" s="102"/>
      <c r="H1607" s="102"/>
      <c r="I1607" s="102"/>
      <c r="J1607" s="102"/>
      <c r="K1607" s="102"/>
      <c r="L1607" s="102"/>
      <c r="M1607" s="102"/>
      <c r="N1607" s="102"/>
      <c r="O1607" s="102"/>
      <c r="P1607" s="102"/>
      <c r="Q1607" s="102"/>
      <c r="R1607" s="102"/>
    </row>
    <row r="1608" spans="1:18" ht="35.1" customHeight="1" x14ac:dyDescent="0.2">
      <c r="A1608" s="99"/>
      <c r="B1608" s="99"/>
      <c r="C1608" s="102"/>
      <c r="D1608" s="102"/>
      <c r="E1608" s="102"/>
      <c r="F1608" s="102"/>
      <c r="G1608" s="102"/>
      <c r="H1608" s="102"/>
      <c r="I1608" s="102"/>
      <c r="J1608" s="102"/>
      <c r="K1608" s="102"/>
      <c r="L1608" s="102"/>
      <c r="M1608" s="102"/>
      <c r="N1608" s="102"/>
      <c r="O1608" s="102"/>
      <c r="P1608" s="102"/>
      <c r="Q1608" s="102"/>
      <c r="R1608" s="102"/>
    </row>
    <row r="1609" spans="1:18" ht="35.1" customHeight="1" x14ac:dyDescent="0.2">
      <c r="A1609" s="99"/>
      <c r="B1609" s="99"/>
      <c r="C1609" s="102"/>
      <c r="D1609" s="102"/>
      <c r="E1609" s="102"/>
      <c r="F1609" s="102"/>
      <c r="G1609" s="102"/>
      <c r="H1609" s="102"/>
      <c r="I1609" s="102"/>
      <c r="J1609" s="102"/>
      <c r="K1609" s="102"/>
      <c r="L1609" s="102"/>
      <c r="M1609" s="102"/>
      <c r="N1609" s="102"/>
      <c r="O1609" s="102"/>
      <c r="P1609" s="102"/>
      <c r="Q1609" s="102"/>
      <c r="R1609" s="102"/>
    </row>
    <row r="1610" spans="1:18" ht="35.1" customHeight="1" x14ac:dyDescent="0.2">
      <c r="A1610" s="99"/>
      <c r="B1610" s="99"/>
      <c r="C1610" s="102"/>
      <c r="D1610" s="102"/>
      <c r="E1610" s="102"/>
      <c r="F1610" s="102"/>
      <c r="G1610" s="102"/>
      <c r="H1610" s="102"/>
      <c r="I1610" s="102"/>
      <c r="J1610" s="102"/>
      <c r="K1610" s="102"/>
      <c r="L1610" s="102"/>
      <c r="M1610" s="102"/>
      <c r="N1610" s="102"/>
      <c r="O1610" s="102"/>
      <c r="P1610" s="102"/>
      <c r="Q1610" s="102"/>
      <c r="R1610" s="102"/>
    </row>
    <row r="1611" spans="1:18" ht="35.1" customHeight="1" x14ac:dyDescent="0.2">
      <c r="A1611" s="99"/>
      <c r="B1611" s="99"/>
      <c r="C1611" s="102"/>
      <c r="D1611" s="102"/>
      <c r="E1611" s="102"/>
      <c r="F1611" s="102"/>
      <c r="G1611" s="102"/>
      <c r="H1611" s="102"/>
      <c r="I1611" s="102"/>
      <c r="J1611" s="102"/>
      <c r="K1611" s="102"/>
      <c r="L1611" s="102"/>
      <c r="M1611" s="102"/>
      <c r="N1611" s="102"/>
      <c r="O1611" s="102"/>
      <c r="P1611" s="102"/>
      <c r="Q1611" s="102"/>
      <c r="R1611" s="102"/>
    </row>
    <row r="1612" spans="1:18" ht="35.1" customHeight="1" x14ac:dyDescent="0.2">
      <c r="A1612" s="99"/>
      <c r="B1612" s="99"/>
      <c r="C1612" s="102"/>
      <c r="D1612" s="102"/>
      <c r="E1612" s="102"/>
      <c r="F1612" s="102"/>
      <c r="G1612" s="102"/>
      <c r="H1612" s="102"/>
      <c r="I1612" s="102"/>
      <c r="J1612" s="102"/>
      <c r="K1612" s="102"/>
      <c r="L1612" s="102"/>
      <c r="M1612" s="102"/>
      <c r="N1612" s="102"/>
      <c r="O1612" s="102"/>
      <c r="P1612" s="102"/>
      <c r="Q1612" s="102"/>
      <c r="R1612" s="102"/>
    </row>
    <row r="1613" spans="1:18" ht="35.1" customHeight="1" x14ac:dyDescent="0.2">
      <c r="A1613" s="99"/>
      <c r="B1613" s="99"/>
      <c r="C1613" s="102"/>
      <c r="D1613" s="102"/>
      <c r="E1613" s="102"/>
      <c r="F1613" s="102"/>
      <c r="G1613" s="102"/>
      <c r="H1613" s="102"/>
      <c r="I1613" s="102"/>
      <c r="J1613" s="102"/>
      <c r="K1613" s="102"/>
      <c r="L1613" s="102"/>
      <c r="M1613" s="102"/>
      <c r="N1613" s="102"/>
      <c r="O1613" s="102"/>
      <c r="P1613" s="102"/>
      <c r="Q1613" s="102"/>
      <c r="R1613" s="102"/>
    </row>
    <row r="1614" spans="1:18" ht="35.1" customHeight="1" x14ac:dyDescent="0.2">
      <c r="A1614" s="99"/>
      <c r="B1614" s="99"/>
      <c r="C1614" s="102"/>
      <c r="D1614" s="102"/>
      <c r="E1614" s="102"/>
      <c r="F1614" s="102"/>
      <c r="G1614" s="102"/>
      <c r="H1614" s="102"/>
      <c r="I1614" s="102"/>
      <c r="J1614" s="102"/>
      <c r="K1614" s="102"/>
      <c r="L1614" s="102"/>
      <c r="M1614" s="102"/>
      <c r="N1614" s="102"/>
      <c r="O1614" s="102"/>
      <c r="P1614" s="102"/>
      <c r="Q1614" s="102"/>
      <c r="R1614" s="102"/>
    </row>
    <row r="1615" spans="1:18" ht="35.1" customHeight="1" x14ac:dyDescent="0.2">
      <c r="A1615" s="99"/>
      <c r="B1615" s="99"/>
      <c r="C1615" s="102"/>
      <c r="D1615" s="102"/>
      <c r="E1615" s="102"/>
      <c r="F1615" s="102"/>
      <c r="G1615" s="102"/>
      <c r="H1615" s="102"/>
      <c r="I1615" s="102"/>
      <c r="J1615" s="102"/>
      <c r="K1615" s="102"/>
      <c r="L1615" s="102"/>
      <c r="M1615" s="102"/>
      <c r="N1615" s="102"/>
      <c r="O1615" s="102"/>
      <c r="P1615" s="102"/>
      <c r="Q1615" s="102"/>
      <c r="R1615" s="102"/>
    </row>
    <row r="1616" spans="1:18" ht="35.1" customHeight="1" x14ac:dyDescent="0.2">
      <c r="A1616" s="99"/>
      <c r="B1616" s="99"/>
      <c r="C1616" s="102"/>
      <c r="D1616" s="102"/>
      <c r="E1616" s="102"/>
      <c r="F1616" s="102"/>
      <c r="G1616" s="102"/>
      <c r="H1616" s="102"/>
      <c r="I1616" s="102"/>
      <c r="J1616" s="102"/>
      <c r="K1616" s="102"/>
      <c r="L1616" s="102"/>
      <c r="M1616" s="102"/>
      <c r="N1616" s="102"/>
      <c r="O1616" s="102"/>
      <c r="P1616" s="102"/>
      <c r="Q1616" s="102"/>
      <c r="R1616" s="102"/>
    </row>
    <row r="1617" spans="1:18" ht="35.1" customHeight="1" x14ac:dyDescent="0.2">
      <c r="A1617" s="99"/>
      <c r="B1617" s="99"/>
      <c r="C1617" s="102"/>
      <c r="D1617" s="102"/>
      <c r="E1617" s="102"/>
      <c r="F1617" s="102"/>
      <c r="G1617" s="102"/>
      <c r="H1617" s="102"/>
      <c r="I1617" s="102"/>
      <c r="J1617" s="102"/>
      <c r="K1617" s="102"/>
      <c r="L1617" s="102"/>
      <c r="M1617" s="102"/>
      <c r="N1617" s="102"/>
      <c r="O1617" s="102"/>
      <c r="P1617" s="102"/>
      <c r="Q1617" s="102"/>
      <c r="R1617" s="102"/>
    </row>
    <row r="1618" spans="1:18" ht="35.1" customHeight="1" x14ac:dyDescent="0.2">
      <c r="A1618" s="99"/>
      <c r="B1618" s="99"/>
      <c r="C1618" s="102"/>
      <c r="D1618" s="102"/>
      <c r="E1618" s="102"/>
      <c r="F1618" s="102"/>
      <c r="G1618" s="102"/>
      <c r="H1618" s="102"/>
      <c r="I1618" s="102"/>
      <c r="J1618" s="102"/>
      <c r="K1618" s="102"/>
      <c r="L1618" s="102"/>
      <c r="M1618" s="102"/>
      <c r="N1618" s="102"/>
      <c r="O1618" s="102"/>
      <c r="P1618" s="102"/>
      <c r="Q1618" s="102"/>
      <c r="R1618" s="102"/>
    </row>
    <row r="1619" spans="1:18" ht="35.1" customHeight="1" x14ac:dyDescent="0.2">
      <c r="A1619" s="99"/>
      <c r="B1619" s="99"/>
      <c r="C1619" s="102"/>
      <c r="D1619" s="102"/>
      <c r="E1619" s="102"/>
      <c r="F1619" s="102"/>
      <c r="G1619" s="102"/>
      <c r="H1619" s="102"/>
      <c r="I1619" s="102"/>
      <c r="J1619" s="102"/>
      <c r="K1619" s="102"/>
      <c r="L1619" s="102"/>
      <c r="M1619" s="102"/>
      <c r="N1619" s="102"/>
      <c r="O1619" s="102"/>
      <c r="P1619" s="102"/>
      <c r="Q1619" s="102"/>
      <c r="R1619" s="102"/>
    </row>
    <row r="1620" spans="1:18" ht="35.1" customHeight="1" x14ac:dyDescent="0.2">
      <c r="A1620" s="99"/>
      <c r="B1620" s="99"/>
      <c r="C1620" s="102"/>
      <c r="D1620" s="102"/>
      <c r="E1620" s="102"/>
      <c r="F1620" s="102"/>
      <c r="G1620" s="102"/>
      <c r="H1620" s="102"/>
      <c r="I1620" s="102"/>
      <c r="J1620" s="102"/>
      <c r="K1620" s="102"/>
      <c r="L1620" s="102"/>
      <c r="M1620" s="102"/>
      <c r="N1620" s="102"/>
      <c r="O1620" s="102"/>
      <c r="P1620" s="102"/>
      <c r="Q1620" s="102"/>
      <c r="R1620" s="102"/>
    </row>
    <row r="1621" spans="1:18" ht="35.1" customHeight="1" x14ac:dyDescent="0.2">
      <c r="A1621" s="99"/>
      <c r="B1621" s="99"/>
      <c r="C1621" s="102"/>
      <c r="D1621" s="102"/>
      <c r="E1621" s="102"/>
      <c r="F1621" s="102"/>
      <c r="G1621" s="102"/>
      <c r="H1621" s="102"/>
      <c r="I1621" s="102"/>
      <c r="J1621" s="102"/>
      <c r="K1621" s="102"/>
      <c r="L1621" s="102"/>
      <c r="M1621" s="102"/>
      <c r="N1621" s="102"/>
      <c r="O1621" s="102"/>
      <c r="P1621" s="102"/>
      <c r="Q1621" s="102"/>
      <c r="R1621" s="102"/>
    </row>
    <row r="1622" spans="1:18" ht="35.1" customHeight="1" x14ac:dyDescent="0.2">
      <c r="A1622" s="99"/>
      <c r="B1622" s="99"/>
      <c r="C1622" s="102"/>
      <c r="D1622" s="102"/>
      <c r="E1622" s="102"/>
      <c r="F1622" s="102"/>
      <c r="G1622" s="102"/>
      <c r="H1622" s="102"/>
      <c r="I1622" s="102"/>
      <c r="J1622" s="102"/>
      <c r="K1622" s="102"/>
      <c r="L1622" s="102"/>
      <c r="M1622" s="102"/>
      <c r="N1622" s="102"/>
      <c r="O1622" s="102"/>
      <c r="P1622" s="102"/>
      <c r="Q1622" s="102"/>
      <c r="R1622" s="102"/>
    </row>
    <row r="1623" spans="1:18" ht="35.1" customHeight="1" x14ac:dyDescent="0.2">
      <c r="A1623" s="99"/>
      <c r="B1623" s="99"/>
      <c r="C1623" s="102"/>
      <c r="D1623" s="102"/>
      <c r="E1623" s="102"/>
      <c r="F1623" s="102"/>
      <c r="G1623" s="102"/>
      <c r="H1623" s="102"/>
      <c r="I1623" s="102"/>
      <c r="J1623" s="102"/>
      <c r="K1623" s="102"/>
      <c r="L1623" s="102"/>
      <c r="M1623" s="102"/>
      <c r="N1623" s="102"/>
      <c r="O1623" s="102"/>
      <c r="P1623" s="102"/>
      <c r="Q1623" s="102"/>
      <c r="R1623" s="102"/>
    </row>
    <row r="1624" spans="1:18" ht="35.1" customHeight="1" x14ac:dyDescent="0.2">
      <c r="A1624" s="99"/>
      <c r="B1624" s="99"/>
      <c r="C1624" s="102"/>
      <c r="D1624" s="102"/>
      <c r="E1624" s="102"/>
      <c r="F1624" s="102"/>
      <c r="G1624" s="102"/>
      <c r="H1624" s="102"/>
      <c r="I1624" s="102"/>
      <c r="J1624" s="102"/>
      <c r="K1624" s="102"/>
      <c r="L1624" s="102"/>
      <c r="M1624" s="102"/>
      <c r="N1624" s="102"/>
      <c r="O1624" s="102"/>
      <c r="P1624" s="102"/>
      <c r="Q1624" s="102"/>
      <c r="R1624" s="102"/>
    </row>
    <row r="1625" spans="1:18" ht="35.1" customHeight="1" x14ac:dyDescent="0.2">
      <c r="A1625" s="99"/>
      <c r="B1625" s="99"/>
      <c r="C1625" s="102"/>
      <c r="D1625" s="102"/>
      <c r="E1625" s="102"/>
      <c r="F1625" s="102"/>
      <c r="G1625" s="102"/>
      <c r="H1625" s="102"/>
      <c r="I1625" s="102"/>
      <c r="J1625" s="102"/>
      <c r="K1625" s="102"/>
      <c r="L1625" s="102"/>
      <c r="M1625" s="102"/>
      <c r="N1625" s="102"/>
      <c r="O1625" s="102"/>
      <c r="P1625" s="102"/>
      <c r="Q1625" s="102"/>
      <c r="R1625" s="102"/>
    </row>
    <row r="1626" spans="1:18" ht="35.1" customHeight="1" x14ac:dyDescent="0.2">
      <c r="A1626" s="99"/>
      <c r="B1626" s="99"/>
      <c r="C1626" s="102"/>
      <c r="D1626" s="102"/>
      <c r="E1626" s="102"/>
      <c r="F1626" s="102"/>
      <c r="G1626" s="102"/>
      <c r="H1626" s="102"/>
      <c r="I1626" s="102"/>
      <c r="J1626" s="102"/>
      <c r="K1626" s="102"/>
      <c r="L1626" s="102"/>
      <c r="M1626" s="102"/>
      <c r="N1626" s="102"/>
      <c r="O1626" s="102"/>
      <c r="P1626" s="102"/>
      <c r="Q1626" s="102"/>
      <c r="R1626" s="102"/>
    </row>
    <row r="1627" spans="1:18" ht="35.1" customHeight="1" x14ac:dyDescent="0.2">
      <c r="A1627" s="99"/>
      <c r="B1627" s="99"/>
      <c r="C1627" s="102"/>
      <c r="D1627" s="102"/>
      <c r="E1627" s="102"/>
      <c r="F1627" s="102"/>
      <c r="G1627" s="102"/>
      <c r="H1627" s="102"/>
      <c r="I1627" s="102"/>
      <c r="J1627" s="102"/>
      <c r="K1627" s="102"/>
      <c r="L1627" s="102"/>
      <c r="M1627" s="102"/>
      <c r="N1627" s="102"/>
      <c r="O1627" s="102"/>
      <c r="P1627" s="102"/>
      <c r="Q1627" s="102"/>
      <c r="R1627" s="102"/>
    </row>
    <row r="1628" spans="1:18" ht="35.1" customHeight="1" x14ac:dyDescent="0.2">
      <c r="A1628" s="99"/>
      <c r="B1628" s="99"/>
      <c r="C1628" s="102"/>
      <c r="D1628" s="102"/>
      <c r="E1628" s="102"/>
      <c r="F1628" s="102"/>
      <c r="G1628" s="102"/>
      <c r="H1628" s="102"/>
      <c r="I1628" s="102"/>
      <c r="J1628" s="102"/>
      <c r="K1628" s="102"/>
      <c r="L1628" s="102"/>
      <c r="M1628" s="102"/>
      <c r="N1628" s="102"/>
      <c r="O1628" s="102"/>
      <c r="P1628" s="102"/>
      <c r="Q1628" s="102"/>
      <c r="R1628" s="102"/>
    </row>
    <row r="1629" spans="1:18" ht="35.1" customHeight="1" x14ac:dyDescent="0.2">
      <c r="A1629" s="99"/>
      <c r="B1629" s="99"/>
      <c r="C1629" s="102"/>
      <c r="D1629" s="102"/>
      <c r="E1629" s="102"/>
      <c r="F1629" s="102"/>
      <c r="G1629" s="102"/>
      <c r="H1629" s="102"/>
      <c r="I1629" s="102"/>
      <c r="J1629" s="102"/>
      <c r="K1629" s="102"/>
      <c r="L1629" s="102"/>
      <c r="M1629" s="102"/>
      <c r="N1629" s="102"/>
      <c r="O1629" s="102"/>
      <c r="P1629" s="102"/>
      <c r="Q1629" s="102"/>
      <c r="R1629" s="102"/>
    </row>
    <row r="1630" spans="1:18" ht="35.1" customHeight="1" x14ac:dyDescent="0.2">
      <c r="A1630" s="99"/>
      <c r="B1630" s="99"/>
      <c r="C1630" s="102"/>
      <c r="D1630" s="102"/>
      <c r="E1630" s="102"/>
      <c r="F1630" s="102"/>
      <c r="G1630" s="102"/>
      <c r="H1630" s="102"/>
      <c r="I1630" s="102"/>
      <c r="J1630" s="102"/>
      <c r="K1630" s="102"/>
      <c r="L1630" s="102"/>
      <c r="M1630" s="102"/>
      <c r="N1630" s="102"/>
      <c r="O1630" s="102"/>
      <c r="P1630" s="102"/>
      <c r="Q1630" s="102"/>
      <c r="R1630" s="102"/>
    </row>
    <row r="1631" spans="1:18" ht="35.1" customHeight="1" x14ac:dyDescent="0.2">
      <c r="A1631" s="99"/>
      <c r="B1631" s="99"/>
      <c r="C1631" s="102"/>
      <c r="D1631" s="102"/>
      <c r="E1631" s="102"/>
      <c r="F1631" s="102"/>
      <c r="G1631" s="102"/>
      <c r="H1631" s="102"/>
      <c r="I1631" s="102"/>
      <c r="J1631" s="102"/>
      <c r="K1631" s="102"/>
      <c r="L1631" s="102"/>
      <c r="M1631" s="102"/>
      <c r="N1631" s="102"/>
      <c r="O1631" s="102"/>
      <c r="P1631" s="102"/>
      <c r="Q1631" s="102"/>
      <c r="R1631" s="102"/>
    </row>
    <row r="1632" spans="1:18" ht="35.1" customHeight="1" x14ac:dyDescent="0.2">
      <c r="A1632" s="99"/>
      <c r="B1632" s="99"/>
      <c r="C1632" s="102"/>
      <c r="D1632" s="102"/>
      <c r="E1632" s="102"/>
      <c r="F1632" s="102"/>
      <c r="G1632" s="102"/>
      <c r="H1632" s="102"/>
      <c r="I1632" s="102"/>
      <c r="J1632" s="102"/>
      <c r="K1632" s="102"/>
      <c r="L1632" s="102"/>
      <c r="M1632" s="102"/>
      <c r="N1632" s="102"/>
      <c r="O1632" s="102"/>
      <c r="P1632" s="102"/>
      <c r="Q1632" s="102"/>
      <c r="R1632" s="102"/>
    </row>
    <row r="1633" spans="1:18" ht="35.1" customHeight="1" x14ac:dyDescent="0.2">
      <c r="A1633" s="99"/>
      <c r="B1633" s="99"/>
      <c r="C1633" s="102"/>
      <c r="D1633" s="102"/>
      <c r="E1633" s="102"/>
      <c r="F1633" s="102"/>
      <c r="G1633" s="102"/>
      <c r="H1633" s="102"/>
      <c r="I1633" s="102"/>
      <c r="J1633" s="102"/>
      <c r="K1633" s="102"/>
      <c r="L1633" s="102"/>
      <c r="M1633" s="102"/>
      <c r="N1633" s="102"/>
      <c r="O1633" s="102"/>
      <c r="P1633" s="102"/>
      <c r="Q1633" s="102"/>
      <c r="R1633" s="102"/>
    </row>
    <row r="1634" spans="1:18" ht="35.1" customHeight="1" x14ac:dyDescent="0.2">
      <c r="A1634" s="99"/>
      <c r="B1634" s="99"/>
      <c r="C1634" s="102"/>
      <c r="D1634" s="102"/>
      <c r="E1634" s="102"/>
      <c r="F1634" s="102"/>
      <c r="G1634" s="102"/>
      <c r="H1634" s="102"/>
      <c r="I1634" s="102"/>
      <c r="J1634" s="102"/>
      <c r="K1634" s="102"/>
      <c r="L1634" s="102"/>
      <c r="M1634" s="102"/>
      <c r="N1634" s="102"/>
      <c r="O1634" s="102"/>
      <c r="P1634" s="102"/>
      <c r="Q1634" s="102"/>
      <c r="R1634" s="102"/>
    </row>
    <row r="1635" spans="1:18" ht="35.1" customHeight="1" x14ac:dyDescent="0.2">
      <c r="A1635" s="99"/>
      <c r="B1635" s="99"/>
      <c r="C1635" s="102"/>
      <c r="D1635" s="102"/>
      <c r="E1635" s="102"/>
      <c r="F1635" s="102"/>
      <c r="G1635" s="102"/>
      <c r="H1635" s="102"/>
      <c r="I1635" s="102"/>
      <c r="J1635" s="102"/>
      <c r="K1635" s="102"/>
      <c r="L1635" s="102"/>
      <c r="M1635" s="102"/>
      <c r="N1635" s="102"/>
      <c r="O1635" s="102"/>
      <c r="P1635" s="102"/>
      <c r="Q1635" s="102"/>
      <c r="R1635" s="102"/>
    </row>
    <row r="1636" spans="1:18" ht="35.1" customHeight="1" x14ac:dyDescent="0.2">
      <c r="A1636" s="99"/>
      <c r="B1636" s="99"/>
      <c r="C1636" s="102"/>
      <c r="D1636" s="102"/>
      <c r="E1636" s="102"/>
      <c r="F1636" s="102"/>
      <c r="G1636" s="102"/>
      <c r="H1636" s="102"/>
      <c r="I1636" s="102"/>
      <c r="J1636" s="102"/>
      <c r="K1636" s="102"/>
      <c r="L1636" s="102"/>
      <c r="M1636" s="102"/>
      <c r="N1636" s="102"/>
      <c r="O1636" s="102"/>
      <c r="P1636" s="102"/>
      <c r="Q1636" s="102"/>
      <c r="R1636" s="102"/>
    </row>
    <row r="1637" spans="1:18" ht="35.1" customHeight="1" x14ac:dyDescent="0.2">
      <c r="A1637" s="99"/>
      <c r="B1637" s="99"/>
      <c r="C1637" s="102"/>
      <c r="D1637" s="102"/>
      <c r="E1637" s="102"/>
      <c r="F1637" s="102"/>
      <c r="G1637" s="102"/>
      <c r="H1637" s="102"/>
      <c r="I1637" s="102"/>
      <c r="J1637" s="102"/>
      <c r="K1637" s="102"/>
      <c r="L1637" s="102"/>
      <c r="M1637" s="102"/>
      <c r="N1637" s="102"/>
      <c r="O1637" s="102"/>
      <c r="P1637" s="102"/>
      <c r="Q1637" s="102"/>
      <c r="R1637" s="102"/>
    </row>
    <row r="1638" spans="1:18" ht="35.1" customHeight="1" x14ac:dyDescent="0.2">
      <c r="A1638" s="99"/>
      <c r="B1638" s="99"/>
      <c r="C1638" s="102"/>
      <c r="D1638" s="102"/>
      <c r="E1638" s="102"/>
      <c r="F1638" s="102"/>
      <c r="G1638" s="102"/>
      <c r="H1638" s="102"/>
      <c r="I1638" s="102"/>
      <c r="J1638" s="102"/>
      <c r="K1638" s="102"/>
      <c r="L1638" s="102"/>
      <c r="M1638" s="102"/>
      <c r="N1638" s="102"/>
      <c r="O1638" s="102"/>
      <c r="P1638" s="102"/>
      <c r="Q1638" s="102"/>
      <c r="R1638" s="102"/>
    </row>
    <row r="1639" spans="1:18" ht="35.1" customHeight="1" x14ac:dyDescent="0.2">
      <c r="A1639" s="99"/>
      <c r="B1639" s="99"/>
      <c r="C1639" s="102"/>
      <c r="D1639" s="102"/>
      <c r="E1639" s="102"/>
      <c r="F1639" s="102"/>
      <c r="G1639" s="102"/>
      <c r="H1639" s="102"/>
      <c r="I1639" s="102"/>
      <c r="J1639" s="102"/>
      <c r="K1639" s="102"/>
      <c r="L1639" s="102"/>
      <c r="M1639" s="102"/>
      <c r="N1639" s="102"/>
      <c r="O1639" s="102"/>
      <c r="P1639" s="102"/>
      <c r="Q1639" s="102"/>
      <c r="R1639" s="102"/>
    </row>
    <row r="1640" spans="1:18" ht="35.1" customHeight="1" x14ac:dyDescent="0.2">
      <c r="A1640" s="99"/>
      <c r="B1640" s="99"/>
      <c r="C1640" s="102"/>
      <c r="D1640" s="102"/>
      <c r="E1640" s="102"/>
      <c r="F1640" s="102"/>
      <c r="G1640" s="102"/>
      <c r="H1640" s="102"/>
      <c r="I1640" s="102"/>
      <c r="J1640" s="102"/>
      <c r="K1640" s="102"/>
      <c r="L1640" s="102"/>
      <c r="M1640" s="102"/>
      <c r="N1640" s="102"/>
      <c r="O1640" s="102"/>
      <c r="P1640" s="102"/>
      <c r="Q1640" s="102"/>
      <c r="R1640" s="102"/>
    </row>
    <row r="1641" spans="1:18" ht="35.1" customHeight="1" x14ac:dyDescent="0.2">
      <c r="A1641" s="99"/>
      <c r="B1641" s="99"/>
      <c r="C1641" s="102"/>
      <c r="D1641" s="102"/>
      <c r="E1641" s="102"/>
      <c r="F1641" s="102"/>
      <c r="G1641" s="102"/>
      <c r="H1641" s="102"/>
      <c r="I1641" s="102"/>
      <c r="J1641" s="102"/>
      <c r="K1641" s="102"/>
      <c r="L1641" s="102"/>
      <c r="M1641" s="102"/>
      <c r="N1641" s="102"/>
      <c r="O1641" s="102"/>
      <c r="P1641" s="102"/>
      <c r="Q1641" s="102"/>
      <c r="R1641" s="102"/>
    </row>
    <row r="1642" spans="1:18" ht="35.1" customHeight="1" x14ac:dyDescent="0.2">
      <c r="A1642" s="99"/>
      <c r="B1642" s="99"/>
      <c r="C1642" s="102"/>
      <c r="D1642" s="102"/>
      <c r="E1642" s="102"/>
      <c r="F1642" s="102"/>
      <c r="G1642" s="102"/>
      <c r="H1642" s="102"/>
      <c r="I1642" s="102"/>
      <c r="J1642" s="102"/>
      <c r="K1642" s="102"/>
      <c r="L1642" s="102"/>
      <c r="M1642" s="102"/>
      <c r="N1642" s="102"/>
      <c r="O1642" s="102"/>
      <c r="P1642" s="102"/>
      <c r="Q1642" s="102"/>
      <c r="R1642" s="102"/>
    </row>
    <row r="1643" spans="1:18" ht="35.1" customHeight="1" x14ac:dyDescent="0.2">
      <c r="A1643" s="99"/>
      <c r="B1643" s="99"/>
      <c r="C1643" s="102"/>
      <c r="D1643" s="102"/>
      <c r="E1643" s="102"/>
      <c r="F1643" s="102"/>
      <c r="G1643" s="102"/>
      <c r="H1643" s="102"/>
      <c r="I1643" s="102"/>
      <c r="J1643" s="102"/>
      <c r="K1643" s="102"/>
      <c r="L1643" s="102"/>
      <c r="M1643" s="102"/>
      <c r="N1643" s="102"/>
      <c r="O1643" s="102"/>
      <c r="P1643" s="102"/>
      <c r="Q1643" s="102"/>
      <c r="R1643" s="102"/>
    </row>
    <row r="1644" spans="1:18" ht="35.1" customHeight="1" x14ac:dyDescent="0.2">
      <c r="A1644" s="99"/>
      <c r="B1644" s="99"/>
      <c r="C1644" s="102"/>
      <c r="D1644" s="102"/>
      <c r="E1644" s="102"/>
      <c r="F1644" s="102"/>
      <c r="G1644" s="102"/>
      <c r="H1644" s="102"/>
      <c r="I1644" s="102"/>
      <c r="J1644" s="102"/>
      <c r="K1644" s="102"/>
      <c r="L1644" s="102"/>
      <c r="M1644" s="102"/>
      <c r="N1644" s="102"/>
      <c r="O1644" s="102"/>
      <c r="P1644" s="102"/>
      <c r="Q1644" s="102"/>
      <c r="R1644" s="102"/>
    </row>
    <row r="1645" spans="1:18" ht="35.1" customHeight="1" x14ac:dyDescent="0.2">
      <c r="A1645" s="99"/>
      <c r="B1645" s="99"/>
      <c r="C1645" s="102"/>
      <c r="D1645" s="102"/>
      <c r="E1645" s="102"/>
      <c r="F1645" s="102"/>
      <c r="G1645" s="102"/>
      <c r="H1645" s="102"/>
      <c r="I1645" s="102"/>
      <c r="J1645" s="102"/>
      <c r="K1645" s="102"/>
      <c r="L1645" s="102"/>
      <c r="M1645" s="102"/>
      <c r="N1645" s="102"/>
      <c r="O1645" s="102"/>
      <c r="P1645" s="102"/>
      <c r="Q1645" s="102"/>
      <c r="R1645" s="102"/>
    </row>
    <row r="1646" spans="1:18" ht="35.1" customHeight="1" x14ac:dyDescent="0.2">
      <c r="A1646" s="99"/>
      <c r="B1646" s="99"/>
      <c r="C1646" s="102"/>
      <c r="D1646" s="102"/>
      <c r="E1646" s="102"/>
      <c r="F1646" s="102"/>
      <c r="G1646" s="102"/>
      <c r="H1646" s="102"/>
      <c r="I1646" s="102"/>
      <c r="J1646" s="102"/>
      <c r="K1646" s="102"/>
      <c r="L1646" s="102"/>
      <c r="M1646" s="102"/>
      <c r="N1646" s="102"/>
      <c r="O1646" s="102"/>
      <c r="P1646" s="102"/>
      <c r="Q1646" s="102"/>
      <c r="R1646" s="102"/>
    </row>
    <row r="1647" spans="1:18" ht="35.1" customHeight="1" x14ac:dyDescent="0.2">
      <c r="A1647" s="99"/>
      <c r="B1647" s="99"/>
      <c r="C1647" s="102"/>
      <c r="D1647" s="102"/>
      <c r="E1647" s="102"/>
      <c r="F1647" s="102"/>
      <c r="G1647" s="102"/>
      <c r="H1647" s="102"/>
      <c r="I1647" s="102"/>
      <c r="J1647" s="102"/>
      <c r="K1647" s="102"/>
      <c r="L1647" s="102"/>
      <c r="M1647" s="102"/>
      <c r="N1647" s="102"/>
      <c r="O1647" s="102"/>
      <c r="P1647" s="102"/>
      <c r="Q1647" s="102"/>
      <c r="R1647" s="102"/>
    </row>
    <row r="1648" spans="1:18" ht="35.1" customHeight="1" x14ac:dyDescent="0.2">
      <c r="A1648" s="99"/>
      <c r="B1648" s="99"/>
      <c r="C1648" s="102"/>
      <c r="D1648" s="102"/>
      <c r="E1648" s="102"/>
      <c r="F1648" s="102"/>
      <c r="G1648" s="102"/>
      <c r="H1648" s="102"/>
      <c r="I1648" s="102"/>
      <c r="J1648" s="102"/>
      <c r="K1648" s="102"/>
      <c r="L1648" s="102"/>
      <c r="M1648" s="102"/>
      <c r="N1648" s="102"/>
      <c r="O1648" s="102"/>
      <c r="P1648" s="102"/>
      <c r="Q1648" s="102"/>
      <c r="R1648" s="102"/>
    </row>
    <row r="1649" spans="1:18" ht="35.1" customHeight="1" x14ac:dyDescent="0.2">
      <c r="A1649" s="99"/>
      <c r="B1649" s="99"/>
      <c r="C1649" s="102"/>
      <c r="D1649" s="102"/>
      <c r="E1649" s="102"/>
      <c r="F1649" s="102"/>
      <c r="G1649" s="102"/>
      <c r="H1649" s="102"/>
      <c r="I1649" s="102"/>
      <c r="J1649" s="102"/>
      <c r="K1649" s="102"/>
      <c r="L1649" s="102"/>
      <c r="M1649" s="102"/>
      <c r="N1649" s="102"/>
      <c r="O1649" s="102"/>
      <c r="P1649" s="102"/>
      <c r="Q1649" s="102"/>
      <c r="R1649" s="102"/>
    </row>
    <row r="1650" spans="1:18" ht="35.1" customHeight="1" x14ac:dyDescent="0.2">
      <c r="A1650" s="99"/>
      <c r="B1650" s="99"/>
      <c r="C1650" s="102"/>
      <c r="D1650" s="102"/>
      <c r="E1650" s="102"/>
      <c r="F1650" s="102"/>
      <c r="G1650" s="102"/>
      <c r="H1650" s="102"/>
      <c r="I1650" s="102"/>
      <c r="J1650" s="102"/>
      <c r="K1650" s="102"/>
      <c r="L1650" s="102"/>
      <c r="M1650" s="102"/>
      <c r="N1650" s="102"/>
      <c r="O1650" s="102"/>
      <c r="P1650" s="102"/>
      <c r="Q1650" s="102"/>
      <c r="R1650" s="102"/>
    </row>
    <row r="1651" spans="1:18" ht="35.1" customHeight="1" x14ac:dyDescent="0.2">
      <c r="A1651" s="99"/>
      <c r="B1651" s="99"/>
      <c r="C1651" s="102"/>
      <c r="D1651" s="102"/>
      <c r="E1651" s="102"/>
      <c r="F1651" s="102"/>
      <c r="G1651" s="102"/>
      <c r="H1651" s="102"/>
      <c r="I1651" s="102"/>
      <c r="J1651" s="102"/>
      <c r="K1651" s="102"/>
      <c r="L1651" s="102"/>
      <c r="M1651" s="102"/>
      <c r="N1651" s="102"/>
      <c r="O1651" s="102"/>
      <c r="P1651" s="102"/>
      <c r="Q1651" s="102"/>
      <c r="R1651" s="102"/>
    </row>
    <row r="1652" spans="1:18" ht="35.1" customHeight="1" x14ac:dyDescent="0.2">
      <c r="A1652" s="99"/>
      <c r="B1652" s="99"/>
      <c r="C1652" s="102"/>
      <c r="D1652" s="102"/>
      <c r="E1652" s="102"/>
      <c r="F1652" s="102"/>
      <c r="G1652" s="102"/>
      <c r="H1652" s="102"/>
      <c r="I1652" s="102"/>
      <c r="J1652" s="102"/>
      <c r="K1652" s="102"/>
      <c r="L1652" s="102"/>
      <c r="M1652" s="102"/>
      <c r="N1652" s="102"/>
      <c r="O1652" s="102"/>
      <c r="P1652" s="102"/>
      <c r="Q1652" s="102"/>
      <c r="R1652" s="102"/>
    </row>
    <row r="1653" spans="1:18" ht="35.1" customHeight="1" x14ac:dyDescent="0.2">
      <c r="A1653" s="99"/>
      <c r="B1653" s="99"/>
      <c r="C1653" s="102"/>
      <c r="D1653" s="102"/>
      <c r="E1653" s="102"/>
      <c r="F1653" s="102"/>
      <c r="G1653" s="102"/>
      <c r="H1653" s="102"/>
      <c r="I1653" s="102"/>
      <c r="J1653" s="102"/>
      <c r="K1653" s="102"/>
      <c r="L1653" s="102"/>
      <c r="M1653" s="102"/>
      <c r="N1653" s="102"/>
      <c r="O1653" s="102"/>
      <c r="P1653" s="102"/>
      <c r="Q1653" s="102"/>
      <c r="R1653" s="102"/>
    </row>
    <row r="1654" spans="1:18" ht="35.1" customHeight="1" x14ac:dyDescent="0.2">
      <c r="A1654" s="99"/>
      <c r="B1654" s="99"/>
      <c r="C1654" s="102"/>
      <c r="D1654" s="102"/>
      <c r="E1654" s="102"/>
      <c r="F1654" s="102"/>
      <c r="G1654" s="102"/>
      <c r="H1654" s="102"/>
      <c r="I1654" s="102"/>
      <c r="J1654" s="102"/>
      <c r="K1654" s="102"/>
      <c r="L1654" s="102"/>
      <c r="M1654" s="102"/>
      <c r="N1654" s="102"/>
      <c r="O1654" s="102"/>
      <c r="P1654" s="102"/>
      <c r="Q1654" s="102"/>
      <c r="R1654" s="102"/>
    </row>
    <row r="1655" spans="1:18" ht="35.1" customHeight="1" x14ac:dyDescent="0.2">
      <c r="A1655" s="99"/>
      <c r="B1655" s="99"/>
      <c r="C1655" s="102"/>
      <c r="D1655" s="102"/>
      <c r="E1655" s="102"/>
      <c r="F1655" s="102"/>
      <c r="G1655" s="102"/>
      <c r="H1655" s="102"/>
      <c r="I1655" s="102"/>
      <c r="J1655" s="102"/>
      <c r="K1655" s="102"/>
      <c r="L1655" s="102"/>
      <c r="M1655" s="102"/>
      <c r="N1655" s="102"/>
      <c r="O1655" s="102"/>
      <c r="P1655" s="102"/>
      <c r="Q1655" s="102"/>
      <c r="R1655" s="102"/>
    </row>
    <row r="1656" spans="1:18" ht="35.1" customHeight="1" x14ac:dyDescent="0.2">
      <c r="A1656" s="99"/>
      <c r="B1656" s="99"/>
      <c r="C1656" s="102"/>
      <c r="D1656" s="102"/>
      <c r="E1656" s="102"/>
      <c r="F1656" s="102"/>
      <c r="G1656" s="102"/>
      <c r="H1656" s="102"/>
      <c r="I1656" s="102"/>
      <c r="J1656" s="102"/>
      <c r="K1656" s="102"/>
      <c r="L1656" s="102"/>
      <c r="M1656" s="102"/>
      <c r="N1656" s="102"/>
      <c r="O1656" s="102"/>
      <c r="P1656" s="102"/>
      <c r="Q1656" s="102"/>
      <c r="R1656" s="102"/>
    </row>
    <row r="1657" spans="1:18" ht="35.1" customHeight="1" x14ac:dyDescent="0.2">
      <c r="A1657" s="99"/>
      <c r="B1657" s="99"/>
      <c r="C1657" s="102"/>
      <c r="D1657" s="102"/>
      <c r="E1657" s="102"/>
      <c r="F1657" s="102"/>
      <c r="G1657" s="102"/>
      <c r="H1657" s="102"/>
      <c r="I1657" s="102"/>
      <c r="J1657" s="102"/>
      <c r="K1657" s="102"/>
      <c r="L1657" s="102"/>
      <c r="M1657" s="102"/>
      <c r="N1657" s="102"/>
      <c r="O1657" s="102"/>
      <c r="P1657" s="102"/>
      <c r="Q1657" s="102"/>
      <c r="R1657" s="102"/>
    </row>
    <row r="1658" spans="1:18" ht="35.1" customHeight="1" x14ac:dyDescent="0.2">
      <c r="A1658" s="99"/>
      <c r="B1658" s="99"/>
      <c r="C1658" s="102"/>
      <c r="D1658" s="102"/>
      <c r="E1658" s="102"/>
      <c r="F1658" s="102"/>
      <c r="G1658" s="102"/>
      <c r="H1658" s="102"/>
      <c r="I1658" s="102"/>
      <c r="J1658" s="102"/>
      <c r="K1658" s="102"/>
      <c r="L1658" s="102"/>
      <c r="M1658" s="102"/>
      <c r="N1658" s="102"/>
      <c r="O1658" s="102"/>
      <c r="P1658" s="102"/>
      <c r="Q1658" s="102"/>
      <c r="R1658" s="102"/>
    </row>
    <row r="1659" spans="1:18" ht="35.1" customHeight="1" x14ac:dyDescent="0.2">
      <c r="A1659" s="99"/>
      <c r="B1659" s="99"/>
      <c r="C1659" s="102"/>
      <c r="D1659" s="102"/>
      <c r="E1659" s="102"/>
      <c r="F1659" s="102"/>
      <c r="G1659" s="102"/>
      <c r="H1659" s="102"/>
      <c r="I1659" s="102"/>
      <c r="J1659" s="102"/>
      <c r="K1659" s="102"/>
      <c r="L1659" s="102"/>
      <c r="M1659" s="102"/>
      <c r="N1659" s="102"/>
      <c r="O1659" s="102"/>
      <c r="P1659" s="102"/>
      <c r="Q1659" s="102"/>
      <c r="R1659" s="102"/>
    </row>
    <row r="1660" spans="1:18" ht="35.1" customHeight="1" x14ac:dyDescent="0.2">
      <c r="A1660" s="99"/>
      <c r="B1660" s="99"/>
      <c r="C1660" s="102"/>
      <c r="D1660" s="102"/>
      <c r="E1660" s="102"/>
      <c r="F1660" s="102"/>
      <c r="G1660" s="102"/>
      <c r="H1660" s="102"/>
      <c r="I1660" s="102"/>
      <c r="J1660" s="102"/>
      <c r="K1660" s="102"/>
      <c r="L1660" s="102"/>
      <c r="M1660" s="102"/>
      <c r="N1660" s="102"/>
      <c r="O1660" s="102"/>
      <c r="P1660" s="102"/>
      <c r="Q1660" s="102"/>
      <c r="R1660" s="102"/>
    </row>
    <row r="1661" spans="1:18" ht="35.1" customHeight="1" x14ac:dyDescent="0.2">
      <c r="A1661" s="99"/>
      <c r="B1661" s="99"/>
      <c r="C1661" s="102"/>
      <c r="D1661" s="102"/>
      <c r="E1661" s="102"/>
      <c r="F1661" s="102"/>
      <c r="G1661" s="102"/>
      <c r="H1661" s="102"/>
      <c r="I1661" s="102"/>
      <c r="J1661" s="102"/>
      <c r="K1661" s="102"/>
      <c r="L1661" s="102"/>
      <c r="M1661" s="102"/>
      <c r="N1661" s="102"/>
      <c r="O1661" s="102"/>
      <c r="P1661" s="102"/>
      <c r="Q1661" s="102"/>
      <c r="R1661" s="102"/>
    </row>
    <row r="1662" spans="1:18" ht="35.1" customHeight="1" x14ac:dyDescent="0.2">
      <c r="A1662" s="99"/>
      <c r="B1662" s="99"/>
      <c r="C1662" s="102"/>
      <c r="D1662" s="102"/>
      <c r="E1662" s="102"/>
      <c r="F1662" s="102"/>
      <c r="G1662" s="102"/>
      <c r="H1662" s="102"/>
      <c r="I1662" s="102"/>
      <c r="J1662" s="102"/>
      <c r="K1662" s="102"/>
      <c r="L1662" s="102"/>
      <c r="M1662" s="102"/>
      <c r="N1662" s="102"/>
      <c r="O1662" s="102"/>
      <c r="P1662" s="102"/>
      <c r="Q1662" s="102"/>
      <c r="R1662" s="102"/>
    </row>
    <row r="1663" spans="1:18" ht="35.1" customHeight="1" x14ac:dyDescent="0.2">
      <c r="A1663" s="99"/>
      <c r="B1663" s="99"/>
      <c r="C1663" s="102"/>
      <c r="D1663" s="102"/>
      <c r="E1663" s="102"/>
      <c r="F1663" s="102"/>
      <c r="G1663" s="102"/>
      <c r="H1663" s="102"/>
      <c r="I1663" s="102"/>
      <c r="J1663" s="102"/>
      <c r="K1663" s="102"/>
      <c r="L1663" s="102"/>
      <c r="M1663" s="102"/>
      <c r="N1663" s="102"/>
      <c r="O1663" s="102"/>
      <c r="P1663" s="102"/>
      <c r="Q1663" s="102"/>
      <c r="R1663" s="102"/>
    </row>
    <row r="1664" spans="1:18" ht="35.1" customHeight="1" x14ac:dyDescent="0.2">
      <c r="A1664" s="99"/>
      <c r="B1664" s="99"/>
      <c r="C1664" s="102"/>
      <c r="D1664" s="102"/>
      <c r="E1664" s="102"/>
      <c r="F1664" s="102"/>
      <c r="G1664" s="102"/>
      <c r="H1664" s="102"/>
      <c r="I1664" s="102"/>
      <c r="J1664" s="102"/>
      <c r="K1664" s="102"/>
      <c r="L1664" s="102"/>
      <c r="M1664" s="102"/>
      <c r="N1664" s="102"/>
      <c r="O1664" s="102"/>
      <c r="P1664" s="102"/>
      <c r="Q1664" s="102"/>
      <c r="R1664" s="102"/>
    </row>
    <row r="1665" spans="1:18" ht="35.1" customHeight="1" x14ac:dyDescent="0.2">
      <c r="A1665" s="99"/>
      <c r="B1665" s="99"/>
      <c r="C1665" s="102"/>
      <c r="D1665" s="102"/>
      <c r="E1665" s="102"/>
      <c r="F1665" s="102"/>
      <c r="G1665" s="102"/>
      <c r="H1665" s="102"/>
      <c r="I1665" s="102"/>
      <c r="J1665" s="102"/>
      <c r="K1665" s="102"/>
      <c r="L1665" s="102"/>
      <c r="M1665" s="102"/>
      <c r="N1665" s="102"/>
      <c r="O1665" s="102"/>
      <c r="P1665" s="102"/>
      <c r="Q1665" s="102"/>
      <c r="R1665" s="102"/>
    </row>
    <row r="1666" spans="1:18" ht="35.1" customHeight="1" x14ac:dyDescent="0.2">
      <c r="A1666" s="99"/>
      <c r="B1666" s="99"/>
      <c r="C1666" s="102"/>
      <c r="D1666" s="102"/>
      <c r="E1666" s="102"/>
      <c r="F1666" s="102"/>
      <c r="G1666" s="102"/>
      <c r="H1666" s="102"/>
      <c r="I1666" s="102"/>
      <c r="J1666" s="102"/>
      <c r="K1666" s="102"/>
      <c r="L1666" s="102"/>
      <c r="M1666" s="102"/>
      <c r="N1666" s="102"/>
      <c r="O1666" s="102"/>
      <c r="P1666" s="102"/>
      <c r="Q1666" s="102"/>
      <c r="R1666" s="102"/>
    </row>
    <row r="1667" spans="1:18" ht="35.1" customHeight="1" x14ac:dyDescent="0.2">
      <c r="A1667" s="99"/>
      <c r="B1667" s="99"/>
      <c r="C1667" s="102"/>
      <c r="D1667" s="102"/>
      <c r="E1667" s="102"/>
      <c r="F1667" s="102"/>
      <c r="G1667" s="102"/>
      <c r="H1667" s="102"/>
      <c r="I1667" s="102"/>
      <c r="J1667" s="102"/>
      <c r="K1667" s="102"/>
      <c r="L1667" s="102"/>
      <c r="M1667" s="102"/>
      <c r="N1667" s="102"/>
      <c r="O1667" s="102"/>
      <c r="P1667" s="102"/>
      <c r="Q1667" s="102"/>
      <c r="R1667" s="102"/>
    </row>
    <row r="1668" spans="1:18" ht="35.1" customHeight="1" x14ac:dyDescent="0.2">
      <c r="A1668" s="99"/>
      <c r="B1668" s="99"/>
      <c r="C1668" s="102"/>
      <c r="D1668" s="102"/>
      <c r="E1668" s="102"/>
      <c r="F1668" s="102"/>
      <c r="G1668" s="102"/>
      <c r="H1668" s="102"/>
      <c r="I1668" s="102"/>
      <c r="J1668" s="102"/>
      <c r="K1668" s="102"/>
      <c r="L1668" s="102"/>
      <c r="M1668" s="102"/>
      <c r="N1668" s="102"/>
      <c r="O1668" s="102"/>
      <c r="P1668" s="102"/>
      <c r="Q1668" s="102"/>
      <c r="R1668" s="102"/>
    </row>
    <row r="1669" spans="1:18" ht="35.1" customHeight="1" x14ac:dyDescent="0.2">
      <c r="A1669" s="99"/>
      <c r="B1669" s="99"/>
      <c r="C1669" s="102"/>
      <c r="D1669" s="102"/>
      <c r="E1669" s="102"/>
      <c r="F1669" s="102"/>
      <c r="G1669" s="102"/>
      <c r="H1669" s="102"/>
      <c r="I1669" s="102"/>
      <c r="J1669" s="102"/>
      <c r="K1669" s="102"/>
      <c r="L1669" s="102"/>
      <c r="M1669" s="102"/>
      <c r="N1669" s="102"/>
      <c r="O1669" s="102"/>
      <c r="P1669" s="102"/>
      <c r="Q1669" s="102"/>
      <c r="R1669" s="102"/>
    </row>
    <row r="1670" spans="1:18" ht="35.1" customHeight="1" x14ac:dyDescent="0.2">
      <c r="A1670" s="99"/>
      <c r="B1670" s="99"/>
      <c r="C1670" s="102"/>
      <c r="D1670" s="102"/>
      <c r="E1670" s="102"/>
      <c r="F1670" s="102"/>
      <c r="G1670" s="102"/>
      <c r="H1670" s="102"/>
      <c r="I1670" s="102"/>
      <c r="J1670" s="102"/>
      <c r="K1670" s="102"/>
      <c r="L1670" s="102"/>
      <c r="M1670" s="102"/>
      <c r="N1670" s="102"/>
      <c r="O1670" s="102"/>
      <c r="P1670" s="102"/>
      <c r="Q1670" s="102"/>
      <c r="R1670" s="102"/>
    </row>
    <row r="1671" spans="1:18" ht="35.1" customHeight="1" x14ac:dyDescent="0.2">
      <c r="A1671" s="99"/>
      <c r="B1671" s="99"/>
      <c r="C1671" s="102"/>
      <c r="D1671" s="102"/>
      <c r="E1671" s="102"/>
      <c r="F1671" s="102"/>
      <c r="G1671" s="102"/>
      <c r="H1671" s="102"/>
      <c r="I1671" s="102"/>
      <c r="J1671" s="102"/>
      <c r="K1671" s="102"/>
      <c r="L1671" s="102"/>
      <c r="M1671" s="102"/>
      <c r="N1671" s="102"/>
      <c r="O1671" s="102"/>
      <c r="P1671" s="102"/>
      <c r="Q1671" s="102"/>
      <c r="R1671" s="102"/>
    </row>
    <row r="1672" spans="1:18" ht="35.1" customHeight="1" x14ac:dyDescent="0.2">
      <c r="A1672" s="99"/>
      <c r="B1672" s="99"/>
      <c r="C1672" s="102"/>
      <c r="D1672" s="102"/>
      <c r="E1672" s="102"/>
      <c r="F1672" s="102"/>
      <c r="G1672" s="102"/>
      <c r="H1672" s="102"/>
      <c r="I1672" s="102"/>
      <c r="J1672" s="102"/>
      <c r="K1672" s="102"/>
      <c r="L1672" s="102"/>
      <c r="M1672" s="102"/>
      <c r="N1672" s="102"/>
      <c r="O1672" s="102"/>
      <c r="P1672" s="102"/>
      <c r="Q1672" s="102"/>
      <c r="R1672" s="102"/>
    </row>
    <row r="1673" spans="1:18" ht="35.1" customHeight="1" x14ac:dyDescent="0.2">
      <c r="A1673" s="99"/>
      <c r="B1673" s="99"/>
      <c r="C1673" s="102"/>
      <c r="D1673" s="102"/>
      <c r="E1673" s="102"/>
      <c r="F1673" s="102"/>
      <c r="G1673" s="102"/>
      <c r="H1673" s="102"/>
      <c r="I1673" s="102"/>
      <c r="J1673" s="102"/>
      <c r="K1673" s="102"/>
      <c r="L1673" s="102"/>
      <c r="M1673" s="102"/>
      <c r="N1673" s="102"/>
      <c r="O1673" s="102"/>
      <c r="P1673" s="102"/>
      <c r="Q1673" s="102"/>
      <c r="R1673" s="102"/>
    </row>
    <row r="1674" spans="1:18" ht="35.1" customHeight="1" x14ac:dyDescent="0.2">
      <c r="A1674" s="99"/>
      <c r="B1674" s="99"/>
      <c r="C1674" s="102"/>
      <c r="D1674" s="102"/>
      <c r="E1674" s="102"/>
      <c r="F1674" s="102"/>
      <c r="G1674" s="102"/>
      <c r="H1674" s="102"/>
      <c r="I1674" s="102"/>
      <c r="J1674" s="102"/>
      <c r="K1674" s="102"/>
      <c r="L1674" s="102"/>
      <c r="M1674" s="102"/>
      <c r="N1674" s="102"/>
      <c r="O1674" s="102"/>
      <c r="P1674" s="102"/>
      <c r="Q1674" s="102"/>
      <c r="R1674" s="102"/>
    </row>
    <row r="1675" spans="1:18" ht="35.1" customHeight="1" x14ac:dyDescent="0.2">
      <c r="A1675" s="99"/>
      <c r="B1675" s="99"/>
      <c r="C1675" s="102"/>
      <c r="D1675" s="102"/>
      <c r="E1675" s="102"/>
      <c r="F1675" s="102"/>
      <c r="G1675" s="102"/>
      <c r="H1675" s="102"/>
      <c r="I1675" s="102"/>
      <c r="J1675" s="102"/>
      <c r="K1675" s="102"/>
      <c r="L1675" s="102"/>
      <c r="M1675" s="102"/>
      <c r="N1675" s="102"/>
      <c r="O1675" s="102"/>
      <c r="P1675" s="102"/>
      <c r="Q1675" s="102"/>
      <c r="R1675" s="102"/>
    </row>
    <row r="1676" spans="1:18" ht="35.1" customHeight="1" x14ac:dyDescent="0.2">
      <c r="A1676" s="99"/>
      <c r="B1676" s="99"/>
      <c r="C1676" s="102"/>
      <c r="D1676" s="102"/>
      <c r="E1676" s="102"/>
      <c r="F1676" s="102"/>
      <c r="G1676" s="102"/>
      <c r="H1676" s="102"/>
      <c r="I1676" s="102"/>
      <c r="J1676" s="102"/>
      <c r="K1676" s="102"/>
      <c r="L1676" s="102"/>
      <c r="M1676" s="102"/>
      <c r="N1676" s="102"/>
      <c r="O1676" s="102"/>
      <c r="P1676" s="102"/>
      <c r="Q1676" s="102"/>
      <c r="R1676" s="102"/>
    </row>
    <row r="1677" spans="1:18" ht="35.1" customHeight="1" x14ac:dyDescent="0.2">
      <c r="A1677" s="99"/>
      <c r="B1677" s="99"/>
      <c r="C1677" s="102"/>
      <c r="D1677" s="102"/>
      <c r="E1677" s="102"/>
      <c r="F1677" s="102"/>
      <c r="G1677" s="102"/>
      <c r="H1677" s="102"/>
      <c r="I1677" s="102"/>
      <c r="J1677" s="102"/>
      <c r="K1677" s="102"/>
      <c r="L1677" s="102"/>
      <c r="M1677" s="102"/>
      <c r="N1677" s="102"/>
      <c r="O1677" s="102"/>
      <c r="P1677" s="102"/>
      <c r="Q1677" s="102"/>
      <c r="R1677" s="102"/>
    </row>
    <row r="1678" spans="1:18" ht="35.1" customHeight="1" x14ac:dyDescent="0.2">
      <c r="A1678" s="99"/>
      <c r="B1678" s="99"/>
      <c r="C1678" s="102"/>
      <c r="D1678" s="102"/>
      <c r="E1678" s="102"/>
      <c r="F1678" s="102"/>
      <c r="G1678" s="102"/>
      <c r="H1678" s="102"/>
      <c r="I1678" s="102"/>
      <c r="J1678" s="102"/>
      <c r="K1678" s="102"/>
      <c r="L1678" s="102"/>
      <c r="M1678" s="102"/>
      <c r="N1678" s="102"/>
      <c r="O1678" s="102"/>
      <c r="P1678" s="102"/>
      <c r="Q1678" s="102"/>
      <c r="R1678" s="102"/>
    </row>
    <row r="1679" spans="1:18" ht="35.1" customHeight="1" x14ac:dyDescent="0.2">
      <c r="A1679" s="99"/>
      <c r="B1679" s="99"/>
      <c r="C1679" s="102"/>
      <c r="D1679" s="102"/>
      <c r="E1679" s="102"/>
      <c r="F1679" s="102"/>
      <c r="G1679" s="102"/>
      <c r="H1679" s="102"/>
      <c r="I1679" s="102"/>
      <c r="J1679" s="102"/>
      <c r="K1679" s="102"/>
      <c r="L1679" s="102"/>
      <c r="M1679" s="102"/>
      <c r="N1679" s="102"/>
      <c r="O1679" s="102"/>
      <c r="P1679" s="102"/>
      <c r="Q1679" s="102"/>
      <c r="R1679" s="102"/>
    </row>
    <row r="1680" spans="1:18" ht="35.1" customHeight="1" x14ac:dyDescent="0.2">
      <c r="A1680" s="99"/>
      <c r="B1680" s="99"/>
      <c r="C1680" s="102"/>
      <c r="D1680" s="102"/>
      <c r="E1680" s="102"/>
      <c r="F1680" s="102"/>
      <c r="G1680" s="102"/>
      <c r="H1680" s="102"/>
      <c r="I1680" s="102"/>
      <c r="J1680" s="102"/>
      <c r="K1680" s="102"/>
      <c r="L1680" s="102"/>
      <c r="M1680" s="102"/>
      <c r="N1680" s="102"/>
      <c r="O1680" s="102"/>
      <c r="P1680" s="102"/>
      <c r="Q1680" s="102"/>
      <c r="R1680" s="102"/>
    </row>
    <row r="1681" spans="1:18" ht="35.1" customHeight="1" x14ac:dyDescent="0.2">
      <c r="A1681" s="99"/>
      <c r="B1681" s="99"/>
      <c r="C1681" s="102"/>
      <c r="D1681" s="102"/>
      <c r="E1681" s="102"/>
      <c r="F1681" s="102"/>
      <c r="G1681" s="102"/>
      <c r="H1681" s="102"/>
      <c r="I1681" s="102"/>
      <c r="J1681" s="102"/>
      <c r="K1681" s="102"/>
      <c r="L1681" s="102"/>
      <c r="M1681" s="102"/>
      <c r="N1681" s="102"/>
      <c r="O1681" s="102"/>
      <c r="P1681" s="102"/>
      <c r="Q1681" s="102"/>
      <c r="R1681" s="102"/>
    </row>
    <row r="1682" spans="1:18" ht="35.1" customHeight="1" x14ac:dyDescent="0.2">
      <c r="A1682" s="99"/>
      <c r="B1682" s="99"/>
      <c r="C1682" s="102"/>
      <c r="D1682" s="102"/>
      <c r="E1682" s="102"/>
      <c r="F1682" s="102"/>
      <c r="G1682" s="102"/>
      <c r="H1682" s="102"/>
      <c r="I1682" s="102"/>
      <c r="J1682" s="102"/>
      <c r="K1682" s="102"/>
      <c r="L1682" s="102"/>
      <c r="M1682" s="102"/>
      <c r="N1682" s="102"/>
      <c r="O1682" s="102"/>
      <c r="P1682" s="102"/>
      <c r="Q1682" s="102"/>
      <c r="R1682" s="102"/>
    </row>
    <row r="1683" spans="1:18" ht="35.1" customHeight="1" x14ac:dyDescent="0.2">
      <c r="A1683" s="99"/>
      <c r="B1683" s="99"/>
      <c r="C1683" s="102"/>
      <c r="D1683" s="102"/>
      <c r="E1683" s="102"/>
      <c r="F1683" s="102"/>
      <c r="G1683" s="102"/>
      <c r="H1683" s="102"/>
      <c r="I1683" s="102"/>
      <c r="J1683" s="102"/>
      <c r="K1683" s="102"/>
      <c r="L1683" s="102"/>
      <c r="M1683" s="102"/>
      <c r="N1683" s="102"/>
      <c r="O1683" s="102"/>
      <c r="P1683" s="102"/>
      <c r="Q1683" s="102"/>
      <c r="R1683" s="102"/>
    </row>
    <row r="1684" spans="1:18" ht="35.1" customHeight="1" x14ac:dyDescent="0.2">
      <c r="A1684" s="99"/>
      <c r="B1684" s="99"/>
      <c r="C1684" s="102"/>
      <c r="D1684" s="102"/>
      <c r="E1684" s="102"/>
      <c r="F1684" s="102"/>
      <c r="G1684" s="102"/>
      <c r="H1684" s="102"/>
      <c r="I1684" s="102"/>
      <c r="J1684" s="102"/>
      <c r="K1684" s="102"/>
      <c r="L1684" s="102"/>
      <c r="M1684" s="102"/>
      <c r="N1684" s="102"/>
      <c r="O1684" s="102"/>
      <c r="P1684" s="102"/>
      <c r="Q1684" s="102"/>
      <c r="R1684" s="102"/>
    </row>
    <row r="1685" spans="1:18" ht="35.1" customHeight="1" x14ac:dyDescent="0.2">
      <c r="A1685" s="99"/>
      <c r="B1685" s="99"/>
      <c r="C1685" s="102"/>
      <c r="D1685" s="102"/>
      <c r="E1685" s="102"/>
      <c r="F1685" s="102"/>
      <c r="G1685" s="102"/>
      <c r="H1685" s="102"/>
      <c r="I1685" s="102"/>
      <c r="J1685" s="102"/>
      <c r="K1685" s="102"/>
      <c r="L1685" s="102"/>
      <c r="M1685" s="102"/>
      <c r="N1685" s="102"/>
      <c r="O1685" s="102"/>
      <c r="P1685" s="102"/>
      <c r="Q1685" s="102"/>
      <c r="R1685" s="102"/>
    </row>
    <row r="1686" spans="1:18" ht="35.1" customHeight="1" x14ac:dyDescent="0.2">
      <c r="A1686" s="99"/>
      <c r="B1686" s="99"/>
      <c r="C1686" s="102"/>
      <c r="D1686" s="102"/>
      <c r="E1686" s="102"/>
      <c r="F1686" s="102"/>
      <c r="G1686" s="102"/>
      <c r="H1686" s="102"/>
      <c r="I1686" s="102"/>
      <c r="J1686" s="102"/>
      <c r="K1686" s="102"/>
      <c r="L1686" s="102"/>
      <c r="M1686" s="102"/>
      <c r="N1686" s="102"/>
      <c r="O1686" s="102"/>
      <c r="P1686" s="102"/>
      <c r="Q1686" s="102"/>
      <c r="R1686" s="102"/>
    </row>
    <row r="1687" spans="1:18" ht="35.1" customHeight="1" x14ac:dyDescent="0.2">
      <c r="A1687" s="99"/>
      <c r="B1687" s="99"/>
      <c r="C1687" s="102"/>
      <c r="D1687" s="102"/>
      <c r="E1687" s="102"/>
      <c r="F1687" s="102"/>
      <c r="G1687" s="102"/>
      <c r="H1687" s="102"/>
      <c r="I1687" s="102"/>
      <c r="J1687" s="102"/>
      <c r="K1687" s="102"/>
      <c r="L1687" s="102"/>
      <c r="M1687" s="102"/>
      <c r="N1687" s="102"/>
      <c r="O1687" s="102"/>
      <c r="P1687" s="102"/>
      <c r="Q1687" s="102"/>
      <c r="R1687" s="102"/>
    </row>
    <row r="1688" spans="1:18" ht="35.1" customHeight="1" x14ac:dyDescent="0.2">
      <c r="A1688" s="99"/>
      <c r="B1688" s="99"/>
      <c r="C1688" s="102"/>
      <c r="D1688" s="102"/>
      <c r="E1688" s="102"/>
      <c r="F1688" s="102"/>
      <c r="G1688" s="102"/>
      <c r="H1688" s="102"/>
      <c r="I1688" s="102"/>
      <c r="J1688" s="102"/>
      <c r="K1688" s="102"/>
      <c r="L1688" s="102"/>
      <c r="M1688" s="102"/>
      <c r="N1688" s="102"/>
      <c r="O1688" s="102"/>
      <c r="P1688" s="102"/>
      <c r="Q1688" s="102"/>
      <c r="R1688" s="102"/>
    </row>
    <row r="1689" spans="1:18" ht="35.1" customHeight="1" x14ac:dyDescent="0.2">
      <c r="A1689" s="99"/>
      <c r="B1689" s="99"/>
      <c r="C1689" s="102"/>
      <c r="D1689" s="102"/>
      <c r="E1689" s="102"/>
      <c r="F1689" s="102"/>
      <c r="G1689" s="102"/>
      <c r="H1689" s="102"/>
      <c r="I1689" s="102"/>
      <c r="J1689" s="102"/>
      <c r="K1689" s="102"/>
      <c r="L1689" s="102"/>
      <c r="M1689" s="102"/>
      <c r="N1689" s="102"/>
      <c r="O1689" s="102"/>
      <c r="P1689" s="102"/>
      <c r="Q1689" s="102"/>
      <c r="R1689" s="102"/>
    </row>
    <row r="1690" spans="1:18" ht="35.1" customHeight="1" x14ac:dyDescent="0.2">
      <c r="A1690" s="99"/>
      <c r="B1690" s="99"/>
      <c r="C1690" s="102"/>
      <c r="D1690" s="102"/>
      <c r="E1690" s="102"/>
      <c r="F1690" s="102"/>
      <c r="G1690" s="102"/>
      <c r="H1690" s="102"/>
      <c r="I1690" s="102"/>
      <c r="J1690" s="102"/>
      <c r="K1690" s="102"/>
      <c r="L1690" s="102"/>
      <c r="M1690" s="102"/>
      <c r="N1690" s="102"/>
      <c r="O1690" s="102"/>
      <c r="P1690" s="102"/>
      <c r="Q1690" s="102"/>
      <c r="R1690" s="102"/>
    </row>
    <row r="1691" spans="1:18" ht="35.1" customHeight="1" x14ac:dyDescent="0.2">
      <c r="A1691" s="99"/>
      <c r="B1691" s="99"/>
      <c r="C1691" s="102"/>
      <c r="D1691" s="102"/>
      <c r="E1691" s="102"/>
      <c r="F1691" s="102"/>
      <c r="G1691" s="102"/>
      <c r="H1691" s="102"/>
      <c r="I1691" s="102"/>
      <c r="J1691" s="102"/>
      <c r="K1691" s="102"/>
      <c r="L1691" s="102"/>
      <c r="M1691" s="102"/>
      <c r="N1691" s="102"/>
      <c r="O1691" s="102"/>
      <c r="P1691" s="102"/>
      <c r="Q1691" s="102"/>
      <c r="R1691" s="102"/>
    </row>
    <row r="1692" spans="1:18" ht="35.1" customHeight="1" x14ac:dyDescent="0.2">
      <c r="A1692" s="99"/>
      <c r="B1692" s="99"/>
      <c r="C1692" s="102"/>
      <c r="D1692" s="102"/>
      <c r="E1692" s="102"/>
      <c r="F1692" s="102"/>
      <c r="G1692" s="102"/>
      <c r="H1692" s="102"/>
      <c r="I1692" s="102"/>
      <c r="J1692" s="102"/>
      <c r="K1692" s="102"/>
      <c r="L1692" s="102"/>
      <c r="M1692" s="102"/>
      <c r="N1692" s="102"/>
      <c r="O1692" s="102"/>
      <c r="P1692" s="102"/>
      <c r="Q1692" s="102"/>
      <c r="R1692" s="102"/>
    </row>
    <row r="1693" spans="1:18" ht="35.1" customHeight="1" x14ac:dyDescent="0.2">
      <c r="A1693" s="99"/>
      <c r="B1693" s="99"/>
      <c r="C1693" s="102"/>
      <c r="D1693" s="102"/>
      <c r="E1693" s="102"/>
      <c r="F1693" s="102"/>
      <c r="G1693" s="102"/>
      <c r="H1693" s="102"/>
      <c r="I1693" s="102"/>
      <c r="J1693" s="102"/>
      <c r="K1693" s="102"/>
      <c r="L1693" s="102"/>
      <c r="M1693" s="102"/>
      <c r="N1693" s="102"/>
      <c r="O1693" s="102"/>
      <c r="P1693" s="102"/>
      <c r="Q1693" s="102"/>
      <c r="R1693" s="102"/>
    </row>
    <row r="1694" spans="1:18" ht="35.1" customHeight="1" x14ac:dyDescent="0.2">
      <c r="A1694" s="99"/>
      <c r="B1694" s="99"/>
      <c r="C1694" s="102"/>
      <c r="D1694" s="102"/>
      <c r="E1694" s="102"/>
      <c r="F1694" s="102"/>
      <c r="G1694" s="102"/>
      <c r="H1694" s="102"/>
      <c r="I1694" s="102"/>
      <c r="J1694" s="102"/>
      <c r="K1694" s="102"/>
      <c r="L1694" s="102"/>
      <c r="M1694" s="102"/>
      <c r="N1694" s="102"/>
      <c r="O1694" s="102"/>
      <c r="P1694" s="102"/>
      <c r="Q1694" s="102"/>
      <c r="R1694" s="102"/>
    </row>
    <row r="1695" spans="1:18" ht="35.1" customHeight="1" x14ac:dyDescent="0.2">
      <c r="A1695" s="99"/>
      <c r="B1695" s="99"/>
      <c r="C1695" s="102"/>
      <c r="D1695" s="102"/>
      <c r="E1695" s="102"/>
      <c r="F1695" s="102"/>
      <c r="G1695" s="102"/>
      <c r="H1695" s="102"/>
      <c r="I1695" s="102"/>
      <c r="J1695" s="102"/>
      <c r="K1695" s="102"/>
      <c r="L1695" s="102"/>
      <c r="M1695" s="102"/>
      <c r="N1695" s="102"/>
      <c r="O1695" s="102"/>
      <c r="P1695" s="102"/>
      <c r="Q1695" s="102"/>
      <c r="R1695" s="102"/>
    </row>
    <row r="1696" spans="1:18" ht="35.1" customHeight="1" x14ac:dyDescent="0.2">
      <c r="A1696" s="99"/>
      <c r="B1696" s="99"/>
      <c r="C1696" s="102"/>
      <c r="D1696" s="102"/>
      <c r="E1696" s="102"/>
      <c r="F1696" s="102"/>
      <c r="G1696" s="102"/>
      <c r="H1696" s="102"/>
      <c r="I1696" s="102"/>
      <c r="J1696" s="102"/>
      <c r="K1696" s="102"/>
      <c r="L1696" s="102"/>
      <c r="M1696" s="102"/>
      <c r="N1696" s="102"/>
      <c r="O1696" s="102"/>
      <c r="P1696" s="102"/>
      <c r="Q1696" s="102"/>
      <c r="R1696" s="102"/>
    </row>
    <row r="1697" spans="1:18" ht="35.1" customHeight="1" x14ac:dyDescent="0.2">
      <c r="A1697" s="99"/>
      <c r="B1697" s="99"/>
      <c r="C1697" s="102"/>
      <c r="D1697" s="102"/>
      <c r="E1697" s="102"/>
      <c r="F1697" s="102"/>
      <c r="G1697" s="102"/>
      <c r="H1697" s="102"/>
      <c r="I1697" s="102"/>
      <c r="J1697" s="102"/>
      <c r="K1697" s="102"/>
      <c r="L1697" s="102"/>
      <c r="M1697" s="102"/>
      <c r="N1697" s="102"/>
      <c r="O1697" s="102"/>
      <c r="P1697" s="102"/>
      <c r="Q1697" s="102"/>
      <c r="R1697" s="102"/>
    </row>
    <row r="1698" spans="1:18" ht="35.1" customHeight="1" x14ac:dyDescent="0.2">
      <c r="A1698" s="99"/>
      <c r="B1698" s="99"/>
      <c r="C1698" s="102"/>
      <c r="D1698" s="102"/>
      <c r="E1698" s="102"/>
      <c r="F1698" s="102"/>
      <c r="G1698" s="102"/>
      <c r="H1698" s="102"/>
      <c r="I1698" s="102"/>
      <c r="J1698" s="102"/>
      <c r="K1698" s="102"/>
      <c r="L1698" s="102"/>
      <c r="M1698" s="102"/>
      <c r="N1698" s="102"/>
      <c r="O1698" s="102"/>
      <c r="P1698" s="102"/>
      <c r="Q1698" s="102"/>
      <c r="R1698" s="102"/>
    </row>
    <row r="1699" spans="1:18" ht="35.1" customHeight="1" x14ac:dyDescent="0.2">
      <c r="A1699" s="99"/>
      <c r="B1699" s="99"/>
      <c r="C1699" s="102"/>
      <c r="D1699" s="102"/>
      <c r="E1699" s="102"/>
      <c r="F1699" s="102"/>
      <c r="G1699" s="102"/>
      <c r="H1699" s="102"/>
      <c r="I1699" s="102"/>
      <c r="J1699" s="102"/>
      <c r="K1699" s="102"/>
      <c r="L1699" s="102"/>
      <c r="M1699" s="102"/>
      <c r="N1699" s="102"/>
      <c r="O1699" s="102"/>
      <c r="P1699" s="102"/>
      <c r="Q1699" s="102"/>
      <c r="R1699" s="102"/>
    </row>
    <row r="1700" spans="1:18" ht="35.1" customHeight="1" x14ac:dyDescent="0.2">
      <c r="A1700" s="99"/>
      <c r="B1700" s="99"/>
      <c r="C1700" s="102"/>
      <c r="D1700" s="102"/>
      <c r="E1700" s="102"/>
      <c r="F1700" s="102"/>
      <c r="G1700" s="102"/>
      <c r="H1700" s="102"/>
      <c r="I1700" s="102"/>
      <c r="J1700" s="102"/>
      <c r="K1700" s="102"/>
      <c r="L1700" s="102"/>
      <c r="M1700" s="102"/>
      <c r="N1700" s="102"/>
      <c r="O1700" s="102"/>
      <c r="P1700" s="102"/>
      <c r="Q1700" s="102"/>
      <c r="R1700" s="102"/>
    </row>
    <row r="1701" spans="1:18" ht="35.1" customHeight="1" x14ac:dyDescent="0.2">
      <c r="A1701" s="99"/>
      <c r="B1701" s="99"/>
      <c r="C1701" s="102"/>
      <c r="D1701" s="102"/>
      <c r="E1701" s="102"/>
      <c r="F1701" s="102"/>
      <c r="G1701" s="102"/>
      <c r="H1701" s="102"/>
      <c r="I1701" s="102"/>
      <c r="J1701" s="102"/>
      <c r="K1701" s="102"/>
      <c r="L1701" s="102"/>
      <c r="M1701" s="102"/>
      <c r="N1701" s="102"/>
      <c r="O1701" s="102"/>
      <c r="P1701" s="102"/>
      <c r="Q1701" s="102"/>
      <c r="R1701" s="102"/>
    </row>
    <row r="1702" spans="1:18" ht="35.1" customHeight="1" x14ac:dyDescent="0.2">
      <c r="A1702" s="99"/>
      <c r="B1702" s="99"/>
      <c r="C1702" s="102"/>
      <c r="D1702" s="102"/>
      <c r="E1702" s="102"/>
      <c r="F1702" s="102"/>
      <c r="G1702" s="102"/>
      <c r="H1702" s="102"/>
      <c r="I1702" s="102"/>
      <c r="J1702" s="102"/>
      <c r="K1702" s="102"/>
      <c r="L1702" s="102"/>
      <c r="M1702" s="102"/>
      <c r="N1702" s="102"/>
      <c r="O1702" s="102"/>
      <c r="P1702" s="102"/>
      <c r="Q1702" s="102"/>
      <c r="R1702" s="102"/>
    </row>
    <row r="1703" spans="1:18" ht="35.1" customHeight="1" x14ac:dyDescent="0.2">
      <c r="A1703" s="99"/>
      <c r="B1703" s="99"/>
      <c r="C1703" s="102"/>
      <c r="D1703" s="102"/>
      <c r="E1703" s="102"/>
      <c r="F1703" s="102"/>
      <c r="G1703" s="102"/>
      <c r="H1703" s="102"/>
      <c r="I1703" s="102"/>
      <c r="J1703" s="102"/>
      <c r="K1703" s="102"/>
      <c r="L1703" s="102"/>
      <c r="M1703" s="102"/>
      <c r="N1703" s="102"/>
      <c r="O1703" s="102"/>
      <c r="P1703" s="102"/>
      <c r="Q1703" s="102"/>
      <c r="R1703" s="102"/>
    </row>
    <row r="1704" spans="1:18" ht="35.1" customHeight="1" x14ac:dyDescent="0.2">
      <c r="A1704" s="99"/>
      <c r="B1704" s="99"/>
      <c r="C1704" s="102"/>
      <c r="D1704" s="102"/>
      <c r="E1704" s="102"/>
      <c r="F1704" s="102"/>
      <c r="G1704" s="102"/>
      <c r="H1704" s="102"/>
      <c r="I1704" s="102"/>
      <c r="J1704" s="102"/>
      <c r="K1704" s="102"/>
      <c r="L1704" s="102"/>
      <c r="M1704" s="102"/>
      <c r="N1704" s="102"/>
      <c r="O1704" s="102"/>
      <c r="P1704" s="102"/>
      <c r="Q1704" s="102"/>
      <c r="R1704" s="102"/>
    </row>
    <row r="1705" spans="1:18" ht="35.1" customHeight="1" x14ac:dyDescent="0.2">
      <c r="A1705" s="99"/>
      <c r="B1705" s="99"/>
      <c r="C1705" s="102"/>
      <c r="D1705" s="102"/>
      <c r="E1705" s="102"/>
      <c r="F1705" s="102"/>
      <c r="G1705" s="102"/>
      <c r="H1705" s="102"/>
      <c r="I1705" s="102"/>
      <c r="J1705" s="102"/>
      <c r="K1705" s="102"/>
      <c r="L1705" s="102"/>
      <c r="M1705" s="102"/>
      <c r="N1705" s="102"/>
      <c r="O1705" s="102"/>
      <c r="P1705" s="102"/>
      <c r="Q1705" s="102"/>
      <c r="R1705" s="102"/>
    </row>
    <row r="1706" spans="1:18" ht="35.1" customHeight="1" x14ac:dyDescent="0.2">
      <c r="A1706" s="99"/>
      <c r="B1706" s="99"/>
      <c r="C1706" s="102"/>
      <c r="D1706" s="102"/>
      <c r="E1706" s="102"/>
      <c r="F1706" s="102"/>
      <c r="G1706" s="102"/>
      <c r="H1706" s="102"/>
      <c r="I1706" s="102"/>
      <c r="J1706" s="102"/>
      <c r="K1706" s="102"/>
      <c r="L1706" s="102"/>
      <c r="M1706" s="102"/>
      <c r="N1706" s="102"/>
      <c r="O1706" s="102"/>
      <c r="P1706" s="102"/>
      <c r="Q1706" s="102"/>
      <c r="R1706" s="102"/>
    </row>
    <row r="1707" spans="1:18" ht="35.1" customHeight="1" x14ac:dyDescent="0.2">
      <c r="A1707" s="99"/>
      <c r="B1707" s="99"/>
      <c r="C1707" s="102"/>
      <c r="D1707" s="102"/>
      <c r="E1707" s="102"/>
      <c r="F1707" s="102"/>
      <c r="G1707" s="102"/>
      <c r="H1707" s="102"/>
      <c r="I1707" s="102"/>
      <c r="J1707" s="102"/>
      <c r="K1707" s="102"/>
      <c r="L1707" s="102"/>
      <c r="M1707" s="102"/>
      <c r="N1707" s="102"/>
      <c r="O1707" s="102"/>
      <c r="P1707" s="102"/>
      <c r="Q1707" s="102"/>
      <c r="R1707" s="102"/>
    </row>
    <row r="1708" spans="1:18" ht="35.1" customHeight="1" x14ac:dyDescent="0.2">
      <c r="A1708" s="99"/>
      <c r="B1708" s="99"/>
      <c r="C1708" s="102"/>
      <c r="D1708" s="102"/>
      <c r="E1708" s="102"/>
      <c r="F1708" s="102"/>
      <c r="G1708" s="102"/>
      <c r="H1708" s="102"/>
      <c r="I1708" s="102"/>
      <c r="J1708" s="102"/>
      <c r="K1708" s="102"/>
      <c r="L1708" s="102"/>
      <c r="M1708" s="102"/>
      <c r="N1708" s="102"/>
      <c r="O1708" s="102"/>
      <c r="P1708" s="102"/>
      <c r="Q1708" s="102"/>
      <c r="R1708" s="102"/>
    </row>
    <row r="1709" spans="1:18" ht="35.1" customHeight="1" x14ac:dyDescent="0.2">
      <c r="A1709" s="99"/>
      <c r="B1709" s="99"/>
      <c r="C1709" s="102"/>
      <c r="D1709" s="102"/>
      <c r="E1709" s="102"/>
      <c r="F1709" s="102"/>
      <c r="G1709" s="102"/>
      <c r="H1709" s="102"/>
      <c r="I1709" s="102"/>
      <c r="J1709" s="102"/>
      <c r="K1709" s="102"/>
      <c r="L1709" s="102"/>
      <c r="M1709" s="102"/>
      <c r="N1709" s="102"/>
      <c r="O1709" s="102"/>
      <c r="P1709" s="102"/>
      <c r="Q1709" s="102"/>
      <c r="R1709" s="102"/>
    </row>
    <row r="1710" spans="1:18" ht="35.1" customHeight="1" x14ac:dyDescent="0.2">
      <c r="A1710" s="99"/>
      <c r="B1710" s="99"/>
      <c r="C1710" s="102"/>
      <c r="D1710" s="102"/>
      <c r="E1710" s="102"/>
      <c r="F1710" s="102"/>
      <c r="G1710" s="102"/>
      <c r="H1710" s="102"/>
      <c r="I1710" s="102"/>
      <c r="J1710" s="102"/>
      <c r="K1710" s="102"/>
      <c r="L1710" s="102"/>
      <c r="M1710" s="102"/>
      <c r="N1710" s="102"/>
      <c r="O1710" s="102"/>
      <c r="P1710" s="102"/>
      <c r="Q1710" s="102"/>
      <c r="R1710" s="102"/>
    </row>
    <row r="1711" spans="1:18" ht="35.1" customHeight="1" x14ac:dyDescent="0.2">
      <c r="A1711" s="99"/>
      <c r="B1711" s="99"/>
      <c r="C1711" s="102"/>
      <c r="D1711" s="102"/>
      <c r="E1711" s="102"/>
      <c r="F1711" s="102"/>
      <c r="G1711" s="102"/>
      <c r="H1711" s="102"/>
      <c r="I1711" s="102"/>
      <c r="J1711" s="102"/>
      <c r="K1711" s="102"/>
      <c r="L1711" s="102"/>
      <c r="M1711" s="102"/>
      <c r="N1711" s="102"/>
      <c r="O1711" s="102"/>
      <c r="P1711" s="102"/>
      <c r="Q1711" s="102"/>
      <c r="R1711" s="102"/>
    </row>
    <row r="1712" spans="1:18" ht="35.1" customHeight="1" x14ac:dyDescent="0.2">
      <c r="A1712" s="99"/>
      <c r="B1712" s="99"/>
      <c r="C1712" s="102"/>
      <c r="D1712" s="102"/>
      <c r="E1712" s="102"/>
      <c r="F1712" s="102"/>
      <c r="G1712" s="102"/>
      <c r="H1712" s="102"/>
      <c r="I1712" s="102"/>
      <c r="J1712" s="102"/>
      <c r="K1712" s="102"/>
      <c r="L1712" s="102"/>
      <c r="M1712" s="102"/>
      <c r="N1712" s="102"/>
      <c r="O1712" s="102"/>
      <c r="P1712" s="102"/>
      <c r="Q1712" s="102"/>
      <c r="R1712" s="102"/>
    </row>
    <row r="1713" spans="1:18" ht="35.1" customHeight="1" x14ac:dyDescent="0.2">
      <c r="A1713" s="99"/>
      <c r="B1713" s="99"/>
      <c r="C1713" s="102"/>
      <c r="D1713" s="102"/>
      <c r="E1713" s="102"/>
      <c r="F1713" s="102"/>
      <c r="G1713" s="102"/>
      <c r="H1713" s="102"/>
      <c r="I1713" s="102"/>
      <c r="J1713" s="102"/>
      <c r="K1713" s="102"/>
      <c r="L1713" s="102"/>
      <c r="M1713" s="102"/>
      <c r="N1713" s="102"/>
      <c r="O1713" s="102"/>
      <c r="P1713" s="102"/>
      <c r="Q1713" s="102"/>
      <c r="R1713" s="102"/>
    </row>
    <row r="1714" spans="1:18" ht="35.1" customHeight="1" x14ac:dyDescent="0.2">
      <c r="A1714" s="99"/>
      <c r="B1714" s="99"/>
      <c r="C1714" s="102"/>
      <c r="D1714" s="102"/>
      <c r="E1714" s="102"/>
      <c r="F1714" s="102"/>
      <c r="G1714" s="102"/>
      <c r="H1714" s="102"/>
      <c r="I1714" s="102"/>
      <c r="J1714" s="102"/>
      <c r="K1714" s="102"/>
      <c r="L1714" s="102"/>
      <c r="M1714" s="102"/>
      <c r="N1714" s="102"/>
      <c r="O1714" s="102"/>
      <c r="P1714" s="102"/>
      <c r="Q1714" s="102"/>
      <c r="R1714" s="102"/>
    </row>
    <row r="1715" spans="1:18" ht="35.1" customHeight="1" x14ac:dyDescent="0.2">
      <c r="A1715" s="99"/>
      <c r="B1715" s="99"/>
      <c r="C1715" s="102"/>
      <c r="D1715" s="102"/>
      <c r="E1715" s="102"/>
      <c r="F1715" s="102"/>
      <c r="G1715" s="102"/>
      <c r="H1715" s="102"/>
      <c r="I1715" s="102"/>
      <c r="J1715" s="102"/>
      <c r="K1715" s="102"/>
      <c r="L1715" s="102"/>
      <c r="M1715" s="102"/>
      <c r="N1715" s="102"/>
      <c r="O1715" s="102"/>
      <c r="P1715" s="102"/>
      <c r="Q1715" s="102"/>
      <c r="R1715" s="102"/>
    </row>
    <row r="1716" spans="1:18" ht="35.1" customHeight="1" x14ac:dyDescent="0.2">
      <c r="A1716" s="99"/>
      <c r="B1716" s="99"/>
      <c r="C1716" s="102"/>
      <c r="D1716" s="102"/>
      <c r="E1716" s="102"/>
      <c r="F1716" s="102"/>
      <c r="G1716" s="102"/>
      <c r="H1716" s="102"/>
      <c r="I1716" s="102"/>
      <c r="J1716" s="102"/>
      <c r="K1716" s="102"/>
      <c r="L1716" s="102"/>
      <c r="M1716" s="102"/>
      <c r="N1716" s="102"/>
      <c r="O1716" s="102"/>
      <c r="P1716" s="102"/>
      <c r="Q1716" s="102"/>
      <c r="R1716" s="102"/>
    </row>
    <row r="1717" spans="1:18" ht="35.1" customHeight="1" x14ac:dyDescent="0.2">
      <c r="A1717" s="99"/>
      <c r="B1717" s="99"/>
      <c r="C1717" s="102"/>
      <c r="D1717" s="102"/>
      <c r="E1717" s="102"/>
      <c r="F1717" s="102"/>
      <c r="G1717" s="102"/>
      <c r="H1717" s="102"/>
      <c r="I1717" s="102"/>
      <c r="J1717" s="102"/>
      <c r="K1717" s="102"/>
      <c r="L1717" s="102"/>
      <c r="M1717" s="102"/>
      <c r="N1717" s="102"/>
      <c r="O1717" s="102"/>
      <c r="P1717" s="102"/>
      <c r="Q1717" s="102"/>
      <c r="R1717" s="102"/>
    </row>
    <row r="1718" spans="1:18" ht="35.1" customHeight="1" x14ac:dyDescent="0.2">
      <c r="A1718" s="99"/>
      <c r="B1718" s="99"/>
      <c r="C1718" s="102"/>
      <c r="D1718" s="102"/>
      <c r="E1718" s="102"/>
      <c r="F1718" s="102"/>
      <c r="G1718" s="102"/>
      <c r="H1718" s="102"/>
      <c r="I1718" s="102"/>
      <c r="J1718" s="102"/>
      <c r="K1718" s="102"/>
      <c r="L1718" s="102"/>
      <c r="M1718" s="102"/>
      <c r="N1718" s="102"/>
      <c r="O1718" s="102"/>
      <c r="P1718" s="102"/>
      <c r="Q1718" s="102"/>
      <c r="R1718" s="102"/>
    </row>
    <row r="1719" spans="1:18" ht="35.1" customHeight="1" x14ac:dyDescent="0.2">
      <c r="A1719" s="99"/>
      <c r="B1719" s="99"/>
      <c r="C1719" s="102"/>
      <c r="D1719" s="102"/>
      <c r="E1719" s="102"/>
      <c r="F1719" s="102"/>
      <c r="G1719" s="102"/>
      <c r="H1719" s="102"/>
      <c r="I1719" s="102"/>
      <c r="J1719" s="102"/>
      <c r="K1719" s="102"/>
      <c r="L1719" s="102"/>
      <c r="M1719" s="102"/>
      <c r="N1719" s="102"/>
      <c r="O1719" s="102"/>
      <c r="P1719" s="102"/>
      <c r="Q1719" s="102"/>
      <c r="R1719" s="102"/>
    </row>
    <row r="1720" spans="1:18" ht="35.1" customHeight="1" x14ac:dyDescent="0.2">
      <c r="A1720" s="99"/>
      <c r="B1720" s="99"/>
      <c r="C1720" s="102"/>
      <c r="D1720" s="102"/>
      <c r="E1720" s="102"/>
      <c r="F1720" s="102"/>
      <c r="G1720" s="102"/>
      <c r="H1720" s="102"/>
      <c r="I1720" s="102"/>
      <c r="J1720" s="102"/>
      <c r="K1720" s="102"/>
      <c r="L1720" s="102"/>
      <c r="M1720" s="102"/>
      <c r="N1720" s="102"/>
      <c r="O1720" s="102"/>
      <c r="P1720" s="102"/>
      <c r="Q1720" s="102"/>
      <c r="R1720" s="102"/>
    </row>
    <row r="1721" spans="1:18" ht="35.1" customHeight="1" x14ac:dyDescent="0.2">
      <c r="A1721" s="99"/>
      <c r="B1721" s="99"/>
      <c r="C1721" s="102"/>
      <c r="D1721" s="102"/>
      <c r="E1721" s="102"/>
      <c r="F1721" s="102"/>
      <c r="G1721" s="102"/>
      <c r="H1721" s="102"/>
      <c r="I1721" s="102"/>
      <c r="J1721" s="102"/>
      <c r="K1721" s="102"/>
      <c r="L1721" s="102"/>
      <c r="M1721" s="102"/>
      <c r="N1721" s="102"/>
      <c r="O1721" s="102"/>
      <c r="P1721" s="102"/>
      <c r="Q1721" s="102"/>
      <c r="R1721" s="102"/>
    </row>
    <row r="1722" spans="1:18" ht="35.1" customHeight="1" x14ac:dyDescent="0.2">
      <c r="A1722" s="99"/>
      <c r="B1722" s="99"/>
      <c r="C1722" s="102"/>
      <c r="D1722" s="102"/>
      <c r="E1722" s="102"/>
      <c r="F1722" s="102"/>
      <c r="G1722" s="102"/>
      <c r="H1722" s="102"/>
      <c r="I1722" s="102"/>
      <c r="J1722" s="102"/>
      <c r="K1722" s="102"/>
      <c r="L1722" s="102"/>
      <c r="M1722" s="102"/>
      <c r="N1722" s="102"/>
      <c r="O1722" s="102"/>
      <c r="P1722" s="102"/>
      <c r="Q1722" s="102"/>
      <c r="R1722" s="102"/>
    </row>
    <row r="1723" spans="1:18" ht="35.1" customHeight="1" x14ac:dyDescent="0.2">
      <c r="A1723" s="99"/>
      <c r="B1723" s="99"/>
      <c r="C1723" s="102"/>
      <c r="D1723" s="102"/>
      <c r="E1723" s="102"/>
      <c r="F1723" s="102"/>
      <c r="G1723" s="102"/>
      <c r="H1723" s="102"/>
      <c r="I1723" s="102"/>
      <c r="J1723" s="102"/>
      <c r="K1723" s="102"/>
      <c r="L1723" s="102"/>
      <c r="M1723" s="102"/>
      <c r="N1723" s="102"/>
      <c r="O1723" s="102"/>
      <c r="P1723" s="102"/>
      <c r="Q1723" s="102"/>
      <c r="R1723" s="102"/>
    </row>
    <row r="1724" spans="1:18" ht="35.1" customHeight="1" x14ac:dyDescent="0.2">
      <c r="A1724" s="99"/>
      <c r="B1724" s="99"/>
      <c r="C1724" s="102"/>
      <c r="D1724" s="102"/>
      <c r="E1724" s="102"/>
      <c r="F1724" s="102"/>
      <c r="G1724" s="102"/>
      <c r="H1724" s="102"/>
      <c r="I1724" s="102"/>
      <c r="J1724" s="102"/>
      <c r="K1724" s="102"/>
      <c r="L1724" s="102"/>
      <c r="M1724" s="102"/>
      <c r="N1724" s="102"/>
      <c r="O1724" s="102"/>
      <c r="P1724" s="102"/>
      <c r="Q1724" s="102"/>
      <c r="R1724" s="102"/>
    </row>
    <row r="1725" spans="1:18" ht="35.1" customHeight="1" x14ac:dyDescent="0.2">
      <c r="A1725" s="99"/>
      <c r="B1725" s="99"/>
      <c r="C1725" s="102"/>
      <c r="D1725" s="102"/>
      <c r="E1725" s="102"/>
      <c r="F1725" s="102"/>
      <c r="G1725" s="102"/>
      <c r="H1725" s="102"/>
      <c r="I1725" s="102"/>
      <c r="J1725" s="102"/>
      <c r="K1725" s="102"/>
      <c r="L1725" s="102"/>
      <c r="M1725" s="102"/>
      <c r="N1725" s="102"/>
      <c r="O1725" s="102"/>
      <c r="P1725" s="102"/>
      <c r="Q1725" s="102"/>
      <c r="R1725" s="102"/>
    </row>
    <row r="1726" spans="1:18" ht="35.1" customHeight="1" x14ac:dyDescent="0.2">
      <c r="A1726" s="99"/>
      <c r="B1726" s="99"/>
      <c r="C1726" s="102"/>
      <c r="D1726" s="102"/>
      <c r="E1726" s="102"/>
      <c r="F1726" s="102"/>
      <c r="G1726" s="102"/>
      <c r="H1726" s="102"/>
      <c r="I1726" s="102"/>
      <c r="J1726" s="102"/>
      <c r="K1726" s="102"/>
      <c r="L1726" s="102"/>
      <c r="M1726" s="102"/>
      <c r="N1726" s="102"/>
      <c r="O1726" s="102"/>
      <c r="P1726" s="102"/>
      <c r="Q1726" s="102"/>
      <c r="R1726" s="102"/>
    </row>
    <row r="1727" spans="1:18" ht="35.1" customHeight="1" x14ac:dyDescent="0.2">
      <c r="A1727" s="99"/>
      <c r="B1727" s="99"/>
      <c r="C1727" s="102"/>
      <c r="D1727" s="102"/>
      <c r="E1727" s="102"/>
      <c r="F1727" s="102"/>
      <c r="G1727" s="102"/>
      <c r="H1727" s="102"/>
      <c r="I1727" s="102"/>
      <c r="J1727" s="102"/>
      <c r="K1727" s="102"/>
      <c r="L1727" s="102"/>
      <c r="M1727" s="102"/>
      <c r="N1727" s="102"/>
      <c r="O1727" s="102"/>
      <c r="P1727" s="102"/>
      <c r="Q1727" s="102"/>
      <c r="R1727" s="102"/>
    </row>
    <row r="1728" spans="1:18" ht="35.1" customHeight="1" x14ac:dyDescent="0.2">
      <c r="A1728" s="99"/>
      <c r="B1728" s="99"/>
      <c r="C1728" s="102"/>
      <c r="D1728" s="102"/>
      <c r="E1728" s="102"/>
      <c r="F1728" s="102"/>
      <c r="G1728" s="102"/>
      <c r="H1728" s="102"/>
      <c r="I1728" s="102"/>
      <c r="J1728" s="102"/>
      <c r="K1728" s="102"/>
      <c r="L1728" s="102"/>
      <c r="M1728" s="102"/>
      <c r="N1728" s="102"/>
      <c r="O1728" s="102"/>
      <c r="P1728" s="102"/>
      <c r="Q1728" s="102"/>
      <c r="R1728" s="102"/>
    </row>
    <row r="1729" spans="1:18" ht="35.1" customHeight="1" x14ac:dyDescent="0.2">
      <c r="A1729" s="99"/>
      <c r="B1729" s="99"/>
      <c r="C1729" s="102"/>
      <c r="D1729" s="102"/>
      <c r="E1729" s="102"/>
      <c r="F1729" s="102"/>
      <c r="G1729" s="102"/>
      <c r="H1729" s="102"/>
      <c r="I1729" s="102"/>
      <c r="J1729" s="102"/>
      <c r="K1729" s="102"/>
      <c r="L1729" s="102"/>
      <c r="M1729" s="102"/>
      <c r="N1729" s="102"/>
      <c r="O1729" s="102"/>
      <c r="P1729" s="102"/>
      <c r="Q1729" s="102"/>
      <c r="R1729" s="102"/>
    </row>
    <row r="1730" spans="1:18" ht="35.1" customHeight="1" x14ac:dyDescent="0.2">
      <c r="A1730" s="99"/>
      <c r="B1730" s="99"/>
      <c r="C1730" s="102"/>
      <c r="D1730" s="102"/>
      <c r="E1730" s="102"/>
      <c r="F1730" s="102"/>
      <c r="G1730" s="102"/>
      <c r="H1730" s="102"/>
      <c r="I1730" s="102"/>
      <c r="J1730" s="102"/>
      <c r="K1730" s="102"/>
      <c r="L1730" s="102"/>
      <c r="M1730" s="102"/>
      <c r="N1730" s="102"/>
      <c r="O1730" s="102"/>
      <c r="P1730" s="102"/>
      <c r="Q1730" s="102"/>
      <c r="R1730" s="102"/>
    </row>
    <row r="1731" spans="1:18" ht="35.1" customHeight="1" x14ac:dyDescent="0.2">
      <c r="A1731" s="99"/>
      <c r="B1731" s="99"/>
      <c r="C1731" s="102"/>
      <c r="D1731" s="102"/>
      <c r="E1731" s="102"/>
      <c r="F1731" s="102"/>
      <c r="G1731" s="102"/>
      <c r="H1731" s="102"/>
      <c r="I1731" s="102"/>
      <c r="J1731" s="102"/>
      <c r="K1731" s="102"/>
      <c r="L1731" s="102"/>
      <c r="M1731" s="102"/>
      <c r="N1731" s="102"/>
      <c r="O1731" s="102"/>
      <c r="P1731" s="102"/>
      <c r="Q1731" s="102"/>
      <c r="R1731" s="102"/>
    </row>
    <row r="1732" spans="1:18" ht="35.1" customHeight="1" x14ac:dyDescent="0.2">
      <c r="A1732" s="99"/>
      <c r="B1732" s="99"/>
      <c r="C1732" s="102"/>
      <c r="D1732" s="102"/>
      <c r="E1732" s="102"/>
      <c r="F1732" s="102"/>
      <c r="G1732" s="102"/>
      <c r="H1732" s="102"/>
      <c r="I1732" s="102"/>
      <c r="J1732" s="102"/>
      <c r="K1732" s="102"/>
      <c r="L1732" s="102"/>
      <c r="M1732" s="102"/>
      <c r="N1732" s="102"/>
      <c r="O1732" s="102"/>
      <c r="P1732" s="102"/>
      <c r="Q1732" s="102"/>
      <c r="R1732" s="102"/>
    </row>
    <row r="1733" spans="1:18" ht="35.1" customHeight="1" x14ac:dyDescent="0.2">
      <c r="A1733" s="99"/>
      <c r="B1733" s="99"/>
      <c r="C1733" s="102"/>
      <c r="D1733" s="102"/>
      <c r="E1733" s="102"/>
      <c r="F1733" s="102"/>
      <c r="G1733" s="102"/>
      <c r="H1733" s="102"/>
      <c r="I1733" s="102"/>
      <c r="J1733" s="102"/>
      <c r="K1733" s="102"/>
      <c r="L1733" s="102"/>
      <c r="M1733" s="102"/>
      <c r="N1733" s="102"/>
      <c r="O1733" s="102"/>
      <c r="P1733" s="102"/>
      <c r="Q1733" s="102"/>
      <c r="R1733" s="102"/>
    </row>
    <row r="1734" spans="1:18" ht="35.1" customHeight="1" x14ac:dyDescent="0.2">
      <c r="A1734" s="99"/>
      <c r="B1734" s="99"/>
      <c r="C1734" s="102"/>
      <c r="D1734" s="102"/>
      <c r="E1734" s="102"/>
      <c r="F1734" s="102"/>
      <c r="G1734" s="102"/>
      <c r="H1734" s="102"/>
      <c r="I1734" s="102"/>
      <c r="J1734" s="102"/>
      <c r="K1734" s="102"/>
      <c r="L1734" s="102"/>
      <c r="M1734" s="102"/>
      <c r="N1734" s="102"/>
      <c r="O1734" s="102"/>
      <c r="P1734" s="102"/>
      <c r="Q1734" s="102"/>
      <c r="R1734" s="102"/>
    </row>
    <row r="1735" spans="1:18" ht="35.1" customHeight="1" x14ac:dyDescent="0.2">
      <c r="A1735" s="99"/>
      <c r="B1735" s="99"/>
      <c r="C1735" s="102"/>
      <c r="D1735" s="102"/>
      <c r="E1735" s="102"/>
      <c r="F1735" s="102"/>
      <c r="G1735" s="102"/>
      <c r="H1735" s="102"/>
      <c r="I1735" s="102"/>
      <c r="J1735" s="102"/>
      <c r="K1735" s="102"/>
      <c r="L1735" s="102"/>
      <c r="M1735" s="102"/>
      <c r="N1735" s="102"/>
      <c r="O1735" s="102"/>
      <c r="P1735" s="102"/>
      <c r="Q1735" s="102"/>
      <c r="R1735" s="102"/>
    </row>
    <row r="1736" spans="1:18" ht="35.1" customHeight="1" x14ac:dyDescent="0.2">
      <c r="A1736" s="99"/>
      <c r="B1736" s="99"/>
      <c r="C1736" s="102"/>
      <c r="D1736" s="102"/>
      <c r="E1736" s="102"/>
      <c r="F1736" s="102"/>
      <c r="G1736" s="102"/>
      <c r="H1736" s="102"/>
      <c r="I1736" s="102"/>
      <c r="J1736" s="102"/>
      <c r="K1736" s="102"/>
      <c r="L1736" s="102"/>
      <c r="M1736" s="102"/>
      <c r="N1736" s="102"/>
      <c r="O1736" s="102"/>
      <c r="P1736" s="102"/>
      <c r="Q1736" s="102"/>
      <c r="R1736" s="102"/>
    </row>
    <row r="1737" spans="1:18" ht="35.1" customHeight="1" x14ac:dyDescent="0.2">
      <c r="A1737" s="99"/>
      <c r="B1737" s="99"/>
      <c r="C1737" s="102"/>
      <c r="D1737" s="102"/>
      <c r="E1737" s="102"/>
      <c r="F1737" s="102"/>
      <c r="G1737" s="102"/>
      <c r="H1737" s="102"/>
      <c r="I1737" s="102"/>
      <c r="J1737" s="102"/>
      <c r="K1737" s="102"/>
      <c r="L1737" s="102"/>
      <c r="M1737" s="102"/>
      <c r="N1737" s="102"/>
      <c r="O1737" s="102"/>
      <c r="P1737" s="102"/>
      <c r="Q1737" s="102"/>
      <c r="R1737" s="102"/>
    </row>
    <row r="1738" spans="1:18" ht="35.1" customHeight="1" x14ac:dyDescent="0.2">
      <c r="A1738" s="99"/>
      <c r="B1738" s="99"/>
      <c r="C1738" s="102"/>
      <c r="D1738" s="102"/>
      <c r="E1738" s="102"/>
      <c r="F1738" s="102"/>
      <c r="G1738" s="102"/>
      <c r="H1738" s="102"/>
      <c r="I1738" s="102"/>
      <c r="J1738" s="102"/>
      <c r="K1738" s="102"/>
      <c r="L1738" s="102"/>
      <c r="M1738" s="102"/>
      <c r="N1738" s="102"/>
      <c r="O1738" s="102"/>
      <c r="P1738" s="102"/>
      <c r="Q1738" s="102"/>
      <c r="R1738" s="102"/>
    </row>
    <row r="1739" spans="1:18" ht="35.1" customHeight="1" x14ac:dyDescent="0.2">
      <c r="A1739" s="99"/>
      <c r="B1739" s="99"/>
      <c r="C1739" s="102"/>
      <c r="D1739" s="102"/>
      <c r="E1739" s="102"/>
      <c r="F1739" s="102"/>
      <c r="G1739" s="102"/>
      <c r="H1739" s="102"/>
      <c r="I1739" s="102"/>
      <c r="J1739" s="102"/>
      <c r="K1739" s="102"/>
      <c r="L1739" s="102"/>
      <c r="M1739" s="102"/>
      <c r="N1739" s="102"/>
      <c r="O1739" s="102"/>
      <c r="P1739" s="102"/>
      <c r="Q1739" s="102"/>
      <c r="R1739" s="102"/>
    </row>
    <row r="1740" spans="1:18" ht="35.1" customHeight="1" x14ac:dyDescent="0.2">
      <c r="A1740" s="99"/>
      <c r="B1740" s="99"/>
      <c r="C1740" s="102"/>
      <c r="D1740" s="102"/>
      <c r="E1740" s="102"/>
      <c r="F1740" s="102"/>
      <c r="G1740" s="102"/>
      <c r="H1740" s="102"/>
      <c r="I1740" s="102"/>
      <c r="J1740" s="102"/>
      <c r="K1740" s="102"/>
      <c r="L1740" s="102"/>
      <c r="M1740" s="102"/>
      <c r="N1740" s="102"/>
      <c r="O1740" s="102"/>
      <c r="P1740" s="102"/>
      <c r="Q1740" s="102"/>
      <c r="R1740" s="102"/>
    </row>
    <row r="1741" spans="1:18" ht="35.1" customHeight="1" x14ac:dyDescent="0.2">
      <c r="A1741" s="99"/>
      <c r="B1741" s="99"/>
      <c r="C1741" s="102"/>
      <c r="D1741" s="102"/>
      <c r="E1741" s="102"/>
      <c r="F1741" s="102"/>
      <c r="G1741" s="102"/>
      <c r="H1741" s="102"/>
      <c r="I1741" s="102"/>
      <c r="J1741" s="102"/>
      <c r="K1741" s="102"/>
      <c r="L1741" s="102"/>
      <c r="M1741" s="102"/>
      <c r="N1741" s="102"/>
      <c r="O1741" s="102"/>
      <c r="P1741" s="102"/>
      <c r="Q1741" s="102"/>
      <c r="R1741" s="102"/>
    </row>
    <row r="1742" spans="1:18" ht="35.1" customHeight="1" x14ac:dyDescent="0.2">
      <c r="A1742" s="99"/>
      <c r="B1742" s="99"/>
      <c r="C1742" s="102"/>
      <c r="D1742" s="102"/>
      <c r="E1742" s="102"/>
      <c r="F1742" s="102"/>
      <c r="G1742" s="102"/>
      <c r="H1742" s="102"/>
      <c r="I1742" s="102"/>
      <c r="J1742" s="102"/>
      <c r="K1742" s="102"/>
      <c r="L1742" s="102"/>
      <c r="M1742" s="102"/>
      <c r="N1742" s="102"/>
      <c r="O1742" s="102"/>
      <c r="P1742" s="102"/>
      <c r="Q1742" s="102"/>
      <c r="R1742" s="102"/>
    </row>
    <row r="1743" spans="1:18" ht="35.1" customHeight="1" x14ac:dyDescent="0.2">
      <c r="A1743" s="99"/>
      <c r="B1743" s="99"/>
      <c r="C1743" s="102"/>
      <c r="D1743" s="102"/>
      <c r="E1743" s="102"/>
      <c r="F1743" s="102"/>
      <c r="G1743" s="102"/>
      <c r="H1743" s="102"/>
      <c r="I1743" s="102"/>
      <c r="J1743" s="102"/>
      <c r="K1743" s="102"/>
      <c r="L1743" s="102"/>
      <c r="M1743" s="102"/>
      <c r="N1743" s="102"/>
      <c r="O1743" s="102"/>
      <c r="P1743" s="102"/>
      <c r="Q1743" s="102"/>
      <c r="R1743" s="102"/>
    </row>
    <row r="1744" spans="1:18" ht="35.1" customHeight="1" x14ac:dyDescent="0.2">
      <c r="A1744" s="99"/>
      <c r="B1744" s="99"/>
      <c r="C1744" s="102"/>
      <c r="D1744" s="102"/>
      <c r="E1744" s="102"/>
      <c r="F1744" s="102"/>
      <c r="G1744" s="102"/>
      <c r="H1744" s="102"/>
      <c r="I1744" s="102"/>
      <c r="J1744" s="102"/>
      <c r="K1744" s="102"/>
      <c r="L1744" s="102"/>
      <c r="M1744" s="102"/>
      <c r="N1744" s="102"/>
      <c r="O1744" s="102"/>
      <c r="P1744" s="102"/>
      <c r="Q1744" s="102"/>
      <c r="R1744" s="102"/>
    </row>
    <row r="1745" spans="1:18" ht="35.1" customHeight="1" x14ac:dyDescent="0.2">
      <c r="A1745" s="99"/>
      <c r="B1745" s="99"/>
      <c r="C1745" s="102"/>
      <c r="D1745" s="102"/>
      <c r="E1745" s="102"/>
      <c r="F1745" s="102"/>
      <c r="G1745" s="102"/>
      <c r="H1745" s="102"/>
      <c r="I1745" s="102"/>
      <c r="J1745" s="102"/>
      <c r="K1745" s="102"/>
      <c r="L1745" s="102"/>
      <c r="M1745" s="102"/>
      <c r="N1745" s="102"/>
      <c r="O1745" s="102"/>
      <c r="P1745" s="102"/>
      <c r="Q1745" s="102"/>
      <c r="R1745" s="102"/>
    </row>
    <row r="1746" spans="1:18" ht="35.1" customHeight="1" x14ac:dyDescent="0.2">
      <c r="A1746" s="99"/>
      <c r="B1746" s="99"/>
      <c r="C1746" s="102"/>
      <c r="D1746" s="102"/>
      <c r="E1746" s="102"/>
      <c r="F1746" s="102"/>
      <c r="G1746" s="102"/>
      <c r="H1746" s="102"/>
      <c r="I1746" s="102"/>
      <c r="J1746" s="102"/>
      <c r="K1746" s="102"/>
      <c r="L1746" s="102"/>
      <c r="M1746" s="102"/>
      <c r="N1746" s="102"/>
      <c r="O1746" s="102"/>
      <c r="P1746" s="102"/>
      <c r="Q1746" s="102"/>
      <c r="R1746" s="102"/>
    </row>
    <row r="1747" spans="1:18" ht="35.1" customHeight="1" x14ac:dyDescent="0.2">
      <c r="A1747" s="99"/>
      <c r="B1747" s="99"/>
      <c r="C1747" s="102"/>
      <c r="D1747" s="102"/>
      <c r="E1747" s="102"/>
      <c r="F1747" s="102"/>
      <c r="G1747" s="102"/>
      <c r="H1747" s="102"/>
      <c r="I1747" s="102"/>
      <c r="J1747" s="102"/>
      <c r="K1747" s="102"/>
      <c r="L1747" s="102"/>
      <c r="M1747" s="102"/>
      <c r="N1747" s="102"/>
      <c r="O1747" s="102"/>
      <c r="P1747" s="102"/>
      <c r="Q1747" s="102"/>
      <c r="R1747" s="102"/>
    </row>
    <row r="1748" spans="1:18" ht="35.1" customHeight="1" x14ac:dyDescent="0.2">
      <c r="A1748" s="99"/>
      <c r="B1748" s="99"/>
      <c r="C1748" s="102"/>
      <c r="D1748" s="102"/>
      <c r="E1748" s="102"/>
      <c r="F1748" s="102"/>
      <c r="G1748" s="102"/>
      <c r="H1748" s="102"/>
      <c r="I1748" s="102"/>
      <c r="J1748" s="102"/>
      <c r="K1748" s="102"/>
      <c r="L1748" s="102"/>
      <c r="M1748" s="102"/>
      <c r="N1748" s="102"/>
      <c r="O1748" s="102"/>
      <c r="P1748" s="102"/>
      <c r="Q1748" s="102"/>
      <c r="R1748" s="102"/>
    </row>
    <row r="1749" spans="1:18" ht="35.1" customHeight="1" x14ac:dyDescent="0.2">
      <c r="A1749" s="99"/>
      <c r="B1749" s="99"/>
      <c r="C1749" s="102"/>
      <c r="D1749" s="102"/>
      <c r="E1749" s="102"/>
      <c r="F1749" s="102"/>
      <c r="G1749" s="102"/>
      <c r="H1749" s="102"/>
      <c r="I1749" s="102"/>
      <c r="J1749" s="102"/>
      <c r="K1749" s="102"/>
      <c r="L1749" s="102"/>
      <c r="M1749" s="102"/>
      <c r="N1749" s="102"/>
      <c r="O1749" s="102"/>
      <c r="P1749" s="102"/>
      <c r="Q1749" s="102"/>
      <c r="R1749" s="102"/>
    </row>
    <row r="1750" spans="1:18" ht="35.1" customHeight="1" x14ac:dyDescent="0.2">
      <c r="A1750" s="99"/>
      <c r="B1750" s="99"/>
      <c r="C1750" s="102"/>
      <c r="D1750" s="102"/>
      <c r="E1750" s="102"/>
      <c r="F1750" s="102"/>
      <c r="G1750" s="102"/>
      <c r="H1750" s="102"/>
      <c r="I1750" s="102"/>
      <c r="J1750" s="102"/>
      <c r="K1750" s="102"/>
      <c r="L1750" s="102"/>
      <c r="M1750" s="102"/>
      <c r="N1750" s="102"/>
      <c r="O1750" s="102"/>
      <c r="P1750" s="102"/>
      <c r="Q1750" s="102"/>
      <c r="R1750" s="102"/>
    </row>
    <row r="1751" spans="1:18" ht="35.1" customHeight="1" x14ac:dyDescent="0.2">
      <c r="A1751" s="99"/>
      <c r="B1751" s="99"/>
      <c r="C1751" s="102"/>
      <c r="D1751" s="102"/>
      <c r="E1751" s="102"/>
      <c r="F1751" s="102"/>
      <c r="G1751" s="102"/>
      <c r="H1751" s="102"/>
      <c r="I1751" s="102"/>
      <c r="J1751" s="102"/>
      <c r="K1751" s="102"/>
      <c r="L1751" s="102"/>
      <c r="M1751" s="102"/>
      <c r="N1751" s="102"/>
      <c r="O1751" s="102"/>
      <c r="P1751" s="102"/>
      <c r="Q1751" s="102"/>
      <c r="R1751" s="102"/>
    </row>
    <row r="1752" spans="1:18" ht="35.1" customHeight="1" x14ac:dyDescent="0.2">
      <c r="A1752" s="99"/>
      <c r="B1752" s="99"/>
      <c r="C1752" s="102"/>
      <c r="D1752" s="102"/>
      <c r="E1752" s="102"/>
      <c r="F1752" s="102"/>
      <c r="G1752" s="102"/>
      <c r="H1752" s="102"/>
      <c r="I1752" s="102"/>
      <c r="J1752" s="102"/>
      <c r="K1752" s="102"/>
      <c r="L1752" s="102"/>
      <c r="M1752" s="102"/>
      <c r="N1752" s="102"/>
      <c r="O1752" s="102"/>
      <c r="P1752" s="102"/>
      <c r="Q1752" s="102"/>
      <c r="R1752" s="102"/>
    </row>
    <row r="1753" spans="1:18" ht="35.1" customHeight="1" x14ac:dyDescent="0.2">
      <c r="A1753" s="99"/>
      <c r="B1753" s="99"/>
      <c r="C1753" s="102"/>
      <c r="D1753" s="102"/>
      <c r="E1753" s="102"/>
      <c r="F1753" s="102"/>
      <c r="G1753" s="102"/>
      <c r="H1753" s="102"/>
      <c r="I1753" s="102"/>
      <c r="J1753" s="102"/>
      <c r="K1753" s="102"/>
      <c r="L1753" s="102"/>
      <c r="M1753" s="102"/>
      <c r="N1753" s="102"/>
      <c r="O1753" s="102"/>
      <c r="P1753" s="102"/>
      <c r="Q1753" s="102"/>
      <c r="R1753" s="102"/>
    </row>
    <row r="1754" spans="1:18" ht="35.1" customHeight="1" x14ac:dyDescent="0.2">
      <c r="A1754" s="99"/>
      <c r="B1754" s="99"/>
      <c r="C1754" s="102"/>
      <c r="D1754" s="102"/>
      <c r="E1754" s="102"/>
      <c r="F1754" s="102"/>
      <c r="G1754" s="102"/>
      <c r="H1754" s="102"/>
      <c r="I1754" s="102"/>
      <c r="J1754" s="102"/>
      <c r="K1754" s="102"/>
      <c r="L1754" s="102"/>
      <c r="M1754" s="102"/>
      <c r="N1754" s="102"/>
      <c r="O1754" s="102"/>
      <c r="P1754" s="102"/>
      <c r="Q1754" s="102"/>
      <c r="R1754" s="102"/>
    </row>
    <row r="1755" spans="1:18" ht="35.1" customHeight="1" x14ac:dyDescent="0.2">
      <c r="A1755" s="99"/>
      <c r="B1755" s="99"/>
      <c r="C1755" s="102"/>
      <c r="D1755" s="102"/>
      <c r="E1755" s="102"/>
      <c r="F1755" s="102"/>
      <c r="G1755" s="102"/>
      <c r="H1755" s="102"/>
      <c r="I1755" s="102"/>
      <c r="J1755" s="102"/>
      <c r="K1755" s="102"/>
      <c r="L1755" s="102"/>
      <c r="M1755" s="102"/>
      <c r="N1755" s="102"/>
      <c r="O1755" s="102"/>
      <c r="P1755" s="102"/>
      <c r="Q1755" s="102"/>
      <c r="R1755" s="102"/>
    </row>
    <row r="1756" spans="1:18" ht="35.1" customHeight="1" x14ac:dyDescent="0.2">
      <c r="A1756" s="99"/>
      <c r="B1756" s="99"/>
      <c r="C1756" s="102"/>
      <c r="D1756" s="102"/>
      <c r="E1756" s="102"/>
      <c r="F1756" s="102"/>
      <c r="G1756" s="102"/>
      <c r="H1756" s="102"/>
      <c r="I1756" s="102"/>
      <c r="J1756" s="102"/>
      <c r="K1756" s="102"/>
      <c r="L1756" s="102"/>
      <c r="M1756" s="102"/>
      <c r="N1756" s="102"/>
      <c r="O1756" s="102"/>
      <c r="P1756" s="102"/>
      <c r="Q1756" s="102"/>
      <c r="R1756" s="102"/>
    </row>
    <row r="1757" spans="1:18" ht="35.1" customHeight="1" x14ac:dyDescent="0.2">
      <c r="A1757" s="99"/>
      <c r="B1757" s="99"/>
      <c r="C1757" s="102"/>
      <c r="D1757" s="102"/>
      <c r="E1757" s="102"/>
      <c r="F1757" s="102"/>
      <c r="G1757" s="102"/>
      <c r="H1757" s="102"/>
      <c r="I1757" s="102"/>
      <c r="J1757" s="102"/>
      <c r="K1757" s="102"/>
      <c r="L1757" s="102"/>
      <c r="M1757" s="102"/>
      <c r="N1757" s="102"/>
      <c r="O1757" s="102"/>
      <c r="P1757" s="102"/>
      <c r="Q1757" s="102"/>
      <c r="R1757" s="102"/>
    </row>
    <row r="1758" spans="1:18" ht="35.1" customHeight="1" x14ac:dyDescent="0.2">
      <c r="A1758" s="99"/>
      <c r="B1758" s="99"/>
      <c r="C1758" s="102"/>
      <c r="D1758" s="102"/>
      <c r="E1758" s="102"/>
      <c r="F1758" s="102"/>
      <c r="G1758" s="102"/>
      <c r="H1758" s="102"/>
      <c r="I1758" s="102"/>
      <c r="J1758" s="102"/>
      <c r="K1758" s="102"/>
      <c r="L1758" s="102"/>
      <c r="M1758" s="102"/>
      <c r="N1758" s="102"/>
      <c r="O1758" s="102"/>
      <c r="P1758" s="102"/>
      <c r="Q1758" s="102"/>
      <c r="R1758" s="102"/>
    </row>
    <row r="1759" spans="1:18" ht="35.1" customHeight="1" x14ac:dyDescent="0.2">
      <c r="A1759" s="99"/>
      <c r="B1759" s="99"/>
      <c r="C1759" s="102"/>
      <c r="D1759" s="102"/>
      <c r="E1759" s="102"/>
      <c r="F1759" s="102"/>
      <c r="G1759" s="102"/>
      <c r="H1759" s="102"/>
      <c r="I1759" s="102"/>
      <c r="J1759" s="102"/>
      <c r="K1759" s="102"/>
      <c r="L1759" s="102"/>
      <c r="M1759" s="102"/>
      <c r="N1759" s="102"/>
      <c r="O1759" s="102"/>
      <c r="P1759" s="102"/>
      <c r="Q1759" s="102"/>
      <c r="R1759" s="102"/>
    </row>
    <row r="1760" spans="1:18" ht="35.1" customHeight="1" x14ac:dyDescent="0.2">
      <c r="A1760" s="99"/>
      <c r="B1760" s="99"/>
      <c r="C1760" s="102"/>
      <c r="D1760" s="102"/>
      <c r="E1760" s="102"/>
      <c r="F1760" s="102"/>
      <c r="G1760" s="102"/>
      <c r="H1760" s="102"/>
      <c r="I1760" s="102"/>
      <c r="J1760" s="102"/>
      <c r="K1760" s="102"/>
      <c r="L1760" s="102"/>
      <c r="M1760" s="102"/>
      <c r="N1760" s="102"/>
      <c r="O1760" s="102"/>
      <c r="P1760" s="102"/>
      <c r="Q1760" s="102"/>
      <c r="R1760" s="102"/>
    </row>
    <row r="1761" spans="1:18" ht="35.1" customHeight="1" x14ac:dyDescent="0.2">
      <c r="A1761" s="99"/>
      <c r="B1761" s="99"/>
      <c r="C1761" s="102"/>
      <c r="D1761" s="102"/>
      <c r="E1761" s="102"/>
      <c r="F1761" s="102"/>
      <c r="G1761" s="102"/>
      <c r="H1761" s="102"/>
      <c r="I1761" s="102"/>
      <c r="J1761" s="102"/>
      <c r="K1761" s="102"/>
      <c r="L1761" s="102"/>
      <c r="M1761" s="102"/>
      <c r="N1761" s="102"/>
      <c r="O1761" s="102"/>
      <c r="P1761" s="102"/>
      <c r="Q1761" s="102"/>
      <c r="R1761" s="102"/>
    </row>
    <row r="1762" spans="1:18" ht="35.1" customHeight="1" x14ac:dyDescent="0.2">
      <c r="A1762" s="99"/>
      <c r="B1762" s="99"/>
      <c r="C1762" s="102"/>
      <c r="D1762" s="102"/>
      <c r="E1762" s="102"/>
      <c r="F1762" s="102"/>
      <c r="G1762" s="102"/>
      <c r="H1762" s="102"/>
      <c r="I1762" s="102"/>
      <c r="J1762" s="102"/>
      <c r="K1762" s="102"/>
      <c r="L1762" s="102"/>
      <c r="M1762" s="102"/>
      <c r="N1762" s="102"/>
      <c r="O1762" s="102"/>
      <c r="P1762" s="102"/>
      <c r="Q1762" s="102"/>
      <c r="R1762" s="102"/>
    </row>
    <row r="1763" spans="1:18" ht="35.1" customHeight="1" x14ac:dyDescent="0.2">
      <c r="A1763" s="99"/>
      <c r="B1763" s="99"/>
      <c r="C1763" s="102"/>
      <c r="D1763" s="102"/>
      <c r="E1763" s="102"/>
      <c r="F1763" s="102"/>
      <c r="G1763" s="102"/>
      <c r="H1763" s="102"/>
      <c r="I1763" s="102"/>
      <c r="J1763" s="102"/>
      <c r="K1763" s="102"/>
      <c r="L1763" s="102"/>
      <c r="M1763" s="102"/>
      <c r="N1763" s="102"/>
      <c r="O1763" s="102"/>
      <c r="P1763" s="102"/>
      <c r="Q1763" s="102"/>
      <c r="R1763" s="102"/>
    </row>
    <row r="1764" spans="1:18" ht="35.1" customHeight="1" x14ac:dyDescent="0.2">
      <c r="A1764" s="99"/>
      <c r="B1764" s="99"/>
      <c r="C1764" s="102"/>
      <c r="D1764" s="102"/>
      <c r="E1764" s="102"/>
      <c r="F1764" s="102"/>
      <c r="G1764" s="102"/>
      <c r="H1764" s="102"/>
      <c r="I1764" s="102"/>
      <c r="J1764" s="102"/>
      <c r="K1764" s="102"/>
      <c r="L1764" s="102"/>
      <c r="M1764" s="102"/>
      <c r="N1764" s="102"/>
      <c r="O1764" s="102"/>
      <c r="P1764" s="102"/>
      <c r="Q1764" s="102"/>
      <c r="R1764" s="102"/>
    </row>
    <row r="1765" spans="1:18" ht="35.1" customHeight="1" x14ac:dyDescent="0.2">
      <c r="A1765" s="99"/>
      <c r="B1765" s="99"/>
      <c r="C1765" s="102"/>
      <c r="D1765" s="102"/>
      <c r="E1765" s="102"/>
      <c r="F1765" s="102"/>
      <c r="G1765" s="102"/>
      <c r="H1765" s="102"/>
      <c r="I1765" s="102"/>
      <c r="J1765" s="102"/>
      <c r="K1765" s="102"/>
      <c r="L1765" s="102"/>
      <c r="M1765" s="102"/>
      <c r="N1765" s="102"/>
      <c r="O1765" s="102"/>
      <c r="P1765" s="102"/>
      <c r="Q1765" s="102"/>
      <c r="R1765" s="102"/>
    </row>
    <row r="1766" spans="1:18" ht="35.1" customHeight="1" x14ac:dyDescent="0.2">
      <c r="A1766" s="99"/>
      <c r="B1766" s="99"/>
      <c r="C1766" s="102"/>
      <c r="D1766" s="102"/>
      <c r="E1766" s="102"/>
      <c r="F1766" s="102"/>
      <c r="G1766" s="102"/>
      <c r="H1766" s="102"/>
      <c r="I1766" s="102"/>
      <c r="J1766" s="102"/>
      <c r="K1766" s="102"/>
      <c r="L1766" s="102"/>
      <c r="M1766" s="102"/>
      <c r="N1766" s="102"/>
      <c r="O1766" s="102"/>
      <c r="P1766" s="102"/>
      <c r="Q1766" s="102"/>
      <c r="R1766" s="102"/>
    </row>
    <row r="1767" spans="1:18" ht="35.1" customHeight="1" x14ac:dyDescent="0.2">
      <c r="A1767" s="99"/>
      <c r="B1767" s="99"/>
      <c r="C1767" s="102"/>
      <c r="D1767" s="102"/>
      <c r="E1767" s="102"/>
      <c r="F1767" s="102"/>
      <c r="G1767" s="102"/>
      <c r="H1767" s="102"/>
      <c r="I1767" s="102"/>
      <c r="J1767" s="102"/>
      <c r="K1767" s="102"/>
      <c r="L1767" s="102"/>
      <c r="M1767" s="102"/>
      <c r="N1767" s="102"/>
      <c r="O1767" s="102"/>
      <c r="P1767" s="102"/>
      <c r="Q1767" s="102"/>
      <c r="R1767" s="102"/>
    </row>
    <row r="1768" spans="1:18" ht="35.1" customHeight="1" x14ac:dyDescent="0.2">
      <c r="A1768" s="99"/>
      <c r="B1768" s="99"/>
      <c r="C1768" s="102"/>
      <c r="D1768" s="102"/>
      <c r="E1768" s="102"/>
      <c r="F1768" s="102"/>
      <c r="G1768" s="102"/>
      <c r="H1768" s="102"/>
      <c r="I1768" s="102"/>
      <c r="J1768" s="102"/>
      <c r="K1768" s="102"/>
      <c r="L1768" s="102"/>
      <c r="M1768" s="102"/>
      <c r="N1768" s="102"/>
      <c r="O1768" s="102"/>
      <c r="P1768" s="102"/>
      <c r="Q1768" s="102"/>
      <c r="R1768" s="102"/>
    </row>
    <row r="1769" spans="1:18" ht="35.1" customHeight="1" x14ac:dyDescent="0.2">
      <c r="A1769" s="99"/>
      <c r="B1769" s="99"/>
      <c r="C1769" s="102"/>
      <c r="D1769" s="102"/>
      <c r="E1769" s="102"/>
      <c r="F1769" s="102"/>
      <c r="G1769" s="102"/>
      <c r="H1769" s="102"/>
      <c r="I1769" s="102"/>
      <c r="J1769" s="102"/>
      <c r="K1769" s="102"/>
      <c r="L1769" s="102"/>
      <c r="M1769" s="102"/>
      <c r="N1769" s="102"/>
      <c r="O1769" s="102"/>
      <c r="P1769" s="102"/>
      <c r="Q1769" s="102"/>
      <c r="R1769" s="102"/>
    </row>
    <row r="1770" spans="1:18" ht="35.1" customHeight="1" x14ac:dyDescent="0.2">
      <c r="A1770" s="99"/>
      <c r="B1770" s="99"/>
      <c r="C1770" s="102"/>
      <c r="D1770" s="102"/>
      <c r="E1770" s="102"/>
      <c r="F1770" s="102"/>
      <c r="G1770" s="102"/>
      <c r="H1770" s="102"/>
      <c r="I1770" s="102"/>
      <c r="J1770" s="102"/>
      <c r="K1770" s="102"/>
      <c r="L1770" s="102"/>
      <c r="M1770" s="102"/>
      <c r="N1770" s="102"/>
      <c r="O1770" s="102"/>
      <c r="P1770" s="102"/>
      <c r="Q1770" s="102"/>
      <c r="R1770" s="102"/>
    </row>
    <row r="1771" spans="1:18" ht="35.1" customHeight="1" x14ac:dyDescent="0.2">
      <c r="A1771" s="99"/>
      <c r="B1771" s="99"/>
      <c r="C1771" s="102"/>
      <c r="D1771" s="102"/>
      <c r="E1771" s="102"/>
      <c r="F1771" s="102"/>
      <c r="G1771" s="102"/>
      <c r="H1771" s="102"/>
      <c r="I1771" s="102"/>
      <c r="J1771" s="102"/>
      <c r="K1771" s="102"/>
      <c r="L1771" s="102"/>
      <c r="M1771" s="102"/>
      <c r="N1771" s="102"/>
      <c r="O1771" s="102"/>
      <c r="P1771" s="102"/>
      <c r="Q1771" s="102"/>
      <c r="R1771" s="102"/>
    </row>
    <row r="1772" spans="1:18" ht="35.1" customHeight="1" x14ac:dyDescent="0.2">
      <c r="A1772" s="99"/>
      <c r="B1772" s="99"/>
      <c r="C1772" s="102"/>
      <c r="D1772" s="102"/>
      <c r="E1772" s="102"/>
      <c r="F1772" s="102"/>
      <c r="G1772" s="102"/>
      <c r="H1772" s="102"/>
      <c r="I1772" s="102"/>
      <c r="J1772" s="102"/>
      <c r="K1772" s="102"/>
      <c r="L1772" s="102"/>
      <c r="M1772" s="102"/>
      <c r="N1772" s="102"/>
      <c r="O1772" s="102"/>
      <c r="P1772" s="102"/>
      <c r="Q1772" s="102"/>
      <c r="R1772" s="102"/>
    </row>
    <row r="1773" spans="1:18" ht="35.1" customHeight="1" x14ac:dyDescent="0.2">
      <c r="A1773" s="99"/>
      <c r="B1773" s="99"/>
      <c r="C1773" s="102"/>
      <c r="D1773" s="102"/>
      <c r="E1773" s="102"/>
      <c r="F1773" s="102"/>
      <c r="G1773" s="102"/>
      <c r="H1773" s="102"/>
      <c r="I1773" s="102"/>
      <c r="J1773" s="102"/>
      <c r="K1773" s="102"/>
      <c r="L1773" s="102"/>
      <c r="M1773" s="102"/>
      <c r="N1773" s="102"/>
      <c r="O1773" s="102"/>
      <c r="P1773" s="102"/>
      <c r="Q1773" s="102"/>
      <c r="R1773" s="102"/>
    </row>
    <row r="1774" spans="1:18" ht="35.1" customHeight="1" x14ac:dyDescent="0.2">
      <c r="A1774" s="99"/>
      <c r="B1774" s="99"/>
      <c r="C1774" s="102"/>
      <c r="D1774" s="102"/>
      <c r="E1774" s="102"/>
      <c r="F1774" s="102"/>
      <c r="G1774" s="102"/>
      <c r="H1774" s="102"/>
      <c r="I1774" s="102"/>
      <c r="J1774" s="102"/>
      <c r="K1774" s="102"/>
      <c r="L1774" s="102"/>
      <c r="M1774" s="102"/>
      <c r="N1774" s="102"/>
      <c r="O1774" s="102"/>
      <c r="P1774" s="102"/>
      <c r="Q1774" s="102"/>
      <c r="R1774" s="102"/>
    </row>
    <row r="1775" spans="1:18" ht="35.1" customHeight="1" x14ac:dyDescent="0.2">
      <c r="A1775" s="99"/>
      <c r="B1775" s="99"/>
      <c r="C1775" s="102"/>
      <c r="D1775" s="102"/>
      <c r="E1775" s="102"/>
      <c r="F1775" s="102"/>
      <c r="G1775" s="102"/>
      <c r="H1775" s="102"/>
      <c r="I1775" s="102"/>
      <c r="J1775" s="102"/>
      <c r="K1775" s="102"/>
      <c r="L1775" s="102"/>
      <c r="M1775" s="102"/>
      <c r="N1775" s="102"/>
      <c r="O1775" s="102"/>
      <c r="P1775" s="102"/>
      <c r="Q1775" s="102"/>
      <c r="R1775" s="102"/>
    </row>
    <row r="1776" spans="1:18" ht="35.1" customHeight="1" x14ac:dyDescent="0.2">
      <c r="A1776" s="99"/>
      <c r="B1776" s="99"/>
      <c r="C1776" s="102"/>
      <c r="D1776" s="102"/>
      <c r="E1776" s="102"/>
      <c r="F1776" s="102"/>
      <c r="G1776" s="102"/>
      <c r="H1776" s="102"/>
      <c r="I1776" s="102"/>
      <c r="J1776" s="102"/>
      <c r="K1776" s="102"/>
      <c r="L1776" s="102"/>
      <c r="M1776" s="102"/>
      <c r="N1776" s="102"/>
      <c r="O1776" s="102"/>
      <c r="P1776" s="102"/>
      <c r="Q1776" s="102"/>
      <c r="R1776" s="102"/>
    </row>
    <row r="1777" spans="1:18" ht="35.1" customHeight="1" x14ac:dyDescent="0.2">
      <c r="A1777" s="99"/>
      <c r="B1777" s="99"/>
      <c r="C1777" s="102"/>
      <c r="D1777" s="102"/>
      <c r="E1777" s="102"/>
      <c r="F1777" s="102"/>
      <c r="G1777" s="102"/>
      <c r="H1777" s="102"/>
      <c r="I1777" s="102"/>
      <c r="J1777" s="102"/>
      <c r="K1777" s="102"/>
      <c r="L1777" s="102"/>
      <c r="M1777" s="102"/>
      <c r="N1777" s="102"/>
      <c r="O1777" s="102"/>
      <c r="P1777" s="102"/>
      <c r="Q1777" s="102"/>
      <c r="R1777" s="102"/>
    </row>
    <row r="1778" spans="1:18" ht="35.1" customHeight="1" x14ac:dyDescent="0.2">
      <c r="A1778" s="99"/>
      <c r="B1778" s="99"/>
      <c r="C1778" s="102"/>
      <c r="D1778" s="102"/>
      <c r="E1778" s="102"/>
      <c r="F1778" s="102"/>
      <c r="G1778" s="102"/>
      <c r="H1778" s="102"/>
      <c r="I1778" s="102"/>
      <c r="J1778" s="102"/>
      <c r="K1778" s="102"/>
      <c r="L1778" s="102"/>
      <c r="M1778" s="102"/>
      <c r="N1778" s="102"/>
      <c r="O1778" s="102"/>
      <c r="P1778" s="102"/>
      <c r="Q1778" s="102"/>
      <c r="R1778" s="102"/>
    </row>
    <row r="1779" spans="1:18" ht="35.1" customHeight="1" x14ac:dyDescent="0.2">
      <c r="A1779" s="99"/>
      <c r="B1779" s="99"/>
      <c r="C1779" s="102"/>
      <c r="D1779" s="102"/>
      <c r="E1779" s="102"/>
      <c r="F1779" s="102"/>
      <c r="G1779" s="102"/>
      <c r="H1779" s="102"/>
      <c r="I1779" s="102"/>
      <c r="J1779" s="102"/>
      <c r="K1779" s="102"/>
      <c r="L1779" s="102"/>
      <c r="M1779" s="102"/>
      <c r="N1779" s="102"/>
      <c r="O1779" s="102"/>
      <c r="P1779" s="102"/>
      <c r="Q1779" s="102"/>
      <c r="R1779" s="102"/>
    </row>
    <row r="1780" spans="1:18" ht="35.1" customHeight="1" x14ac:dyDescent="0.2">
      <c r="A1780" s="99"/>
      <c r="B1780" s="99"/>
      <c r="C1780" s="102"/>
      <c r="D1780" s="102"/>
      <c r="E1780" s="102"/>
      <c r="F1780" s="102"/>
      <c r="G1780" s="102"/>
      <c r="H1780" s="102"/>
      <c r="I1780" s="102"/>
      <c r="J1780" s="102"/>
      <c r="K1780" s="102"/>
      <c r="L1780" s="102"/>
      <c r="M1780" s="102"/>
      <c r="N1780" s="102"/>
      <c r="O1780" s="102"/>
      <c r="P1780" s="102"/>
      <c r="Q1780" s="102"/>
      <c r="R1780" s="102"/>
    </row>
    <row r="1781" spans="1:18" ht="35.1" customHeight="1" x14ac:dyDescent="0.2">
      <c r="A1781" s="99"/>
      <c r="B1781" s="99"/>
      <c r="C1781" s="102"/>
      <c r="D1781" s="102"/>
      <c r="E1781" s="102"/>
      <c r="F1781" s="102"/>
      <c r="G1781" s="102"/>
      <c r="H1781" s="102"/>
      <c r="I1781" s="102"/>
      <c r="J1781" s="102"/>
      <c r="K1781" s="102"/>
      <c r="L1781" s="102"/>
      <c r="M1781" s="102"/>
      <c r="N1781" s="102"/>
      <c r="O1781" s="102"/>
      <c r="P1781" s="102"/>
      <c r="Q1781" s="102"/>
      <c r="R1781" s="102"/>
    </row>
    <row r="1782" spans="1:18" ht="35.1" customHeight="1" x14ac:dyDescent="0.2">
      <c r="A1782" s="99"/>
      <c r="B1782" s="99"/>
      <c r="C1782" s="102"/>
      <c r="D1782" s="102"/>
      <c r="E1782" s="102"/>
      <c r="F1782" s="102"/>
      <c r="G1782" s="102"/>
      <c r="H1782" s="102"/>
      <c r="I1782" s="102"/>
      <c r="J1782" s="102"/>
      <c r="K1782" s="102"/>
      <c r="L1782" s="102"/>
      <c r="M1782" s="102"/>
      <c r="N1782" s="102"/>
      <c r="O1782" s="102"/>
      <c r="P1782" s="102"/>
      <c r="Q1782" s="102"/>
      <c r="R1782" s="102"/>
    </row>
    <row r="1783" spans="1:18" ht="35.1" customHeight="1" x14ac:dyDescent="0.2">
      <c r="A1783" s="99"/>
      <c r="B1783" s="99"/>
      <c r="C1783" s="102"/>
      <c r="D1783" s="102"/>
      <c r="E1783" s="102"/>
      <c r="F1783" s="102"/>
      <c r="G1783" s="102"/>
      <c r="H1783" s="102"/>
      <c r="I1783" s="102"/>
      <c r="J1783" s="102"/>
      <c r="K1783" s="102"/>
      <c r="L1783" s="102"/>
      <c r="M1783" s="102"/>
      <c r="N1783" s="102"/>
      <c r="O1783" s="102"/>
      <c r="P1783" s="102"/>
      <c r="Q1783" s="102"/>
      <c r="R1783" s="102"/>
    </row>
    <row r="1784" spans="1:18" ht="35.1" customHeight="1" x14ac:dyDescent="0.2">
      <c r="A1784" s="99"/>
      <c r="B1784" s="99"/>
      <c r="C1784" s="102"/>
      <c r="D1784" s="102"/>
      <c r="E1784" s="102"/>
      <c r="F1784" s="102"/>
      <c r="G1784" s="102"/>
      <c r="H1784" s="102"/>
      <c r="I1784" s="102"/>
      <c r="J1784" s="102"/>
      <c r="K1784" s="102"/>
      <c r="L1784" s="102"/>
      <c r="M1784" s="102"/>
      <c r="N1784" s="102"/>
      <c r="O1784" s="102"/>
      <c r="P1784" s="102"/>
      <c r="Q1784" s="102"/>
      <c r="R1784" s="102"/>
    </row>
    <row r="1785" spans="1:18" ht="35.1" customHeight="1" x14ac:dyDescent="0.2">
      <c r="A1785" s="99"/>
      <c r="B1785" s="99"/>
      <c r="C1785" s="102"/>
      <c r="D1785" s="102"/>
      <c r="E1785" s="102"/>
      <c r="F1785" s="102"/>
      <c r="G1785" s="102"/>
      <c r="H1785" s="102"/>
      <c r="I1785" s="102"/>
      <c r="J1785" s="102"/>
      <c r="K1785" s="102"/>
      <c r="L1785" s="102"/>
      <c r="M1785" s="102"/>
      <c r="N1785" s="102"/>
      <c r="O1785" s="102"/>
      <c r="P1785" s="102"/>
      <c r="Q1785" s="102"/>
      <c r="R1785" s="102"/>
    </row>
    <row r="1786" spans="1:18" ht="35.1" customHeight="1" x14ac:dyDescent="0.2">
      <c r="A1786" s="99"/>
      <c r="B1786" s="99"/>
      <c r="C1786" s="102"/>
      <c r="D1786" s="102"/>
      <c r="E1786" s="102"/>
      <c r="F1786" s="102"/>
      <c r="G1786" s="102"/>
      <c r="H1786" s="102"/>
      <c r="I1786" s="102"/>
      <c r="J1786" s="102"/>
      <c r="K1786" s="102"/>
      <c r="L1786" s="102"/>
      <c r="M1786" s="102"/>
      <c r="N1786" s="102"/>
      <c r="O1786" s="102"/>
      <c r="P1786" s="102"/>
      <c r="Q1786" s="102"/>
      <c r="R1786" s="102"/>
    </row>
    <row r="1787" spans="1:18" ht="35.1" customHeight="1" x14ac:dyDescent="0.2">
      <c r="A1787" s="99"/>
      <c r="B1787" s="99"/>
      <c r="C1787" s="102"/>
      <c r="D1787" s="102"/>
      <c r="E1787" s="102"/>
      <c r="F1787" s="102"/>
      <c r="G1787" s="102"/>
      <c r="H1787" s="102"/>
      <c r="I1787" s="102"/>
      <c r="J1787" s="102"/>
      <c r="K1787" s="102"/>
      <c r="L1787" s="102"/>
      <c r="M1787" s="102"/>
      <c r="N1787" s="102"/>
      <c r="O1787" s="102"/>
      <c r="P1787" s="102"/>
      <c r="Q1787" s="102"/>
      <c r="R1787" s="102"/>
    </row>
    <row r="1788" spans="1:18" ht="35.1" customHeight="1" x14ac:dyDescent="0.2">
      <c r="A1788" s="99"/>
      <c r="B1788" s="99"/>
      <c r="C1788" s="102"/>
      <c r="D1788" s="102"/>
      <c r="E1788" s="102"/>
      <c r="F1788" s="102"/>
      <c r="G1788" s="102"/>
      <c r="H1788" s="102"/>
      <c r="I1788" s="102"/>
      <c r="J1788" s="102"/>
      <c r="K1788" s="102"/>
      <c r="L1788" s="102"/>
      <c r="M1788" s="102"/>
      <c r="N1788" s="102"/>
      <c r="O1788" s="102"/>
      <c r="P1788" s="102"/>
      <c r="Q1788" s="102"/>
      <c r="R1788" s="102"/>
    </row>
    <row r="1789" spans="1:18" ht="35.1" customHeight="1" x14ac:dyDescent="0.2">
      <c r="A1789" s="99"/>
      <c r="B1789" s="99"/>
      <c r="C1789" s="102"/>
      <c r="D1789" s="102"/>
      <c r="E1789" s="102"/>
      <c r="F1789" s="102"/>
      <c r="G1789" s="102"/>
      <c r="H1789" s="102"/>
      <c r="I1789" s="102"/>
      <c r="J1789" s="102"/>
      <c r="K1789" s="102"/>
      <c r="L1789" s="102"/>
      <c r="M1789" s="102"/>
      <c r="N1789" s="102"/>
      <c r="O1789" s="102"/>
      <c r="P1789" s="102"/>
      <c r="Q1789" s="102"/>
      <c r="R1789" s="102"/>
    </row>
    <row r="1790" spans="1:18" ht="35.1" customHeight="1" x14ac:dyDescent="0.2">
      <c r="A1790" s="99"/>
      <c r="B1790" s="99"/>
      <c r="C1790" s="102"/>
      <c r="D1790" s="102"/>
      <c r="E1790" s="102"/>
      <c r="F1790" s="102"/>
      <c r="G1790" s="102"/>
      <c r="H1790" s="102"/>
      <c r="I1790" s="102"/>
      <c r="J1790" s="102"/>
      <c r="K1790" s="102"/>
      <c r="L1790" s="102"/>
      <c r="M1790" s="102"/>
      <c r="N1790" s="102"/>
      <c r="O1790" s="102"/>
      <c r="P1790" s="102"/>
      <c r="Q1790" s="102"/>
      <c r="R1790" s="102"/>
    </row>
    <row r="1791" spans="1:18" ht="35.1" customHeight="1" x14ac:dyDescent="0.2">
      <c r="A1791" s="99"/>
      <c r="B1791" s="99"/>
      <c r="C1791" s="102"/>
      <c r="D1791" s="102"/>
      <c r="E1791" s="102"/>
      <c r="F1791" s="102"/>
      <c r="G1791" s="102"/>
      <c r="H1791" s="102"/>
      <c r="I1791" s="102"/>
      <c r="J1791" s="102"/>
      <c r="K1791" s="102"/>
      <c r="L1791" s="102"/>
      <c r="M1791" s="102"/>
      <c r="N1791" s="102"/>
      <c r="O1791" s="102"/>
      <c r="P1791" s="102"/>
      <c r="Q1791" s="102"/>
      <c r="R1791" s="102"/>
    </row>
    <row r="1792" spans="1:18" ht="35.1" customHeight="1" x14ac:dyDescent="0.2">
      <c r="A1792" s="99"/>
      <c r="B1792" s="99"/>
      <c r="C1792" s="102"/>
      <c r="D1792" s="102"/>
      <c r="E1792" s="102"/>
      <c r="F1792" s="102"/>
      <c r="G1792" s="102"/>
      <c r="H1792" s="102"/>
      <c r="I1792" s="102"/>
      <c r="J1792" s="102"/>
      <c r="K1792" s="102"/>
      <c r="L1792" s="102"/>
      <c r="M1792" s="102"/>
      <c r="N1792" s="102"/>
      <c r="O1792" s="102"/>
      <c r="P1792" s="102"/>
      <c r="Q1792" s="102"/>
      <c r="R1792" s="102"/>
    </row>
    <row r="1793" spans="1:18" ht="35.1" customHeight="1" x14ac:dyDescent="0.2">
      <c r="A1793" s="99"/>
      <c r="B1793" s="99"/>
      <c r="C1793" s="102"/>
      <c r="D1793" s="102"/>
      <c r="E1793" s="102"/>
      <c r="F1793" s="102"/>
      <c r="G1793" s="102"/>
      <c r="H1793" s="102"/>
      <c r="I1793" s="102"/>
      <c r="J1793" s="102"/>
      <c r="K1793" s="102"/>
      <c r="L1793" s="102"/>
      <c r="M1793" s="102"/>
      <c r="N1793" s="102"/>
      <c r="O1793" s="102"/>
      <c r="P1793" s="102"/>
      <c r="Q1793" s="102"/>
      <c r="R1793" s="102"/>
    </row>
    <row r="1794" spans="1:18" ht="35.1" customHeight="1" x14ac:dyDescent="0.2">
      <c r="A1794" s="99"/>
      <c r="B1794" s="99"/>
      <c r="C1794" s="102"/>
      <c r="D1794" s="102"/>
      <c r="E1794" s="102"/>
      <c r="F1794" s="102"/>
      <c r="G1794" s="102"/>
      <c r="H1794" s="102"/>
      <c r="I1794" s="102"/>
      <c r="J1794" s="102"/>
      <c r="K1794" s="102"/>
      <c r="L1794" s="102"/>
      <c r="M1794" s="102"/>
      <c r="N1794" s="102"/>
      <c r="O1794" s="102"/>
      <c r="P1794" s="102"/>
      <c r="Q1794" s="102"/>
      <c r="R1794" s="102"/>
    </row>
    <row r="1795" spans="1:18" ht="35.1" customHeight="1" x14ac:dyDescent="0.2">
      <c r="A1795" s="99"/>
      <c r="B1795" s="99"/>
      <c r="C1795" s="102"/>
      <c r="D1795" s="102"/>
      <c r="E1795" s="102"/>
      <c r="F1795" s="102"/>
      <c r="G1795" s="102"/>
      <c r="H1795" s="102"/>
      <c r="I1795" s="102"/>
      <c r="J1795" s="102"/>
      <c r="K1795" s="102"/>
      <c r="L1795" s="102"/>
      <c r="M1795" s="102"/>
      <c r="N1795" s="102"/>
      <c r="O1795" s="102"/>
      <c r="P1795" s="102"/>
      <c r="Q1795" s="102"/>
      <c r="R1795" s="102"/>
    </row>
    <row r="1796" spans="1:18" ht="35.1" customHeight="1" x14ac:dyDescent="0.2">
      <c r="A1796" s="99"/>
      <c r="B1796" s="99"/>
      <c r="C1796" s="102"/>
      <c r="D1796" s="102"/>
      <c r="E1796" s="102"/>
      <c r="F1796" s="102"/>
      <c r="G1796" s="102"/>
      <c r="H1796" s="102"/>
      <c r="I1796" s="102"/>
      <c r="J1796" s="102"/>
      <c r="K1796" s="102"/>
      <c r="L1796" s="102"/>
      <c r="M1796" s="102"/>
      <c r="N1796" s="102"/>
      <c r="O1796" s="102"/>
      <c r="P1796" s="102"/>
      <c r="Q1796" s="102"/>
      <c r="R1796" s="102"/>
    </row>
    <row r="1797" spans="1:18" ht="35.1" customHeight="1" x14ac:dyDescent="0.2">
      <c r="A1797" s="99"/>
      <c r="B1797" s="99"/>
      <c r="C1797" s="102"/>
      <c r="D1797" s="102"/>
      <c r="E1797" s="102"/>
      <c r="F1797" s="102"/>
      <c r="G1797" s="102"/>
      <c r="H1797" s="102"/>
      <c r="I1797" s="102"/>
      <c r="J1797" s="102"/>
      <c r="K1797" s="102"/>
      <c r="L1797" s="102"/>
      <c r="M1797" s="102"/>
      <c r="N1797" s="102"/>
      <c r="O1797" s="102"/>
      <c r="P1797" s="102"/>
      <c r="Q1797" s="102"/>
      <c r="R1797" s="102"/>
    </row>
    <row r="1798" spans="1:18" ht="35.1" customHeight="1" x14ac:dyDescent="0.2">
      <c r="A1798" s="99"/>
      <c r="B1798" s="99"/>
      <c r="C1798" s="102"/>
      <c r="D1798" s="102"/>
      <c r="E1798" s="102"/>
      <c r="F1798" s="102"/>
      <c r="G1798" s="102"/>
      <c r="H1798" s="102"/>
      <c r="I1798" s="102"/>
      <c r="J1798" s="102"/>
      <c r="K1798" s="102"/>
      <c r="L1798" s="102"/>
      <c r="M1798" s="102"/>
      <c r="N1798" s="102"/>
      <c r="O1798" s="102"/>
      <c r="P1798" s="102"/>
      <c r="Q1798" s="102"/>
      <c r="R1798" s="102"/>
    </row>
    <row r="1799" spans="1:18" ht="35.1" customHeight="1" x14ac:dyDescent="0.2">
      <c r="A1799" s="99"/>
      <c r="B1799" s="99"/>
      <c r="C1799" s="102"/>
      <c r="D1799" s="102"/>
      <c r="E1799" s="102"/>
      <c r="F1799" s="102"/>
      <c r="G1799" s="102"/>
      <c r="H1799" s="102"/>
      <c r="I1799" s="102"/>
      <c r="J1799" s="102"/>
      <c r="K1799" s="102"/>
      <c r="L1799" s="102"/>
      <c r="M1799" s="102"/>
      <c r="N1799" s="102"/>
      <c r="O1799" s="102"/>
      <c r="P1799" s="102"/>
      <c r="Q1799" s="102"/>
      <c r="R1799" s="102"/>
    </row>
    <row r="1800" spans="1:18" ht="35.1" customHeight="1" x14ac:dyDescent="0.2">
      <c r="A1800" s="99"/>
      <c r="B1800" s="99"/>
      <c r="C1800" s="102"/>
      <c r="D1800" s="102"/>
      <c r="E1800" s="102"/>
      <c r="F1800" s="102"/>
      <c r="G1800" s="102"/>
      <c r="H1800" s="102"/>
      <c r="I1800" s="102"/>
      <c r="J1800" s="102"/>
      <c r="K1800" s="102"/>
      <c r="L1800" s="102"/>
      <c r="M1800" s="102"/>
      <c r="N1800" s="102"/>
      <c r="O1800" s="102"/>
      <c r="P1800" s="102"/>
      <c r="Q1800" s="102"/>
      <c r="R1800" s="102"/>
    </row>
    <row r="1801" spans="1:18" ht="35.1" customHeight="1" x14ac:dyDescent="0.2">
      <c r="A1801" s="99"/>
      <c r="B1801" s="99"/>
      <c r="C1801" s="102"/>
      <c r="D1801" s="102"/>
      <c r="E1801" s="102"/>
      <c r="F1801" s="102"/>
      <c r="G1801" s="102"/>
      <c r="H1801" s="102"/>
      <c r="I1801" s="102"/>
      <c r="J1801" s="102"/>
      <c r="K1801" s="102"/>
      <c r="L1801" s="102"/>
      <c r="M1801" s="102"/>
      <c r="N1801" s="102"/>
      <c r="O1801" s="102"/>
      <c r="P1801" s="102"/>
      <c r="Q1801" s="102"/>
      <c r="R1801" s="102"/>
    </row>
    <row r="1802" spans="1:18" ht="35.1" customHeight="1" x14ac:dyDescent="0.2">
      <c r="A1802" s="99"/>
      <c r="B1802" s="99"/>
      <c r="C1802" s="102"/>
      <c r="D1802" s="102"/>
      <c r="E1802" s="102"/>
      <c r="F1802" s="102"/>
      <c r="G1802" s="102"/>
      <c r="H1802" s="102"/>
      <c r="I1802" s="102"/>
      <c r="J1802" s="102"/>
      <c r="K1802" s="102"/>
      <c r="L1802" s="102"/>
      <c r="M1802" s="102"/>
      <c r="N1802" s="102"/>
      <c r="O1802" s="102"/>
      <c r="P1802" s="102"/>
      <c r="Q1802" s="102"/>
      <c r="R1802" s="102"/>
    </row>
    <row r="1803" spans="1:18" ht="35.1" customHeight="1" x14ac:dyDescent="0.2">
      <c r="A1803" s="99"/>
      <c r="B1803" s="99"/>
      <c r="C1803" s="102"/>
      <c r="D1803" s="102"/>
      <c r="E1803" s="102"/>
      <c r="F1803" s="102"/>
      <c r="G1803" s="102"/>
      <c r="H1803" s="102"/>
      <c r="I1803" s="102"/>
      <c r="J1803" s="102"/>
      <c r="K1803" s="102"/>
      <c r="L1803" s="102"/>
      <c r="M1803" s="102"/>
      <c r="N1803" s="102"/>
      <c r="O1803" s="102"/>
      <c r="P1803" s="102"/>
      <c r="Q1803" s="102"/>
      <c r="R1803" s="102"/>
    </row>
    <row r="1804" spans="1:18" ht="35.1" customHeight="1" x14ac:dyDescent="0.2">
      <c r="A1804" s="99"/>
      <c r="B1804" s="99"/>
      <c r="C1804" s="102"/>
      <c r="D1804" s="102"/>
      <c r="E1804" s="102"/>
      <c r="F1804" s="102"/>
      <c r="G1804" s="102"/>
      <c r="H1804" s="102"/>
      <c r="I1804" s="102"/>
      <c r="J1804" s="102"/>
      <c r="K1804" s="102"/>
      <c r="L1804" s="102"/>
      <c r="M1804" s="102"/>
      <c r="N1804" s="102"/>
      <c r="O1804" s="102"/>
      <c r="P1804" s="102"/>
      <c r="Q1804" s="102"/>
      <c r="R1804" s="102"/>
    </row>
    <row r="1805" spans="1:18" ht="35.1" customHeight="1" x14ac:dyDescent="0.2">
      <c r="A1805" s="99"/>
      <c r="B1805" s="99"/>
      <c r="C1805" s="102"/>
      <c r="D1805" s="102"/>
      <c r="E1805" s="102"/>
      <c r="F1805" s="102"/>
      <c r="G1805" s="102"/>
      <c r="H1805" s="102"/>
      <c r="I1805" s="102"/>
      <c r="J1805" s="102"/>
      <c r="K1805" s="102"/>
      <c r="L1805" s="102"/>
      <c r="M1805" s="102"/>
      <c r="N1805" s="102"/>
      <c r="O1805" s="102"/>
      <c r="P1805" s="102"/>
      <c r="Q1805" s="102"/>
      <c r="R1805" s="102"/>
    </row>
    <row r="1806" spans="1:18" ht="35.1" customHeight="1" x14ac:dyDescent="0.2">
      <c r="A1806" s="99"/>
      <c r="B1806" s="99"/>
      <c r="C1806" s="102"/>
      <c r="D1806" s="102"/>
      <c r="E1806" s="102"/>
      <c r="F1806" s="102"/>
      <c r="G1806" s="102"/>
      <c r="H1806" s="102"/>
      <c r="I1806" s="102"/>
      <c r="J1806" s="102"/>
      <c r="K1806" s="102"/>
      <c r="L1806" s="102"/>
      <c r="M1806" s="102"/>
      <c r="N1806" s="102"/>
      <c r="O1806" s="102"/>
      <c r="P1806" s="102"/>
      <c r="Q1806" s="102"/>
      <c r="R1806" s="102"/>
    </row>
    <row r="1807" spans="1:18" ht="35.1" customHeight="1" x14ac:dyDescent="0.2">
      <c r="A1807" s="99"/>
      <c r="B1807" s="99"/>
      <c r="C1807" s="102"/>
      <c r="D1807" s="102"/>
      <c r="E1807" s="102"/>
      <c r="F1807" s="102"/>
      <c r="G1807" s="102"/>
      <c r="H1807" s="102"/>
      <c r="I1807" s="102"/>
      <c r="J1807" s="102"/>
      <c r="K1807" s="102"/>
      <c r="L1807" s="102"/>
      <c r="M1807" s="102"/>
      <c r="N1807" s="102"/>
      <c r="O1807" s="102"/>
      <c r="P1807" s="102"/>
      <c r="Q1807" s="102"/>
      <c r="R1807" s="102"/>
    </row>
    <row r="1808" spans="1:18" ht="35.1" customHeight="1" x14ac:dyDescent="0.2">
      <c r="A1808" s="99"/>
      <c r="B1808" s="99"/>
      <c r="C1808" s="102"/>
      <c r="D1808" s="102"/>
      <c r="E1808" s="102"/>
      <c r="F1808" s="102"/>
      <c r="G1808" s="102"/>
      <c r="H1808" s="102"/>
      <c r="I1808" s="102"/>
      <c r="J1808" s="102"/>
      <c r="K1808" s="102"/>
      <c r="L1808" s="102"/>
      <c r="M1808" s="102"/>
      <c r="N1808" s="102"/>
      <c r="O1808" s="102"/>
      <c r="P1808" s="102"/>
      <c r="Q1808" s="102"/>
      <c r="R1808" s="102"/>
    </row>
    <row r="1809" spans="1:18" ht="35.1" customHeight="1" x14ac:dyDescent="0.2">
      <c r="A1809" s="99"/>
      <c r="B1809" s="99"/>
      <c r="C1809" s="102"/>
      <c r="D1809" s="102"/>
      <c r="E1809" s="102"/>
      <c r="F1809" s="102"/>
      <c r="G1809" s="102"/>
      <c r="H1809" s="102"/>
      <c r="I1809" s="102"/>
      <c r="J1809" s="102"/>
      <c r="K1809" s="102"/>
      <c r="L1809" s="102"/>
      <c r="M1809" s="102"/>
      <c r="N1809" s="102"/>
      <c r="O1809" s="102"/>
      <c r="P1809" s="102"/>
      <c r="Q1809" s="102"/>
      <c r="R1809" s="102"/>
    </row>
    <row r="1810" spans="1:18" ht="35.1" customHeight="1" x14ac:dyDescent="0.2">
      <c r="A1810" s="99"/>
      <c r="B1810" s="99"/>
      <c r="C1810" s="102"/>
      <c r="D1810" s="102"/>
      <c r="E1810" s="102"/>
      <c r="F1810" s="102"/>
      <c r="G1810" s="102"/>
      <c r="H1810" s="102"/>
      <c r="I1810" s="102"/>
      <c r="J1810" s="102"/>
      <c r="K1810" s="102"/>
      <c r="L1810" s="102"/>
      <c r="M1810" s="102"/>
      <c r="N1810" s="102"/>
      <c r="O1810" s="102"/>
      <c r="P1810" s="102"/>
      <c r="Q1810" s="102"/>
      <c r="R1810" s="102"/>
    </row>
    <row r="1811" spans="1:18" ht="35.1" customHeight="1" x14ac:dyDescent="0.2">
      <c r="A1811" s="99"/>
      <c r="B1811" s="99"/>
      <c r="C1811" s="102"/>
      <c r="D1811" s="102"/>
      <c r="E1811" s="102"/>
      <c r="F1811" s="102"/>
      <c r="G1811" s="102"/>
      <c r="H1811" s="102"/>
      <c r="I1811" s="102"/>
      <c r="J1811" s="102"/>
      <c r="K1811" s="102"/>
      <c r="L1811" s="102"/>
      <c r="M1811" s="102"/>
      <c r="N1811" s="102"/>
      <c r="O1811" s="102"/>
      <c r="P1811" s="102"/>
      <c r="Q1811" s="102"/>
      <c r="R1811" s="102"/>
    </row>
    <row r="1812" spans="1:18" ht="35.1" customHeight="1" x14ac:dyDescent="0.2">
      <c r="A1812" s="99"/>
      <c r="B1812" s="99"/>
      <c r="C1812" s="102"/>
      <c r="D1812" s="102"/>
      <c r="E1812" s="102"/>
      <c r="F1812" s="102"/>
      <c r="G1812" s="102"/>
      <c r="H1812" s="102"/>
      <c r="I1812" s="102"/>
      <c r="J1812" s="102"/>
      <c r="K1812" s="102"/>
      <c r="L1812" s="102"/>
      <c r="M1812" s="102"/>
      <c r="N1812" s="102"/>
      <c r="O1812" s="102"/>
      <c r="P1812" s="102"/>
      <c r="Q1812" s="102"/>
      <c r="R1812" s="102"/>
    </row>
    <row r="1813" spans="1:18" ht="35.1" customHeight="1" x14ac:dyDescent="0.2">
      <c r="A1813" s="99"/>
      <c r="B1813" s="99"/>
      <c r="C1813" s="102"/>
      <c r="D1813" s="102"/>
      <c r="E1813" s="102"/>
      <c r="F1813" s="102"/>
      <c r="G1813" s="102"/>
      <c r="H1813" s="102"/>
      <c r="I1813" s="102"/>
      <c r="J1813" s="102"/>
      <c r="K1813" s="102"/>
      <c r="L1813" s="102"/>
      <c r="M1813" s="102"/>
      <c r="N1813" s="102"/>
      <c r="O1813" s="102"/>
      <c r="P1813" s="102"/>
      <c r="Q1813" s="102"/>
      <c r="R1813" s="102"/>
    </row>
    <row r="1814" spans="1:18" ht="35.1" customHeight="1" x14ac:dyDescent="0.2">
      <c r="A1814" s="99"/>
      <c r="B1814" s="99"/>
      <c r="C1814" s="102"/>
      <c r="D1814" s="102"/>
      <c r="E1814" s="102"/>
      <c r="F1814" s="102"/>
      <c r="G1814" s="102"/>
      <c r="H1814" s="102"/>
      <c r="I1814" s="102"/>
      <c r="J1814" s="102"/>
      <c r="K1814" s="102"/>
      <c r="L1814" s="102"/>
      <c r="M1814" s="102"/>
      <c r="N1814" s="102"/>
      <c r="O1814" s="102"/>
      <c r="P1814" s="102"/>
      <c r="Q1814" s="102"/>
      <c r="R1814" s="102"/>
    </row>
    <row r="1815" spans="1:18" ht="35.1" customHeight="1" x14ac:dyDescent="0.2">
      <c r="A1815" s="99"/>
      <c r="B1815" s="99"/>
      <c r="C1815" s="102"/>
      <c r="D1815" s="102"/>
      <c r="E1815" s="102"/>
      <c r="F1815" s="102"/>
      <c r="G1815" s="102"/>
      <c r="H1815" s="102"/>
      <c r="I1815" s="102"/>
      <c r="J1815" s="102"/>
      <c r="K1815" s="102"/>
      <c r="L1815" s="102"/>
      <c r="M1815" s="102"/>
      <c r="N1815" s="102"/>
      <c r="O1815" s="102"/>
      <c r="P1815" s="102"/>
      <c r="Q1815" s="102"/>
      <c r="R1815" s="102"/>
    </row>
    <row r="1816" spans="1:18" ht="35.1" customHeight="1" x14ac:dyDescent="0.2">
      <c r="A1816" s="99"/>
      <c r="B1816" s="99"/>
      <c r="C1816" s="102"/>
      <c r="D1816" s="102"/>
      <c r="E1816" s="102"/>
      <c r="F1816" s="102"/>
      <c r="G1816" s="102"/>
      <c r="H1816" s="102"/>
      <c r="I1816" s="102"/>
      <c r="J1816" s="102"/>
      <c r="K1816" s="102"/>
      <c r="L1816" s="102"/>
      <c r="M1816" s="102"/>
      <c r="N1816" s="102"/>
      <c r="O1816" s="102"/>
      <c r="P1816" s="102"/>
      <c r="Q1816" s="102"/>
      <c r="R1816" s="102"/>
    </row>
    <row r="1817" spans="1:18" ht="35.1" customHeight="1" x14ac:dyDescent="0.2">
      <c r="A1817" s="99"/>
      <c r="B1817" s="99"/>
      <c r="C1817" s="102"/>
      <c r="D1817" s="102"/>
      <c r="E1817" s="102"/>
      <c r="F1817" s="102"/>
      <c r="G1817" s="102"/>
      <c r="H1817" s="102"/>
      <c r="I1817" s="102"/>
      <c r="J1817" s="102"/>
      <c r="K1817" s="102"/>
      <c r="L1817" s="102"/>
      <c r="M1817" s="102"/>
      <c r="N1817" s="102"/>
      <c r="O1817" s="102"/>
      <c r="P1817" s="102"/>
      <c r="Q1817" s="102"/>
      <c r="R1817" s="102"/>
    </row>
    <row r="1818" spans="1:18" ht="35.1" customHeight="1" x14ac:dyDescent="0.2">
      <c r="A1818" s="99"/>
      <c r="B1818" s="99"/>
      <c r="C1818" s="102"/>
      <c r="D1818" s="102"/>
      <c r="E1818" s="102"/>
      <c r="F1818" s="102"/>
      <c r="G1818" s="102"/>
      <c r="H1818" s="102"/>
      <c r="I1818" s="102"/>
      <c r="J1818" s="102"/>
      <c r="K1818" s="102"/>
      <c r="L1818" s="102"/>
      <c r="M1818" s="102"/>
      <c r="N1818" s="102"/>
      <c r="O1818" s="102"/>
      <c r="P1818" s="102"/>
      <c r="Q1818" s="102"/>
      <c r="R1818" s="102"/>
    </row>
    <row r="1819" spans="1:18" ht="35.1" customHeight="1" x14ac:dyDescent="0.2">
      <c r="A1819" s="99"/>
      <c r="B1819" s="99"/>
      <c r="C1819" s="102"/>
      <c r="D1819" s="102"/>
      <c r="E1819" s="102"/>
      <c r="F1819" s="102"/>
      <c r="G1819" s="102"/>
      <c r="H1819" s="102"/>
      <c r="I1819" s="102"/>
      <c r="J1819" s="102"/>
      <c r="K1819" s="102"/>
      <c r="L1819" s="102"/>
      <c r="M1819" s="102"/>
      <c r="N1819" s="102"/>
      <c r="O1819" s="102"/>
      <c r="P1819" s="102"/>
      <c r="Q1819" s="102"/>
      <c r="R1819" s="102"/>
    </row>
    <row r="1820" spans="1:18" ht="35.1" customHeight="1" x14ac:dyDescent="0.2">
      <c r="A1820" s="99"/>
      <c r="B1820" s="99"/>
      <c r="C1820" s="102"/>
      <c r="D1820" s="102"/>
      <c r="E1820" s="102"/>
      <c r="F1820" s="102"/>
      <c r="G1820" s="102"/>
      <c r="H1820" s="102"/>
      <c r="I1820" s="102"/>
      <c r="J1820" s="102"/>
      <c r="K1820" s="102"/>
      <c r="L1820" s="102"/>
      <c r="M1820" s="102"/>
      <c r="N1820" s="102"/>
      <c r="O1820" s="102"/>
      <c r="P1820" s="102"/>
      <c r="Q1820" s="102"/>
      <c r="R1820" s="102"/>
    </row>
    <row r="1821" spans="1:18" ht="35.1" customHeight="1" x14ac:dyDescent="0.2">
      <c r="A1821" s="99"/>
      <c r="B1821" s="99"/>
      <c r="C1821" s="102"/>
      <c r="D1821" s="102"/>
      <c r="E1821" s="102"/>
      <c r="F1821" s="102"/>
      <c r="G1821" s="102"/>
      <c r="H1821" s="102"/>
      <c r="I1821" s="102"/>
      <c r="J1821" s="102"/>
      <c r="K1821" s="102"/>
      <c r="L1821" s="102"/>
      <c r="M1821" s="102"/>
      <c r="N1821" s="102"/>
      <c r="O1821" s="102"/>
      <c r="P1821" s="102"/>
      <c r="Q1821" s="102"/>
      <c r="R1821" s="102"/>
    </row>
    <row r="1822" spans="1:18" ht="35.1" customHeight="1" x14ac:dyDescent="0.2">
      <c r="A1822" s="99"/>
      <c r="B1822" s="99"/>
      <c r="C1822" s="102"/>
      <c r="D1822" s="102"/>
      <c r="E1822" s="102"/>
      <c r="F1822" s="102"/>
      <c r="G1822" s="102"/>
      <c r="H1822" s="102"/>
      <c r="I1822" s="102"/>
      <c r="J1822" s="102"/>
      <c r="K1822" s="102"/>
      <c r="L1822" s="102"/>
      <c r="M1822" s="102"/>
      <c r="N1822" s="102"/>
      <c r="O1822" s="102"/>
      <c r="P1822" s="102"/>
      <c r="Q1822" s="102"/>
      <c r="R1822" s="102"/>
    </row>
    <row r="1823" spans="1:18" ht="35.1" customHeight="1" x14ac:dyDescent="0.2">
      <c r="A1823" s="99"/>
      <c r="B1823" s="99"/>
      <c r="C1823" s="102"/>
      <c r="D1823" s="102"/>
      <c r="E1823" s="102"/>
      <c r="F1823" s="102"/>
      <c r="G1823" s="102"/>
      <c r="H1823" s="102"/>
      <c r="I1823" s="102"/>
      <c r="J1823" s="102"/>
      <c r="K1823" s="102"/>
      <c r="L1823" s="102"/>
      <c r="M1823" s="102"/>
      <c r="N1823" s="102"/>
      <c r="O1823" s="102"/>
      <c r="P1823" s="102"/>
      <c r="Q1823" s="102"/>
      <c r="R1823" s="102"/>
    </row>
    <row r="1824" spans="1:18" ht="35.1" customHeight="1" x14ac:dyDescent="0.2">
      <c r="A1824" s="99"/>
      <c r="B1824" s="99"/>
      <c r="C1824" s="102"/>
      <c r="D1824" s="102"/>
      <c r="E1824" s="102"/>
      <c r="F1824" s="102"/>
      <c r="G1824" s="102"/>
      <c r="H1824" s="102"/>
      <c r="I1824" s="102"/>
      <c r="J1824" s="102"/>
      <c r="K1824" s="102"/>
      <c r="L1824" s="102"/>
      <c r="M1824" s="102"/>
      <c r="N1824" s="102"/>
      <c r="O1824" s="102"/>
      <c r="P1824" s="102"/>
      <c r="Q1824" s="102"/>
      <c r="R1824" s="102"/>
    </row>
    <row r="1825" spans="1:18" ht="35.1" customHeight="1" x14ac:dyDescent="0.2">
      <c r="A1825" s="99"/>
      <c r="B1825" s="99"/>
      <c r="C1825" s="102"/>
      <c r="D1825" s="102"/>
      <c r="E1825" s="102"/>
      <c r="F1825" s="102"/>
      <c r="G1825" s="102"/>
      <c r="H1825" s="102"/>
      <c r="I1825" s="102"/>
      <c r="J1825" s="102"/>
      <c r="K1825" s="102"/>
      <c r="L1825" s="102"/>
      <c r="M1825" s="102"/>
      <c r="N1825" s="102"/>
      <c r="O1825" s="102"/>
      <c r="P1825" s="102"/>
      <c r="Q1825" s="102"/>
      <c r="R1825" s="102"/>
    </row>
    <row r="1826" spans="1:18" ht="35.1" customHeight="1" x14ac:dyDescent="0.2">
      <c r="A1826" s="99"/>
      <c r="B1826" s="99"/>
      <c r="C1826" s="102"/>
      <c r="D1826" s="102"/>
      <c r="E1826" s="102"/>
      <c r="F1826" s="102"/>
      <c r="G1826" s="102"/>
      <c r="H1826" s="102"/>
      <c r="I1826" s="102"/>
      <c r="J1826" s="102"/>
      <c r="K1826" s="102"/>
      <c r="L1826" s="102"/>
      <c r="M1826" s="102"/>
      <c r="N1826" s="102"/>
      <c r="O1826" s="102"/>
      <c r="P1826" s="102"/>
      <c r="Q1826" s="102"/>
      <c r="R1826" s="102"/>
    </row>
    <row r="1827" spans="1:18" ht="35.1" customHeight="1" x14ac:dyDescent="0.2">
      <c r="A1827" s="99"/>
      <c r="B1827" s="99"/>
      <c r="C1827" s="102"/>
      <c r="D1827" s="102"/>
      <c r="E1827" s="102"/>
      <c r="F1827" s="102"/>
      <c r="G1827" s="102"/>
      <c r="H1827" s="102"/>
      <c r="I1827" s="102"/>
      <c r="J1827" s="102"/>
      <c r="K1827" s="102"/>
      <c r="L1827" s="102"/>
      <c r="M1827" s="102"/>
      <c r="N1827" s="102"/>
      <c r="O1827" s="102"/>
      <c r="P1827" s="102"/>
      <c r="Q1827" s="102"/>
      <c r="R1827" s="102"/>
    </row>
    <row r="1828" spans="1:18" ht="35.1" customHeight="1" x14ac:dyDescent="0.2">
      <c r="A1828" s="99"/>
      <c r="B1828" s="99"/>
      <c r="C1828" s="102"/>
      <c r="D1828" s="102"/>
      <c r="E1828" s="102"/>
      <c r="F1828" s="102"/>
      <c r="G1828" s="102"/>
      <c r="H1828" s="102"/>
      <c r="I1828" s="102"/>
      <c r="J1828" s="102"/>
      <c r="K1828" s="102"/>
      <c r="L1828" s="102"/>
      <c r="M1828" s="102"/>
      <c r="N1828" s="102"/>
      <c r="O1828" s="102"/>
      <c r="P1828" s="102"/>
      <c r="Q1828" s="102"/>
      <c r="R1828" s="102"/>
    </row>
    <row r="1829" spans="1:18" ht="35.1" customHeight="1" x14ac:dyDescent="0.2">
      <c r="A1829" s="99"/>
      <c r="B1829" s="99"/>
      <c r="C1829" s="102"/>
      <c r="D1829" s="102"/>
      <c r="E1829" s="102"/>
      <c r="F1829" s="102"/>
      <c r="G1829" s="102"/>
      <c r="H1829" s="102"/>
      <c r="I1829" s="102"/>
      <c r="J1829" s="102"/>
      <c r="K1829" s="102"/>
      <c r="L1829" s="102"/>
      <c r="M1829" s="102"/>
      <c r="N1829" s="102"/>
      <c r="O1829" s="102"/>
      <c r="P1829" s="102"/>
      <c r="Q1829" s="102"/>
      <c r="R1829" s="102"/>
    </row>
    <row r="1830" spans="1:18" ht="35.1" customHeight="1" x14ac:dyDescent="0.2">
      <c r="A1830" s="99"/>
      <c r="B1830" s="99"/>
      <c r="C1830" s="102"/>
      <c r="D1830" s="102"/>
      <c r="E1830" s="102"/>
      <c r="F1830" s="102"/>
      <c r="G1830" s="102"/>
      <c r="H1830" s="102"/>
      <c r="I1830" s="102"/>
      <c r="J1830" s="102"/>
      <c r="K1830" s="102"/>
      <c r="L1830" s="102"/>
      <c r="M1830" s="102"/>
      <c r="N1830" s="102"/>
      <c r="O1830" s="102"/>
      <c r="P1830" s="102"/>
      <c r="Q1830" s="102"/>
      <c r="R1830" s="102"/>
    </row>
    <row r="1831" spans="1:18" ht="35.1" customHeight="1" x14ac:dyDescent="0.2">
      <c r="A1831" s="99"/>
      <c r="B1831" s="99"/>
      <c r="C1831" s="102"/>
      <c r="D1831" s="102"/>
      <c r="E1831" s="102"/>
      <c r="F1831" s="102"/>
      <c r="G1831" s="102"/>
      <c r="H1831" s="102"/>
      <c r="I1831" s="102"/>
      <c r="J1831" s="102"/>
      <c r="K1831" s="102"/>
      <c r="L1831" s="102"/>
      <c r="M1831" s="102"/>
      <c r="N1831" s="102"/>
      <c r="O1831" s="102"/>
      <c r="P1831" s="102"/>
      <c r="Q1831" s="102"/>
      <c r="R1831" s="102"/>
    </row>
    <row r="1832" spans="1:18" ht="35.1" customHeight="1" x14ac:dyDescent="0.2">
      <c r="A1832" s="99"/>
      <c r="B1832" s="99"/>
      <c r="C1832" s="102"/>
      <c r="D1832" s="102"/>
      <c r="E1832" s="102"/>
      <c r="F1832" s="102"/>
      <c r="G1832" s="102"/>
      <c r="H1832" s="102"/>
      <c r="I1832" s="102"/>
      <c r="J1832" s="102"/>
      <c r="K1832" s="102"/>
      <c r="L1832" s="102"/>
      <c r="M1832" s="102"/>
      <c r="N1832" s="102"/>
      <c r="O1832" s="102"/>
      <c r="P1832" s="102"/>
      <c r="Q1832" s="102"/>
      <c r="R1832" s="102"/>
    </row>
    <row r="1833" spans="1:18" ht="35.1" customHeight="1" x14ac:dyDescent="0.2">
      <c r="A1833" s="99"/>
      <c r="B1833" s="99"/>
      <c r="C1833" s="102"/>
      <c r="D1833" s="102"/>
      <c r="E1833" s="102"/>
      <c r="F1833" s="102"/>
      <c r="G1833" s="102"/>
      <c r="H1833" s="102"/>
      <c r="I1833" s="102"/>
      <c r="J1833" s="102"/>
      <c r="K1833" s="102"/>
      <c r="L1833" s="102"/>
      <c r="M1833" s="102"/>
      <c r="N1833" s="102"/>
      <c r="O1833" s="102"/>
      <c r="P1833" s="102"/>
      <c r="Q1833" s="102"/>
      <c r="R1833" s="102"/>
    </row>
    <row r="1834" spans="1:18" ht="35.1" customHeight="1" x14ac:dyDescent="0.2">
      <c r="A1834" s="99"/>
      <c r="B1834" s="99"/>
      <c r="C1834" s="102"/>
      <c r="D1834" s="102"/>
      <c r="E1834" s="102"/>
      <c r="F1834" s="102"/>
      <c r="G1834" s="102"/>
      <c r="H1834" s="102"/>
      <c r="I1834" s="102"/>
      <c r="J1834" s="102"/>
      <c r="K1834" s="102"/>
      <c r="L1834" s="102"/>
      <c r="M1834" s="102"/>
      <c r="N1834" s="102"/>
      <c r="O1834" s="102"/>
      <c r="P1834" s="102"/>
      <c r="Q1834" s="102"/>
      <c r="R1834" s="102"/>
    </row>
    <row r="1835" spans="1:18" ht="35.1" customHeight="1" x14ac:dyDescent="0.2">
      <c r="A1835" s="99"/>
      <c r="B1835" s="99"/>
      <c r="C1835" s="102"/>
      <c r="D1835" s="102"/>
      <c r="E1835" s="102"/>
      <c r="F1835" s="102"/>
      <c r="G1835" s="102"/>
      <c r="H1835" s="102"/>
      <c r="I1835" s="102"/>
      <c r="J1835" s="102"/>
      <c r="K1835" s="102"/>
      <c r="L1835" s="102"/>
      <c r="M1835" s="102"/>
      <c r="N1835" s="102"/>
      <c r="O1835" s="102"/>
      <c r="P1835" s="102"/>
      <c r="Q1835" s="102"/>
      <c r="R1835" s="102"/>
    </row>
    <row r="1836" spans="1:18" ht="35.1" customHeight="1" x14ac:dyDescent="0.2">
      <c r="A1836" s="99"/>
      <c r="B1836" s="99"/>
      <c r="C1836" s="102"/>
      <c r="D1836" s="102"/>
      <c r="E1836" s="102"/>
      <c r="F1836" s="102"/>
      <c r="G1836" s="102"/>
      <c r="H1836" s="102"/>
      <c r="I1836" s="102"/>
      <c r="J1836" s="102"/>
      <c r="K1836" s="102"/>
      <c r="L1836" s="102"/>
      <c r="M1836" s="102"/>
      <c r="N1836" s="102"/>
      <c r="O1836" s="102"/>
      <c r="P1836" s="102"/>
      <c r="Q1836" s="102"/>
      <c r="R1836" s="102"/>
    </row>
    <row r="1837" spans="1:18" ht="35.1" customHeight="1" x14ac:dyDescent="0.2">
      <c r="A1837" s="99"/>
      <c r="B1837" s="99"/>
      <c r="C1837" s="102"/>
      <c r="D1837" s="102"/>
      <c r="E1837" s="102"/>
      <c r="F1837" s="102"/>
      <c r="G1837" s="102"/>
      <c r="H1837" s="102"/>
      <c r="I1837" s="102"/>
      <c r="J1837" s="102"/>
      <c r="K1837" s="102"/>
      <c r="L1837" s="102"/>
      <c r="M1837" s="102"/>
      <c r="N1837" s="102"/>
      <c r="O1837" s="102"/>
      <c r="P1837" s="102"/>
      <c r="Q1837" s="102"/>
      <c r="R1837" s="102"/>
    </row>
    <row r="1838" spans="1:18" ht="35.1" customHeight="1" x14ac:dyDescent="0.2">
      <c r="A1838" s="99"/>
      <c r="B1838" s="99"/>
      <c r="C1838" s="102"/>
      <c r="D1838" s="102"/>
      <c r="E1838" s="102"/>
      <c r="F1838" s="102"/>
      <c r="G1838" s="102"/>
      <c r="H1838" s="102"/>
      <c r="I1838" s="102"/>
      <c r="J1838" s="102"/>
      <c r="K1838" s="102"/>
      <c r="L1838" s="102"/>
      <c r="M1838" s="102"/>
      <c r="N1838" s="102"/>
      <c r="O1838" s="102"/>
      <c r="P1838" s="102"/>
      <c r="Q1838" s="102"/>
      <c r="R1838" s="102"/>
    </row>
    <row r="1839" spans="1:18" ht="35.1" customHeight="1" x14ac:dyDescent="0.2">
      <c r="A1839" s="99"/>
      <c r="B1839" s="99"/>
      <c r="C1839" s="102"/>
      <c r="D1839" s="102"/>
      <c r="E1839" s="102"/>
      <c r="F1839" s="102"/>
      <c r="G1839" s="102"/>
      <c r="H1839" s="102"/>
      <c r="I1839" s="102"/>
      <c r="J1839" s="102"/>
      <c r="K1839" s="102"/>
      <c r="L1839" s="102"/>
      <c r="M1839" s="102"/>
      <c r="N1839" s="102"/>
      <c r="O1839" s="102"/>
      <c r="P1839" s="102"/>
      <c r="Q1839" s="102"/>
      <c r="R1839" s="102"/>
    </row>
    <row r="1840" spans="1:18" ht="35.1" customHeight="1" x14ac:dyDescent="0.2">
      <c r="A1840" s="99"/>
      <c r="B1840" s="99"/>
      <c r="C1840" s="102"/>
      <c r="D1840" s="102"/>
      <c r="E1840" s="102"/>
      <c r="F1840" s="102"/>
      <c r="G1840" s="102"/>
      <c r="H1840" s="102"/>
      <c r="I1840" s="102"/>
      <c r="J1840" s="102"/>
      <c r="K1840" s="102"/>
      <c r="L1840" s="102"/>
      <c r="M1840" s="102"/>
      <c r="N1840" s="102"/>
      <c r="O1840" s="102"/>
      <c r="P1840" s="102"/>
      <c r="Q1840" s="102"/>
      <c r="R1840" s="102"/>
    </row>
    <row r="1841" spans="1:18" ht="35.1" customHeight="1" x14ac:dyDescent="0.2">
      <c r="A1841" s="99"/>
      <c r="B1841" s="99"/>
      <c r="C1841" s="102"/>
      <c r="D1841" s="102"/>
      <c r="E1841" s="102"/>
      <c r="F1841" s="102"/>
      <c r="G1841" s="102"/>
      <c r="H1841" s="102"/>
      <c r="I1841" s="102"/>
      <c r="J1841" s="102"/>
      <c r="K1841" s="102"/>
      <c r="L1841" s="102"/>
      <c r="M1841" s="102"/>
      <c r="N1841" s="102"/>
      <c r="O1841" s="102"/>
      <c r="P1841" s="102"/>
      <c r="Q1841" s="102"/>
      <c r="R1841" s="102"/>
    </row>
    <row r="1842" spans="1:18" ht="35.1" customHeight="1" x14ac:dyDescent="0.2">
      <c r="A1842" s="99"/>
      <c r="B1842" s="99"/>
      <c r="C1842" s="102"/>
      <c r="D1842" s="102"/>
      <c r="E1842" s="102"/>
      <c r="F1842" s="102"/>
      <c r="G1842" s="102"/>
      <c r="H1842" s="102"/>
      <c r="I1842" s="102"/>
      <c r="J1842" s="102"/>
      <c r="K1842" s="102"/>
      <c r="L1842" s="102"/>
      <c r="M1842" s="102"/>
      <c r="N1842" s="102"/>
      <c r="O1842" s="102"/>
      <c r="P1842" s="102"/>
      <c r="Q1842" s="102"/>
      <c r="R1842" s="102"/>
    </row>
    <row r="1843" spans="1:18" ht="35.1" customHeight="1" x14ac:dyDescent="0.2">
      <c r="A1843" s="99"/>
      <c r="B1843" s="99"/>
      <c r="C1843" s="102"/>
      <c r="D1843" s="102"/>
      <c r="E1843" s="102"/>
      <c r="F1843" s="102"/>
      <c r="G1843" s="102"/>
      <c r="H1843" s="102"/>
      <c r="I1843" s="102"/>
      <c r="J1843" s="102"/>
      <c r="K1843" s="102"/>
      <c r="L1843" s="102"/>
      <c r="M1843" s="102"/>
      <c r="N1843" s="102"/>
      <c r="O1843" s="102"/>
      <c r="P1843" s="102"/>
      <c r="Q1843" s="102"/>
      <c r="R1843" s="102"/>
    </row>
    <row r="1844" spans="1:18" ht="35.1" customHeight="1" x14ac:dyDescent="0.2">
      <c r="A1844" s="99"/>
      <c r="B1844" s="99"/>
      <c r="C1844" s="102"/>
      <c r="D1844" s="102"/>
      <c r="E1844" s="102"/>
      <c r="F1844" s="102"/>
      <c r="G1844" s="102"/>
      <c r="H1844" s="102"/>
      <c r="I1844" s="102"/>
      <c r="J1844" s="102"/>
      <c r="K1844" s="102"/>
      <c r="L1844" s="102"/>
      <c r="M1844" s="102"/>
      <c r="N1844" s="102"/>
      <c r="O1844" s="102"/>
      <c r="P1844" s="102"/>
      <c r="Q1844" s="102"/>
      <c r="R1844" s="102"/>
    </row>
    <row r="1845" spans="1:18" ht="35.1" customHeight="1" x14ac:dyDescent="0.2">
      <c r="A1845" s="99"/>
      <c r="B1845" s="99"/>
      <c r="C1845" s="102"/>
      <c r="D1845" s="102"/>
      <c r="E1845" s="102"/>
      <c r="F1845" s="102"/>
      <c r="G1845" s="102"/>
      <c r="H1845" s="102"/>
      <c r="I1845" s="102"/>
      <c r="J1845" s="102"/>
      <c r="K1845" s="102"/>
      <c r="L1845" s="102"/>
      <c r="M1845" s="102"/>
      <c r="N1845" s="102"/>
      <c r="O1845" s="102"/>
      <c r="P1845" s="102"/>
      <c r="Q1845" s="102"/>
      <c r="R1845" s="102"/>
    </row>
    <row r="1846" spans="1:18" ht="35.1" customHeight="1" x14ac:dyDescent="0.2">
      <c r="A1846" s="99"/>
      <c r="B1846" s="99"/>
      <c r="C1846" s="102"/>
      <c r="D1846" s="102"/>
      <c r="E1846" s="102"/>
      <c r="F1846" s="102"/>
      <c r="G1846" s="102"/>
      <c r="H1846" s="102"/>
      <c r="I1846" s="102"/>
      <c r="J1846" s="102"/>
      <c r="K1846" s="102"/>
      <c r="L1846" s="102"/>
      <c r="M1846" s="102"/>
      <c r="N1846" s="102"/>
      <c r="O1846" s="102"/>
      <c r="P1846" s="102"/>
      <c r="Q1846" s="102"/>
      <c r="R1846" s="102"/>
    </row>
    <row r="1847" spans="1:18" ht="35.1" customHeight="1" x14ac:dyDescent="0.2">
      <c r="A1847" s="99"/>
      <c r="B1847" s="99"/>
      <c r="C1847" s="102"/>
      <c r="D1847" s="102"/>
      <c r="E1847" s="102"/>
      <c r="F1847" s="102"/>
      <c r="G1847" s="102"/>
      <c r="H1847" s="102"/>
      <c r="I1847" s="102"/>
      <c r="J1847" s="102"/>
      <c r="K1847" s="102"/>
      <c r="L1847" s="102"/>
      <c r="M1847" s="102"/>
      <c r="N1847" s="102"/>
      <c r="O1847" s="102"/>
      <c r="P1847" s="102"/>
      <c r="Q1847" s="102"/>
      <c r="R1847" s="102"/>
    </row>
    <row r="1848" spans="1:18" ht="35.1" customHeight="1" x14ac:dyDescent="0.2">
      <c r="A1848" s="99"/>
      <c r="B1848" s="99"/>
      <c r="C1848" s="102"/>
      <c r="D1848" s="102"/>
      <c r="E1848" s="102"/>
      <c r="F1848" s="102"/>
      <c r="G1848" s="102"/>
      <c r="H1848" s="102"/>
      <c r="I1848" s="102"/>
      <c r="J1848" s="102"/>
      <c r="K1848" s="102"/>
      <c r="L1848" s="102"/>
      <c r="M1848" s="102"/>
      <c r="N1848" s="102"/>
      <c r="O1848" s="102"/>
      <c r="P1848" s="102"/>
      <c r="Q1848" s="102"/>
      <c r="R1848" s="102"/>
    </row>
    <row r="1849" spans="1:18" ht="35.1" customHeight="1" x14ac:dyDescent="0.2">
      <c r="A1849" s="99"/>
      <c r="B1849" s="99"/>
      <c r="C1849" s="102"/>
      <c r="D1849" s="102"/>
      <c r="E1849" s="102"/>
      <c r="F1849" s="102"/>
      <c r="G1849" s="102"/>
      <c r="H1849" s="102"/>
      <c r="I1849" s="102"/>
      <c r="J1849" s="102"/>
      <c r="K1849" s="102"/>
      <c r="L1849" s="102"/>
      <c r="M1849" s="102"/>
      <c r="N1849" s="102"/>
      <c r="O1849" s="102"/>
      <c r="P1849" s="102"/>
      <c r="Q1849" s="102"/>
      <c r="R1849" s="102"/>
    </row>
    <row r="1850" spans="1:18" ht="35.1" customHeight="1" x14ac:dyDescent="0.2">
      <c r="A1850" s="99"/>
      <c r="B1850" s="99"/>
      <c r="C1850" s="102"/>
      <c r="D1850" s="102"/>
      <c r="E1850" s="102"/>
      <c r="F1850" s="102"/>
      <c r="G1850" s="102"/>
      <c r="H1850" s="102"/>
      <c r="I1850" s="102"/>
      <c r="J1850" s="102"/>
      <c r="K1850" s="102"/>
      <c r="L1850" s="102"/>
      <c r="M1850" s="102"/>
      <c r="N1850" s="102"/>
      <c r="O1850" s="102"/>
      <c r="P1850" s="102"/>
      <c r="Q1850" s="102"/>
      <c r="R1850" s="102"/>
    </row>
    <row r="1851" spans="1:18" ht="35.1" customHeight="1" x14ac:dyDescent="0.2">
      <c r="A1851" s="99"/>
      <c r="B1851" s="99"/>
      <c r="C1851" s="102"/>
      <c r="D1851" s="102"/>
      <c r="E1851" s="102"/>
      <c r="F1851" s="102"/>
      <c r="G1851" s="102"/>
      <c r="H1851" s="102"/>
      <c r="I1851" s="102"/>
      <c r="J1851" s="102"/>
      <c r="K1851" s="102"/>
      <c r="L1851" s="102"/>
      <c r="M1851" s="102"/>
      <c r="N1851" s="102"/>
      <c r="O1851" s="102"/>
      <c r="P1851" s="102"/>
      <c r="Q1851" s="102"/>
      <c r="R1851" s="102"/>
    </row>
    <row r="1852" spans="1:18" ht="35.1" customHeight="1" x14ac:dyDescent="0.2">
      <c r="A1852" s="99"/>
      <c r="B1852" s="99"/>
      <c r="C1852" s="102"/>
      <c r="D1852" s="102"/>
      <c r="E1852" s="102"/>
      <c r="F1852" s="102"/>
      <c r="G1852" s="102"/>
      <c r="H1852" s="102"/>
      <c r="I1852" s="102"/>
      <c r="J1852" s="102"/>
      <c r="K1852" s="102"/>
      <c r="L1852" s="102"/>
      <c r="M1852" s="102"/>
      <c r="N1852" s="102"/>
      <c r="O1852" s="102"/>
      <c r="P1852" s="102"/>
      <c r="Q1852" s="102"/>
      <c r="R1852" s="102"/>
    </row>
    <row r="1853" spans="1:18" ht="35.1" customHeight="1" x14ac:dyDescent="0.2">
      <c r="A1853" s="99"/>
      <c r="B1853" s="99"/>
      <c r="C1853" s="102"/>
      <c r="D1853" s="102"/>
      <c r="E1853" s="102"/>
      <c r="F1853" s="102"/>
      <c r="G1853" s="102"/>
      <c r="H1853" s="102"/>
      <c r="I1853" s="102"/>
      <c r="J1853" s="102"/>
      <c r="K1853" s="102"/>
      <c r="L1853" s="102"/>
      <c r="M1853" s="102"/>
      <c r="N1853" s="102"/>
      <c r="O1853" s="102"/>
      <c r="P1853" s="102"/>
      <c r="Q1853" s="102"/>
      <c r="R1853" s="102"/>
    </row>
    <row r="1854" spans="1:18" ht="35.1" customHeight="1" x14ac:dyDescent="0.2">
      <c r="A1854" s="99"/>
      <c r="B1854" s="99"/>
      <c r="C1854" s="102"/>
      <c r="D1854" s="102"/>
      <c r="E1854" s="102"/>
      <c r="F1854" s="102"/>
      <c r="G1854" s="102"/>
      <c r="H1854" s="102"/>
      <c r="I1854" s="102"/>
      <c r="J1854" s="102"/>
      <c r="K1854" s="102"/>
      <c r="L1854" s="102"/>
      <c r="M1854" s="102"/>
      <c r="N1854" s="102"/>
      <c r="O1854" s="102"/>
      <c r="P1854" s="102"/>
      <c r="Q1854" s="102"/>
      <c r="R1854" s="102"/>
    </row>
    <row r="1855" spans="1:18" ht="35.1" customHeight="1" x14ac:dyDescent="0.2">
      <c r="A1855" s="99"/>
      <c r="B1855" s="99"/>
      <c r="C1855" s="102"/>
      <c r="D1855" s="102"/>
      <c r="E1855" s="102"/>
      <c r="F1855" s="102"/>
      <c r="G1855" s="102"/>
      <c r="H1855" s="102"/>
      <c r="I1855" s="102"/>
      <c r="J1855" s="102"/>
      <c r="K1855" s="102"/>
      <c r="L1855" s="102"/>
      <c r="M1855" s="102"/>
      <c r="N1855" s="102"/>
      <c r="O1855" s="102"/>
      <c r="P1855" s="102"/>
      <c r="Q1855" s="102"/>
      <c r="R1855" s="102"/>
    </row>
    <row r="1856" spans="1:18" ht="35.1" customHeight="1" x14ac:dyDescent="0.2">
      <c r="A1856" s="99"/>
      <c r="B1856" s="99"/>
      <c r="C1856" s="102"/>
      <c r="D1856" s="102"/>
      <c r="E1856" s="102"/>
      <c r="F1856" s="102"/>
      <c r="G1856" s="102"/>
      <c r="H1856" s="102"/>
      <c r="I1856" s="102"/>
      <c r="J1856" s="102"/>
      <c r="K1856" s="102"/>
      <c r="L1856" s="102"/>
      <c r="M1856" s="102"/>
      <c r="N1856" s="102"/>
      <c r="O1856" s="102"/>
      <c r="P1856" s="102"/>
      <c r="Q1856" s="102"/>
      <c r="R1856" s="102"/>
    </row>
    <row r="1857" spans="1:18" ht="35.1" customHeight="1" x14ac:dyDescent="0.2">
      <c r="A1857" s="99"/>
      <c r="B1857" s="99"/>
      <c r="C1857" s="102"/>
      <c r="D1857" s="102"/>
      <c r="E1857" s="102"/>
      <c r="F1857" s="102"/>
      <c r="G1857" s="102"/>
      <c r="H1857" s="102"/>
      <c r="I1857" s="102"/>
      <c r="J1857" s="102"/>
      <c r="K1857" s="102"/>
      <c r="L1857" s="102"/>
      <c r="M1857" s="102"/>
      <c r="N1857" s="102"/>
      <c r="O1857" s="102"/>
      <c r="P1857" s="102"/>
      <c r="Q1857" s="102"/>
      <c r="R1857" s="102"/>
    </row>
    <row r="1858" spans="1:18" ht="35.1" customHeight="1" x14ac:dyDescent="0.2">
      <c r="A1858" s="99"/>
      <c r="B1858" s="99"/>
      <c r="C1858" s="102"/>
      <c r="D1858" s="102"/>
      <c r="E1858" s="102"/>
      <c r="F1858" s="102"/>
      <c r="G1858" s="102"/>
      <c r="H1858" s="102"/>
      <c r="I1858" s="102"/>
      <c r="J1858" s="102"/>
      <c r="K1858" s="102"/>
      <c r="L1858" s="102"/>
      <c r="M1858" s="102"/>
      <c r="N1858" s="102"/>
      <c r="O1858" s="102"/>
      <c r="P1858" s="102"/>
      <c r="Q1858" s="102"/>
      <c r="R1858" s="102"/>
    </row>
    <row r="1859" spans="1:18" ht="35.1" customHeight="1" x14ac:dyDescent="0.2">
      <c r="A1859" s="99"/>
      <c r="B1859" s="99"/>
      <c r="C1859" s="102"/>
      <c r="D1859" s="102"/>
      <c r="E1859" s="102"/>
      <c r="F1859" s="102"/>
      <c r="G1859" s="102"/>
      <c r="H1859" s="102"/>
      <c r="I1859" s="102"/>
      <c r="J1859" s="102"/>
      <c r="K1859" s="102"/>
      <c r="L1859" s="102"/>
      <c r="M1859" s="102"/>
      <c r="N1859" s="102"/>
      <c r="O1859" s="102"/>
      <c r="P1859" s="102"/>
      <c r="Q1859" s="102"/>
      <c r="R1859" s="102"/>
    </row>
    <row r="1860" spans="1:18" ht="35.1" customHeight="1" x14ac:dyDescent="0.2">
      <c r="A1860" s="99"/>
      <c r="B1860" s="99"/>
      <c r="C1860" s="102"/>
      <c r="D1860" s="102"/>
      <c r="E1860" s="102"/>
      <c r="F1860" s="102"/>
      <c r="G1860" s="102"/>
      <c r="H1860" s="102"/>
      <c r="I1860" s="102"/>
      <c r="J1860" s="102"/>
      <c r="K1860" s="102"/>
      <c r="L1860" s="102"/>
      <c r="M1860" s="102"/>
      <c r="N1860" s="102"/>
      <c r="O1860" s="102"/>
      <c r="P1860" s="102"/>
      <c r="Q1860" s="102"/>
      <c r="R1860" s="102"/>
    </row>
    <row r="1861" spans="1:18" ht="35.1" customHeight="1" x14ac:dyDescent="0.2">
      <c r="A1861" s="99"/>
      <c r="B1861" s="99"/>
      <c r="C1861" s="102"/>
      <c r="D1861" s="102"/>
      <c r="E1861" s="102"/>
      <c r="F1861" s="102"/>
      <c r="G1861" s="102"/>
      <c r="H1861" s="102"/>
      <c r="I1861" s="102"/>
      <c r="J1861" s="102"/>
      <c r="K1861" s="102"/>
      <c r="L1861" s="102"/>
      <c r="M1861" s="102"/>
      <c r="N1861" s="102"/>
      <c r="O1861" s="102"/>
      <c r="P1861" s="102"/>
      <c r="Q1861" s="102"/>
      <c r="R1861" s="102"/>
    </row>
    <row r="1862" spans="1:18" ht="35.1" customHeight="1" x14ac:dyDescent="0.2">
      <c r="A1862" s="99"/>
      <c r="B1862" s="99"/>
      <c r="C1862" s="102"/>
      <c r="D1862" s="102"/>
      <c r="E1862" s="102"/>
      <c r="F1862" s="102"/>
      <c r="G1862" s="102"/>
      <c r="H1862" s="102"/>
      <c r="I1862" s="102"/>
      <c r="J1862" s="102"/>
      <c r="K1862" s="102"/>
      <c r="L1862" s="102"/>
      <c r="M1862" s="102"/>
      <c r="N1862" s="102"/>
      <c r="O1862" s="102"/>
      <c r="P1862" s="102"/>
      <c r="Q1862" s="102"/>
      <c r="R1862" s="102"/>
    </row>
    <row r="1863" spans="1:18" ht="35.1" customHeight="1" x14ac:dyDescent="0.2">
      <c r="A1863" s="99"/>
      <c r="B1863" s="99"/>
      <c r="C1863" s="102"/>
      <c r="D1863" s="102"/>
      <c r="E1863" s="102"/>
      <c r="F1863" s="102"/>
      <c r="G1863" s="102"/>
      <c r="H1863" s="102"/>
      <c r="I1863" s="102"/>
      <c r="J1863" s="102"/>
      <c r="K1863" s="102"/>
      <c r="L1863" s="102"/>
      <c r="M1863" s="102"/>
      <c r="N1863" s="102"/>
      <c r="O1863" s="102"/>
      <c r="P1863" s="102"/>
      <c r="Q1863" s="102"/>
      <c r="R1863" s="102"/>
    </row>
    <row r="1864" spans="1:18" ht="35.1" customHeight="1" x14ac:dyDescent="0.2">
      <c r="A1864" s="99"/>
      <c r="B1864" s="99"/>
      <c r="C1864" s="102"/>
      <c r="D1864" s="102"/>
      <c r="E1864" s="102"/>
      <c r="F1864" s="102"/>
      <c r="G1864" s="102"/>
      <c r="H1864" s="102"/>
      <c r="I1864" s="102"/>
      <c r="J1864" s="102"/>
      <c r="K1864" s="102"/>
      <c r="L1864" s="102"/>
      <c r="M1864" s="102"/>
      <c r="N1864" s="102"/>
      <c r="O1864" s="102"/>
      <c r="P1864" s="102"/>
      <c r="Q1864" s="102"/>
      <c r="R1864" s="102"/>
    </row>
    <row r="1865" spans="1:18" ht="35.1" customHeight="1" x14ac:dyDescent="0.2">
      <c r="A1865" s="99"/>
      <c r="B1865" s="99"/>
      <c r="C1865" s="102"/>
      <c r="D1865" s="102"/>
      <c r="E1865" s="102"/>
      <c r="F1865" s="102"/>
      <c r="G1865" s="102"/>
      <c r="H1865" s="102"/>
      <c r="I1865" s="102"/>
      <c r="J1865" s="102"/>
      <c r="K1865" s="102"/>
      <c r="L1865" s="102"/>
      <c r="M1865" s="102"/>
      <c r="N1865" s="102"/>
      <c r="O1865" s="102"/>
      <c r="P1865" s="102"/>
      <c r="Q1865" s="102"/>
      <c r="R1865" s="102"/>
    </row>
    <row r="1866" spans="1:18" ht="35.1" customHeight="1" x14ac:dyDescent="0.2">
      <c r="A1866" s="99"/>
      <c r="B1866" s="99"/>
      <c r="C1866" s="102"/>
      <c r="D1866" s="102"/>
      <c r="E1866" s="102"/>
      <c r="F1866" s="102"/>
      <c r="G1866" s="102"/>
      <c r="H1866" s="102"/>
      <c r="I1866" s="102"/>
      <c r="J1866" s="102"/>
      <c r="K1866" s="102"/>
      <c r="L1866" s="102"/>
      <c r="M1866" s="102"/>
      <c r="N1866" s="102"/>
      <c r="O1866" s="102"/>
      <c r="P1866" s="102"/>
      <c r="Q1866" s="102"/>
      <c r="R1866" s="102"/>
    </row>
    <row r="1867" spans="1:18" ht="35.1" customHeight="1" x14ac:dyDescent="0.2">
      <c r="A1867" s="99"/>
      <c r="B1867" s="99"/>
      <c r="C1867" s="102"/>
      <c r="D1867" s="102"/>
      <c r="E1867" s="102"/>
      <c r="F1867" s="102"/>
      <c r="G1867" s="102"/>
      <c r="H1867" s="102"/>
      <c r="I1867" s="102"/>
      <c r="J1867" s="102"/>
      <c r="K1867" s="102"/>
      <c r="L1867" s="102"/>
      <c r="M1867" s="102"/>
      <c r="N1867" s="102"/>
      <c r="O1867" s="102"/>
      <c r="P1867" s="102"/>
      <c r="Q1867" s="102"/>
      <c r="R1867" s="102"/>
    </row>
    <row r="1868" spans="1:18" ht="35.1" customHeight="1" x14ac:dyDescent="0.2">
      <c r="A1868" s="99"/>
      <c r="B1868" s="99"/>
      <c r="C1868" s="102"/>
      <c r="D1868" s="102"/>
      <c r="E1868" s="102"/>
      <c r="F1868" s="102"/>
      <c r="G1868" s="102"/>
      <c r="H1868" s="102"/>
      <c r="I1868" s="102"/>
      <c r="J1868" s="102"/>
      <c r="K1868" s="102"/>
      <c r="L1868" s="102"/>
      <c r="M1868" s="102"/>
      <c r="N1868" s="102"/>
      <c r="O1868" s="102"/>
      <c r="P1868" s="102"/>
      <c r="Q1868" s="102"/>
      <c r="R1868" s="102"/>
    </row>
    <row r="1869" spans="1:18" ht="35.1" customHeight="1" x14ac:dyDescent="0.2">
      <c r="A1869" s="99"/>
      <c r="B1869" s="99"/>
      <c r="C1869" s="102"/>
      <c r="D1869" s="102"/>
      <c r="E1869" s="102"/>
      <c r="F1869" s="102"/>
      <c r="G1869" s="102"/>
      <c r="H1869" s="102"/>
      <c r="I1869" s="102"/>
      <c r="J1869" s="102"/>
      <c r="K1869" s="102"/>
      <c r="L1869" s="102"/>
      <c r="M1869" s="102"/>
      <c r="N1869" s="102"/>
      <c r="O1869" s="102"/>
      <c r="P1869" s="102"/>
      <c r="Q1869" s="102"/>
      <c r="R1869" s="102"/>
    </row>
    <row r="1870" spans="1:18" ht="35.1" customHeight="1" x14ac:dyDescent="0.2">
      <c r="A1870" s="99"/>
      <c r="B1870" s="99"/>
      <c r="C1870" s="102"/>
      <c r="D1870" s="102"/>
      <c r="E1870" s="102"/>
      <c r="F1870" s="102"/>
      <c r="G1870" s="102"/>
      <c r="H1870" s="102"/>
      <c r="I1870" s="102"/>
      <c r="J1870" s="102"/>
      <c r="K1870" s="102"/>
      <c r="L1870" s="102"/>
      <c r="M1870" s="102"/>
      <c r="N1870" s="102"/>
      <c r="O1870" s="102"/>
      <c r="P1870" s="102"/>
      <c r="Q1870" s="102"/>
      <c r="R1870" s="102"/>
    </row>
    <row r="1871" spans="1:18" ht="35.1" customHeight="1" x14ac:dyDescent="0.2">
      <c r="A1871" s="99"/>
      <c r="B1871" s="99"/>
      <c r="C1871" s="102"/>
      <c r="D1871" s="102"/>
      <c r="E1871" s="102"/>
      <c r="F1871" s="102"/>
      <c r="G1871" s="102"/>
      <c r="H1871" s="102"/>
      <c r="I1871" s="102"/>
      <c r="J1871" s="102"/>
      <c r="K1871" s="102"/>
      <c r="L1871" s="102"/>
      <c r="M1871" s="102"/>
      <c r="N1871" s="102"/>
      <c r="O1871" s="102"/>
      <c r="P1871" s="102"/>
      <c r="Q1871" s="102"/>
      <c r="R1871" s="102"/>
    </row>
    <row r="1872" spans="1:18" ht="35.1" customHeight="1" x14ac:dyDescent="0.2">
      <c r="A1872" s="99"/>
      <c r="B1872" s="99"/>
      <c r="C1872" s="102"/>
      <c r="D1872" s="102"/>
      <c r="E1872" s="102"/>
      <c r="F1872" s="102"/>
      <c r="G1872" s="102"/>
      <c r="H1872" s="102"/>
      <c r="I1872" s="102"/>
      <c r="J1872" s="102"/>
      <c r="K1872" s="102"/>
      <c r="L1872" s="102"/>
      <c r="M1872" s="102"/>
      <c r="N1872" s="102"/>
      <c r="O1872" s="102"/>
      <c r="P1872" s="102"/>
      <c r="Q1872" s="102"/>
      <c r="R1872" s="102"/>
    </row>
    <row r="1873" spans="1:18" ht="35.1" customHeight="1" x14ac:dyDescent="0.2">
      <c r="A1873" s="99"/>
      <c r="B1873" s="99"/>
      <c r="C1873" s="102"/>
      <c r="D1873" s="102"/>
      <c r="E1873" s="102"/>
      <c r="F1873" s="102"/>
      <c r="G1873" s="102"/>
      <c r="H1873" s="102"/>
      <c r="I1873" s="102"/>
      <c r="J1873" s="102"/>
      <c r="K1873" s="102"/>
      <c r="L1873" s="102"/>
      <c r="M1873" s="102"/>
      <c r="N1873" s="102"/>
      <c r="O1873" s="102"/>
      <c r="P1873" s="102"/>
      <c r="Q1873" s="102"/>
      <c r="R1873" s="102"/>
    </row>
    <row r="1874" spans="1:18" ht="35.1" customHeight="1" x14ac:dyDescent="0.2">
      <c r="A1874" s="99"/>
      <c r="B1874" s="99"/>
      <c r="C1874" s="102"/>
      <c r="D1874" s="102"/>
      <c r="E1874" s="102"/>
      <c r="F1874" s="102"/>
      <c r="G1874" s="102"/>
      <c r="H1874" s="102"/>
      <c r="I1874" s="102"/>
      <c r="J1874" s="102"/>
      <c r="K1874" s="102"/>
      <c r="L1874" s="102"/>
      <c r="M1874" s="102"/>
      <c r="N1874" s="102"/>
      <c r="O1874" s="102"/>
      <c r="P1874" s="102"/>
      <c r="Q1874" s="102"/>
      <c r="R1874" s="102"/>
    </row>
    <row r="1875" spans="1:18" ht="35.1" customHeight="1" x14ac:dyDescent="0.2">
      <c r="A1875" s="99"/>
      <c r="B1875" s="99"/>
      <c r="C1875" s="102"/>
      <c r="D1875" s="102"/>
      <c r="E1875" s="102"/>
      <c r="F1875" s="102"/>
      <c r="G1875" s="102"/>
      <c r="H1875" s="102"/>
      <c r="I1875" s="102"/>
      <c r="J1875" s="102"/>
      <c r="K1875" s="102"/>
      <c r="L1875" s="102"/>
      <c r="M1875" s="102"/>
      <c r="N1875" s="102"/>
      <c r="O1875" s="102"/>
      <c r="P1875" s="102"/>
      <c r="Q1875" s="102"/>
      <c r="R1875" s="102"/>
    </row>
    <row r="1876" spans="1:18" ht="35.1" customHeight="1" x14ac:dyDescent="0.2">
      <c r="A1876" s="99"/>
      <c r="B1876" s="99"/>
      <c r="C1876" s="102"/>
      <c r="D1876" s="102"/>
      <c r="E1876" s="102"/>
      <c r="F1876" s="102"/>
      <c r="G1876" s="102"/>
      <c r="H1876" s="102"/>
      <c r="I1876" s="102"/>
      <c r="J1876" s="102"/>
      <c r="K1876" s="102"/>
      <c r="L1876" s="102"/>
      <c r="M1876" s="102"/>
      <c r="N1876" s="102"/>
      <c r="O1876" s="102"/>
      <c r="P1876" s="102"/>
      <c r="Q1876" s="102"/>
      <c r="R1876" s="102"/>
    </row>
    <row r="1877" spans="1:18" ht="35.1" customHeight="1" x14ac:dyDescent="0.2">
      <c r="A1877" s="99"/>
      <c r="B1877" s="99"/>
      <c r="C1877" s="102"/>
      <c r="D1877" s="102"/>
      <c r="E1877" s="102"/>
      <c r="F1877" s="102"/>
      <c r="G1877" s="102"/>
      <c r="H1877" s="102"/>
      <c r="I1877" s="102"/>
      <c r="J1877" s="102"/>
      <c r="K1877" s="102"/>
      <c r="L1877" s="102"/>
      <c r="M1877" s="102"/>
      <c r="N1877" s="102"/>
      <c r="O1877" s="102"/>
      <c r="P1877" s="102"/>
      <c r="Q1877" s="102"/>
      <c r="R1877" s="102"/>
    </row>
    <row r="1878" spans="1:18" ht="35.1" customHeight="1" x14ac:dyDescent="0.2">
      <c r="A1878" s="99"/>
      <c r="B1878" s="99"/>
      <c r="C1878" s="102"/>
      <c r="D1878" s="102"/>
      <c r="E1878" s="102"/>
      <c r="F1878" s="102"/>
      <c r="G1878" s="102"/>
      <c r="H1878" s="102"/>
      <c r="I1878" s="102"/>
      <c r="J1878" s="102"/>
      <c r="K1878" s="102"/>
      <c r="L1878" s="102"/>
      <c r="M1878" s="102"/>
      <c r="N1878" s="102"/>
      <c r="O1878" s="102"/>
      <c r="P1878" s="102"/>
      <c r="Q1878" s="102"/>
      <c r="R1878" s="102"/>
    </row>
    <row r="1879" spans="1:18" ht="35.1" customHeight="1" x14ac:dyDescent="0.2">
      <c r="A1879" s="99"/>
      <c r="B1879" s="99"/>
      <c r="C1879" s="102"/>
      <c r="D1879" s="102"/>
      <c r="E1879" s="102"/>
      <c r="F1879" s="102"/>
      <c r="G1879" s="102"/>
      <c r="H1879" s="102"/>
      <c r="I1879" s="102"/>
      <c r="J1879" s="102"/>
      <c r="K1879" s="102"/>
      <c r="L1879" s="102"/>
      <c r="M1879" s="102"/>
      <c r="N1879" s="102"/>
      <c r="O1879" s="102"/>
      <c r="P1879" s="102"/>
      <c r="Q1879" s="102"/>
      <c r="R1879" s="102"/>
    </row>
    <row r="1880" spans="1:18" ht="35.1" customHeight="1" x14ac:dyDescent="0.2">
      <c r="A1880" s="99"/>
      <c r="B1880" s="99"/>
      <c r="C1880" s="102"/>
      <c r="D1880" s="102"/>
      <c r="E1880" s="102"/>
      <c r="F1880" s="102"/>
      <c r="G1880" s="102"/>
      <c r="H1880" s="102"/>
      <c r="I1880" s="102"/>
      <c r="J1880" s="102"/>
      <c r="K1880" s="102"/>
      <c r="L1880" s="102"/>
      <c r="M1880" s="102"/>
      <c r="N1880" s="102"/>
      <c r="O1880" s="102"/>
      <c r="P1880" s="102"/>
      <c r="Q1880" s="102"/>
      <c r="R1880" s="102"/>
    </row>
    <row r="1881" spans="1:18" ht="35.1" customHeight="1" x14ac:dyDescent="0.2">
      <c r="A1881" s="99"/>
      <c r="B1881" s="99"/>
      <c r="C1881" s="102"/>
      <c r="D1881" s="102"/>
      <c r="E1881" s="102"/>
      <c r="F1881" s="102"/>
      <c r="G1881" s="102"/>
      <c r="H1881" s="102"/>
      <c r="I1881" s="102"/>
      <c r="J1881" s="102"/>
      <c r="K1881" s="102"/>
      <c r="L1881" s="102"/>
      <c r="M1881" s="102"/>
      <c r="N1881" s="102"/>
      <c r="O1881" s="102"/>
      <c r="P1881" s="102"/>
      <c r="Q1881" s="102"/>
      <c r="R1881" s="102"/>
    </row>
    <row r="1882" spans="1:18" ht="35.1" customHeight="1" x14ac:dyDescent="0.2">
      <c r="A1882" s="99"/>
      <c r="B1882" s="99"/>
      <c r="C1882" s="102"/>
      <c r="D1882" s="102"/>
      <c r="E1882" s="102"/>
      <c r="F1882" s="102"/>
      <c r="G1882" s="102"/>
      <c r="H1882" s="102"/>
      <c r="I1882" s="102"/>
      <c r="J1882" s="102"/>
      <c r="K1882" s="102"/>
      <c r="L1882" s="102"/>
      <c r="M1882" s="102"/>
      <c r="N1882" s="102"/>
      <c r="O1882" s="102"/>
      <c r="P1882" s="102"/>
      <c r="Q1882" s="102"/>
      <c r="R1882" s="102"/>
    </row>
    <row r="1883" spans="1:18" ht="35.1" customHeight="1" x14ac:dyDescent="0.2">
      <c r="A1883" s="99"/>
      <c r="B1883" s="99"/>
      <c r="C1883" s="102"/>
      <c r="D1883" s="102"/>
      <c r="E1883" s="102"/>
      <c r="F1883" s="102"/>
      <c r="G1883" s="102"/>
      <c r="H1883" s="102"/>
      <c r="I1883" s="102"/>
      <c r="J1883" s="102"/>
      <c r="K1883" s="102"/>
      <c r="L1883" s="102"/>
      <c r="M1883" s="102"/>
      <c r="N1883" s="102"/>
      <c r="O1883" s="102"/>
      <c r="P1883" s="102"/>
      <c r="Q1883" s="102"/>
      <c r="R1883" s="102"/>
    </row>
    <row r="1884" spans="1:18" ht="35.1" customHeight="1" x14ac:dyDescent="0.2">
      <c r="A1884" s="99"/>
      <c r="B1884" s="99"/>
      <c r="C1884" s="102"/>
      <c r="D1884" s="102"/>
      <c r="E1884" s="102"/>
      <c r="F1884" s="102"/>
      <c r="G1884" s="102"/>
      <c r="H1884" s="102"/>
      <c r="I1884" s="102"/>
      <c r="J1884" s="102"/>
      <c r="K1884" s="102"/>
      <c r="L1884" s="102"/>
      <c r="M1884" s="102"/>
      <c r="N1884" s="102"/>
      <c r="O1884" s="102"/>
      <c r="P1884" s="102"/>
      <c r="Q1884" s="102"/>
      <c r="R1884" s="102"/>
    </row>
    <row r="1885" spans="1:18" ht="35.1" customHeight="1" x14ac:dyDescent="0.2">
      <c r="A1885" s="99"/>
      <c r="B1885" s="99"/>
      <c r="C1885" s="102"/>
      <c r="D1885" s="102"/>
      <c r="E1885" s="102"/>
      <c r="F1885" s="102"/>
      <c r="G1885" s="102"/>
      <c r="H1885" s="102"/>
      <c r="I1885" s="102"/>
      <c r="J1885" s="102"/>
      <c r="K1885" s="102"/>
      <c r="L1885" s="102"/>
      <c r="M1885" s="102"/>
      <c r="N1885" s="102"/>
      <c r="O1885" s="102"/>
      <c r="P1885" s="102"/>
      <c r="Q1885" s="102"/>
      <c r="R1885" s="102"/>
    </row>
    <row r="1886" spans="1:18" ht="35.1" customHeight="1" x14ac:dyDescent="0.2">
      <c r="A1886" s="99"/>
      <c r="B1886" s="99"/>
      <c r="C1886" s="102"/>
      <c r="D1886" s="102"/>
      <c r="E1886" s="102"/>
      <c r="F1886" s="102"/>
      <c r="G1886" s="102"/>
      <c r="H1886" s="102"/>
      <c r="I1886" s="102"/>
      <c r="J1886" s="102"/>
      <c r="K1886" s="102"/>
      <c r="L1886" s="102"/>
      <c r="M1886" s="102"/>
      <c r="N1886" s="102"/>
      <c r="O1886" s="102"/>
      <c r="P1886" s="102"/>
      <c r="Q1886" s="102"/>
      <c r="R1886" s="102"/>
    </row>
    <row r="1887" spans="1:18" ht="35.1" customHeight="1" x14ac:dyDescent="0.2">
      <c r="A1887" s="99"/>
      <c r="B1887" s="99"/>
      <c r="C1887" s="102"/>
      <c r="D1887" s="102"/>
      <c r="E1887" s="102"/>
      <c r="F1887" s="102"/>
      <c r="G1887" s="102"/>
      <c r="H1887" s="102"/>
      <c r="I1887" s="102"/>
      <c r="J1887" s="102"/>
      <c r="K1887" s="102"/>
      <c r="L1887" s="102"/>
      <c r="M1887" s="102"/>
      <c r="N1887" s="102"/>
      <c r="O1887" s="102"/>
      <c r="P1887" s="102"/>
      <c r="Q1887" s="102"/>
      <c r="R1887" s="102"/>
    </row>
    <row r="1888" spans="1:18" ht="35.1" customHeight="1" x14ac:dyDescent="0.2">
      <c r="A1888" s="99"/>
      <c r="B1888" s="99"/>
      <c r="C1888" s="102"/>
      <c r="D1888" s="102"/>
      <c r="E1888" s="102"/>
      <c r="F1888" s="102"/>
      <c r="G1888" s="102"/>
      <c r="H1888" s="102"/>
      <c r="I1888" s="102"/>
      <c r="J1888" s="102"/>
      <c r="K1888" s="102"/>
      <c r="L1888" s="102"/>
      <c r="M1888" s="102"/>
      <c r="N1888" s="102"/>
      <c r="O1888" s="102"/>
      <c r="P1888" s="102"/>
      <c r="Q1888" s="102"/>
      <c r="R1888" s="102"/>
    </row>
    <row r="1889" spans="1:18" ht="35.1" customHeight="1" x14ac:dyDescent="0.2">
      <c r="A1889" s="99"/>
      <c r="B1889" s="99"/>
      <c r="C1889" s="102"/>
      <c r="D1889" s="102"/>
      <c r="E1889" s="102"/>
      <c r="F1889" s="102"/>
      <c r="G1889" s="102"/>
      <c r="H1889" s="102"/>
      <c r="I1889" s="102"/>
      <c r="J1889" s="102"/>
      <c r="K1889" s="102"/>
      <c r="L1889" s="102"/>
      <c r="M1889" s="102"/>
      <c r="N1889" s="102"/>
      <c r="O1889" s="102"/>
      <c r="P1889" s="102"/>
      <c r="Q1889" s="102"/>
      <c r="R1889" s="102"/>
    </row>
    <row r="1890" spans="1:18" ht="35.1" customHeight="1" x14ac:dyDescent="0.2">
      <c r="A1890" s="99"/>
      <c r="B1890" s="99"/>
      <c r="C1890" s="102"/>
      <c r="D1890" s="102"/>
      <c r="E1890" s="102"/>
      <c r="F1890" s="102"/>
      <c r="G1890" s="102"/>
      <c r="H1890" s="102"/>
      <c r="I1890" s="102"/>
      <c r="J1890" s="102"/>
      <c r="K1890" s="102"/>
      <c r="L1890" s="102"/>
      <c r="M1890" s="102"/>
      <c r="N1890" s="102"/>
      <c r="O1890" s="102"/>
      <c r="P1890" s="102"/>
      <c r="Q1890" s="102"/>
      <c r="R1890" s="102"/>
    </row>
    <row r="1891" spans="1:18" ht="35.1" customHeight="1" x14ac:dyDescent="0.2">
      <c r="A1891" s="99"/>
      <c r="B1891" s="99"/>
      <c r="C1891" s="102"/>
      <c r="D1891" s="102"/>
      <c r="E1891" s="102"/>
      <c r="F1891" s="102"/>
      <c r="G1891" s="102"/>
      <c r="H1891" s="102"/>
      <c r="I1891" s="102"/>
      <c r="J1891" s="102"/>
      <c r="K1891" s="102"/>
      <c r="L1891" s="102"/>
      <c r="M1891" s="102"/>
      <c r="N1891" s="102"/>
      <c r="O1891" s="102"/>
      <c r="P1891" s="102"/>
      <c r="Q1891" s="102"/>
      <c r="R1891" s="102"/>
    </row>
    <row r="1892" spans="1:18" ht="35.1" customHeight="1" x14ac:dyDescent="0.2">
      <c r="A1892" s="99"/>
      <c r="B1892" s="99"/>
      <c r="C1892" s="102"/>
      <c r="D1892" s="102"/>
      <c r="E1892" s="102"/>
      <c r="F1892" s="102"/>
      <c r="G1892" s="102"/>
      <c r="H1892" s="102"/>
      <c r="I1892" s="102"/>
      <c r="J1892" s="102"/>
      <c r="K1892" s="102"/>
      <c r="L1892" s="102"/>
      <c r="M1892" s="102"/>
      <c r="N1892" s="102"/>
      <c r="O1892" s="102"/>
      <c r="P1892" s="102"/>
      <c r="Q1892" s="102"/>
      <c r="R1892" s="102"/>
    </row>
    <row r="1893" spans="1:18" ht="35.1" customHeight="1" x14ac:dyDescent="0.2">
      <c r="A1893" s="99"/>
      <c r="B1893" s="99"/>
      <c r="C1893" s="102"/>
      <c r="D1893" s="102"/>
      <c r="E1893" s="102"/>
      <c r="F1893" s="102"/>
      <c r="G1893" s="102"/>
      <c r="H1893" s="102"/>
      <c r="I1893" s="102"/>
      <c r="J1893" s="102"/>
      <c r="K1893" s="102"/>
      <c r="L1893" s="102"/>
      <c r="M1893" s="102"/>
      <c r="N1893" s="102"/>
      <c r="O1893" s="102"/>
      <c r="P1893" s="102"/>
      <c r="Q1893" s="102"/>
      <c r="R1893" s="102"/>
    </row>
    <row r="1894" spans="1:18" ht="35.1" customHeight="1" x14ac:dyDescent="0.2">
      <c r="A1894" s="99"/>
      <c r="B1894" s="99"/>
      <c r="C1894" s="102"/>
      <c r="D1894" s="102"/>
      <c r="E1894" s="102"/>
      <c r="F1894" s="102"/>
      <c r="G1894" s="102"/>
      <c r="H1894" s="102"/>
      <c r="I1894" s="102"/>
      <c r="J1894" s="102"/>
      <c r="K1894" s="102"/>
      <c r="L1894" s="102"/>
      <c r="M1894" s="102"/>
      <c r="N1894" s="102"/>
      <c r="O1894" s="102"/>
      <c r="P1894" s="102"/>
      <c r="Q1894" s="102"/>
      <c r="R1894" s="102"/>
    </row>
    <row r="1895" spans="1:18" ht="35.1" customHeight="1" x14ac:dyDescent="0.2">
      <c r="A1895" s="99"/>
      <c r="B1895" s="99"/>
      <c r="C1895" s="102"/>
      <c r="D1895" s="102"/>
      <c r="E1895" s="102"/>
      <c r="F1895" s="102"/>
      <c r="G1895" s="102"/>
      <c r="H1895" s="102"/>
      <c r="I1895" s="102"/>
      <c r="J1895" s="102"/>
      <c r="K1895" s="102"/>
      <c r="L1895" s="102"/>
      <c r="M1895" s="102"/>
      <c r="N1895" s="102"/>
      <c r="O1895" s="102"/>
      <c r="P1895" s="102"/>
      <c r="Q1895" s="102"/>
      <c r="R1895" s="102"/>
    </row>
    <row r="1896" spans="1:18" ht="35.1" customHeight="1" x14ac:dyDescent="0.2">
      <c r="A1896" s="99"/>
      <c r="B1896" s="99"/>
      <c r="C1896" s="102"/>
      <c r="D1896" s="102"/>
      <c r="E1896" s="102"/>
      <c r="F1896" s="102"/>
      <c r="G1896" s="102"/>
      <c r="H1896" s="102"/>
      <c r="I1896" s="102"/>
      <c r="J1896" s="102"/>
      <c r="K1896" s="102"/>
      <c r="L1896" s="102"/>
      <c r="M1896" s="102"/>
      <c r="N1896" s="102"/>
      <c r="O1896" s="102"/>
      <c r="P1896" s="102"/>
      <c r="Q1896" s="102"/>
      <c r="R1896" s="102"/>
    </row>
    <row r="1897" spans="1:18" ht="35.1" customHeight="1" x14ac:dyDescent="0.2">
      <c r="A1897" s="99"/>
      <c r="B1897" s="99"/>
      <c r="C1897" s="102"/>
      <c r="D1897" s="102"/>
      <c r="E1897" s="102"/>
      <c r="F1897" s="102"/>
      <c r="G1897" s="102"/>
      <c r="H1897" s="102"/>
      <c r="I1897" s="102"/>
      <c r="J1897" s="102"/>
      <c r="K1897" s="102"/>
      <c r="L1897" s="102"/>
      <c r="M1897" s="102"/>
      <c r="N1897" s="102"/>
      <c r="O1897" s="102"/>
      <c r="P1897" s="102"/>
      <c r="Q1897" s="102"/>
      <c r="R1897" s="102"/>
    </row>
    <row r="1898" spans="1:18" ht="35.1" customHeight="1" x14ac:dyDescent="0.2">
      <c r="A1898" s="99"/>
      <c r="B1898" s="99"/>
      <c r="C1898" s="102"/>
      <c r="D1898" s="102"/>
      <c r="E1898" s="102"/>
      <c r="F1898" s="102"/>
      <c r="G1898" s="102"/>
      <c r="H1898" s="102"/>
      <c r="I1898" s="102"/>
      <c r="J1898" s="102"/>
      <c r="K1898" s="102"/>
      <c r="L1898" s="102"/>
      <c r="M1898" s="102"/>
      <c r="N1898" s="102"/>
      <c r="O1898" s="102"/>
      <c r="P1898" s="102"/>
      <c r="Q1898" s="102"/>
      <c r="R1898" s="102"/>
    </row>
    <row r="1899" spans="1:18" ht="35.1" customHeight="1" x14ac:dyDescent="0.2">
      <c r="A1899" s="99"/>
      <c r="B1899" s="99"/>
      <c r="C1899" s="102"/>
      <c r="D1899" s="102"/>
      <c r="E1899" s="102"/>
      <c r="F1899" s="102"/>
      <c r="G1899" s="102"/>
      <c r="H1899" s="102"/>
      <c r="I1899" s="102"/>
      <c r="J1899" s="102"/>
      <c r="K1899" s="102"/>
      <c r="L1899" s="102"/>
      <c r="M1899" s="102"/>
      <c r="N1899" s="102"/>
      <c r="O1899" s="102"/>
      <c r="P1899" s="102"/>
      <c r="Q1899" s="102"/>
      <c r="R1899" s="102"/>
    </row>
    <row r="1900" spans="1:18" ht="35.1" customHeight="1" x14ac:dyDescent="0.2">
      <c r="A1900" s="99"/>
      <c r="B1900" s="99"/>
      <c r="C1900" s="102"/>
      <c r="D1900" s="102"/>
      <c r="E1900" s="102"/>
      <c r="F1900" s="102"/>
      <c r="G1900" s="102"/>
      <c r="H1900" s="102"/>
      <c r="I1900" s="102"/>
      <c r="J1900" s="102"/>
      <c r="K1900" s="102"/>
      <c r="L1900" s="102"/>
      <c r="M1900" s="102"/>
      <c r="N1900" s="102"/>
      <c r="O1900" s="102"/>
      <c r="P1900" s="102"/>
      <c r="Q1900" s="102"/>
      <c r="R1900" s="102"/>
    </row>
    <row r="1901" spans="1:18" ht="35.1" customHeight="1" x14ac:dyDescent="0.2">
      <c r="A1901" s="99"/>
      <c r="B1901" s="99"/>
      <c r="C1901" s="102"/>
      <c r="D1901" s="102"/>
      <c r="E1901" s="102"/>
      <c r="F1901" s="102"/>
      <c r="G1901" s="102"/>
      <c r="H1901" s="102"/>
      <c r="I1901" s="102"/>
      <c r="J1901" s="102"/>
      <c r="K1901" s="102"/>
      <c r="L1901" s="102"/>
      <c r="M1901" s="102"/>
      <c r="N1901" s="102"/>
      <c r="O1901" s="102"/>
      <c r="P1901" s="102"/>
      <c r="Q1901" s="102"/>
      <c r="R1901" s="102"/>
    </row>
    <row r="1902" spans="1:18" ht="35.1" customHeight="1" x14ac:dyDescent="0.2">
      <c r="A1902" s="99"/>
      <c r="B1902" s="99"/>
      <c r="C1902" s="102"/>
      <c r="D1902" s="102"/>
      <c r="E1902" s="102"/>
      <c r="F1902" s="102"/>
      <c r="G1902" s="102"/>
      <c r="H1902" s="102"/>
      <c r="I1902" s="102"/>
      <c r="J1902" s="102"/>
      <c r="K1902" s="102"/>
      <c r="L1902" s="102"/>
      <c r="M1902" s="102"/>
      <c r="N1902" s="102"/>
      <c r="O1902" s="102"/>
      <c r="P1902" s="102"/>
      <c r="Q1902" s="102"/>
      <c r="R1902" s="102"/>
    </row>
    <row r="1903" spans="1:18" ht="35.1" customHeight="1" x14ac:dyDescent="0.2">
      <c r="A1903" s="99"/>
      <c r="B1903" s="99"/>
      <c r="C1903" s="102"/>
      <c r="D1903" s="102"/>
      <c r="E1903" s="102"/>
      <c r="F1903" s="102"/>
      <c r="G1903" s="102"/>
      <c r="H1903" s="102"/>
      <c r="I1903" s="102"/>
      <c r="J1903" s="102"/>
      <c r="K1903" s="102"/>
      <c r="L1903" s="102"/>
      <c r="M1903" s="102"/>
      <c r="N1903" s="102"/>
      <c r="O1903" s="102"/>
      <c r="P1903" s="102"/>
      <c r="Q1903" s="102"/>
      <c r="R1903" s="102"/>
    </row>
    <row r="1904" spans="1:18" ht="35.1" customHeight="1" x14ac:dyDescent="0.2">
      <c r="A1904" s="99"/>
      <c r="B1904" s="99"/>
      <c r="C1904" s="102"/>
      <c r="D1904" s="102"/>
      <c r="E1904" s="102"/>
      <c r="F1904" s="102"/>
      <c r="G1904" s="102"/>
      <c r="H1904" s="102"/>
      <c r="I1904" s="102"/>
      <c r="J1904" s="102"/>
      <c r="K1904" s="102"/>
      <c r="L1904" s="102"/>
      <c r="M1904" s="102"/>
      <c r="N1904" s="102"/>
      <c r="O1904" s="102"/>
      <c r="P1904" s="102"/>
      <c r="Q1904" s="102"/>
      <c r="R1904" s="102"/>
    </row>
    <row r="1905" spans="1:18" ht="35.1" customHeight="1" x14ac:dyDescent="0.2">
      <c r="A1905" s="99"/>
      <c r="B1905" s="99"/>
      <c r="C1905" s="102"/>
      <c r="D1905" s="102"/>
      <c r="E1905" s="102"/>
      <c r="F1905" s="102"/>
      <c r="G1905" s="102"/>
      <c r="H1905" s="102"/>
      <c r="I1905" s="102"/>
      <c r="J1905" s="102"/>
      <c r="K1905" s="102"/>
      <c r="L1905" s="102"/>
      <c r="M1905" s="102"/>
      <c r="N1905" s="102"/>
      <c r="O1905" s="102"/>
      <c r="P1905" s="102"/>
      <c r="Q1905" s="102"/>
      <c r="R1905" s="102"/>
    </row>
    <row r="1906" spans="1:18" ht="35.1" customHeight="1" x14ac:dyDescent="0.2">
      <c r="A1906" s="99"/>
      <c r="B1906" s="99"/>
      <c r="C1906" s="102"/>
      <c r="D1906" s="102"/>
      <c r="E1906" s="102"/>
      <c r="F1906" s="102"/>
      <c r="G1906" s="102"/>
      <c r="H1906" s="102"/>
      <c r="I1906" s="102"/>
      <c r="J1906" s="102"/>
      <c r="K1906" s="102"/>
      <c r="L1906" s="102"/>
      <c r="M1906" s="102"/>
      <c r="N1906" s="102"/>
      <c r="O1906" s="102"/>
      <c r="P1906" s="102"/>
      <c r="Q1906" s="102"/>
      <c r="R1906" s="102"/>
    </row>
    <row r="1907" spans="1:18" ht="35.1" customHeight="1" x14ac:dyDescent="0.2">
      <c r="A1907" s="99"/>
      <c r="B1907" s="99"/>
      <c r="C1907" s="102"/>
      <c r="D1907" s="102"/>
      <c r="E1907" s="102"/>
      <c r="F1907" s="102"/>
      <c r="G1907" s="102"/>
      <c r="H1907" s="102"/>
      <c r="I1907" s="102"/>
      <c r="J1907" s="102"/>
      <c r="K1907" s="102"/>
      <c r="L1907" s="102"/>
      <c r="M1907" s="102"/>
      <c r="N1907" s="102"/>
      <c r="O1907" s="102"/>
      <c r="P1907" s="102"/>
      <c r="Q1907" s="102"/>
      <c r="R1907" s="102"/>
    </row>
    <row r="1908" spans="1:18" ht="35.1" customHeight="1" x14ac:dyDescent="0.2">
      <c r="A1908" s="99"/>
      <c r="B1908" s="99"/>
      <c r="C1908" s="102"/>
      <c r="D1908" s="102"/>
      <c r="E1908" s="102"/>
      <c r="F1908" s="102"/>
      <c r="G1908" s="102"/>
      <c r="H1908" s="102"/>
      <c r="I1908" s="102"/>
      <c r="J1908" s="102"/>
      <c r="K1908" s="102"/>
      <c r="L1908" s="102"/>
      <c r="M1908" s="102"/>
      <c r="N1908" s="102"/>
      <c r="O1908" s="102"/>
      <c r="P1908" s="102"/>
      <c r="Q1908" s="102"/>
      <c r="R1908" s="102"/>
    </row>
    <row r="1909" spans="1:18" ht="35.1" customHeight="1" x14ac:dyDescent="0.2">
      <c r="A1909" s="99"/>
      <c r="B1909" s="99"/>
      <c r="C1909" s="102"/>
      <c r="D1909" s="102"/>
      <c r="E1909" s="102"/>
      <c r="F1909" s="102"/>
      <c r="G1909" s="102"/>
      <c r="H1909" s="102"/>
      <c r="I1909" s="102"/>
      <c r="J1909" s="102"/>
      <c r="K1909" s="102"/>
      <c r="L1909" s="102"/>
      <c r="M1909" s="102"/>
      <c r="N1909" s="102"/>
      <c r="O1909" s="102"/>
      <c r="P1909" s="102"/>
      <c r="Q1909" s="102"/>
      <c r="R1909" s="102"/>
    </row>
    <row r="1910" spans="1:18" ht="35.1" customHeight="1" x14ac:dyDescent="0.2">
      <c r="A1910" s="99"/>
      <c r="B1910" s="99"/>
      <c r="C1910" s="102"/>
      <c r="D1910" s="102"/>
      <c r="E1910" s="102"/>
      <c r="F1910" s="102"/>
      <c r="G1910" s="102"/>
      <c r="H1910" s="102"/>
      <c r="I1910" s="102"/>
      <c r="J1910" s="102"/>
      <c r="K1910" s="102"/>
      <c r="L1910" s="102"/>
      <c r="M1910" s="102"/>
      <c r="N1910" s="102"/>
      <c r="O1910" s="102"/>
      <c r="P1910" s="102"/>
      <c r="Q1910" s="102"/>
      <c r="R1910" s="102"/>
    </row>
    <row r="1911" spans="1:18" ht="35.1" customHeight="1" x14ac:dyDescent="0.2">
      <c r="A1911" s="99"/>
      <c r="B1911" s="99"/>
      <c r="C1911" s="102"/>
      <c r="D1911" s="102"/>
      <c r="E1911" s="102"/>
      <c r="F1911" s="102"/>
      <c r="G1911" s="102"/>
      <c r="H1911" s="102"/>
      <c r="I1911" s="102"/>
      <c r="J1911" s="102"/>
      <c r="K1911" s="102"/>
      <c r="L1911" s="102"/>
      <c r="M1911" s="102"/>
      <c r="N1911" s="102"/>
      <c r="O1911" s="102"/>
      <c r="P1911" s="102"/>
      <c r="Q1911" s="102"/>
      <c r="R1911" s="102"/>
    </row>
    <row r="1912" spans="1:18" ht="35.1" customHeight="1" x14ac:dyDescent="0.2">
      <c r="A1912" s="99"/>
      <c r="B1912" s="99"/>
      <c r="C1912" s="102"/>
      <c r="D1912" s="102"/>
      <c r="E1912" s="102"/>
      <c r="F1912" s="102"/>
      <c r="G1912" s="102"/>
      <c r="H1912" s="102"/>
      <c r="I1912" s="102"/>
      <c r="J1912" s="102"/>
      <c r="K1912" s="102"/>
      <c r="L1912" s="102"/>
      <c r="M1912" s="102"/>
      <c r="N1912" s="102"/>
      <c r="O1912" s="102"/>
      <c r="P1912" s="102"/>
      <c r="Q1912" s="102"/>
      <c r="R1912" s="102"/>
    </row>
    <row r="1913" spans="1:18" ht="35.1" customHeight="1" x14ac:dyDescent="0.2">
      <c r="A1913" s="99"/>
      <c r="B1913" s="99"/>
      <c r="C1913" s="102"/>
      <c r="D1913" s="102"/>
      <c r="E1913" s="102"/>
      <c r="F1913" s="102"/>
      <c r="G1913" s="102"/>
      <c r="H1913" s="102"/>
      <c r="I1913" s="102"/>
      <c r="J1913" s="102"/>
      <c r="K1913" s="102"/>
      <c r="L1913" s="102"/>
      <c r="M1913" s="102"/>
      <c r="N1913" s="102"/>
      <c r="O1913" s="102"/>
      <c r="P1913" s="102"/>
      <c r="Q1913" s="102"/>
      <c r="R1913" s="102"/>
    </row>
    <row r="1914" spans="1:18" ht="35.1" customHeight="1" x14ac:dyDescent="0.2">
      <c r="A1914" s="99"/>
      <c r="B1914" s="99"/>
      <c r="C1914" s="102"/>
      <c r="D1914" s="102"/>
      <c r="E1914" s="102"/>
      <c r="F1914" s="102"/>
      <c r="G1914" s="102"/>
      <c r="H1914" s="102"/>
      <c r="I1914" s="102"/>
      <c r="J1914" s="102"/>
      <c r="K1914" s="102"/>
      <c r="L1914" s="102"/>
      <c r="M1914" s="102"/>
      <c r="N1914" s="102"/>
      <c r="O1914" s="102"/>
      <c r="P1914" s="102"/>
      <c r="Q1914" s="102"/>
      <c r="R1914" s="102"/>
    </row>
    <row r="1915" spans="1:18" ht="35.1" customHeight="1" x14ac:dyDescent="0.2">
      <c r="A1915" s="99"/>
      <c r="B1915" s="99"/>
      <c r="C1915" s="102"/>
      <c r="D1915" s="102"/>
      <c r="E1915" s="102"/>
      <c r="F1915" s="102"/>
      <c r="G1915" s="102"/>
      <c r="H1915" s="102"/>
      <c r="I1915" s="102"/>
      <c r="J1915" s="102"/>
      <c r="K1915" s="102"/>
      <c r="L1915" s="102"/>
      <c r="M1915" s="102"/>
      <c r="N1915" s="102"/>
      <c r="O1915" s="102"/>
      <c r="P1915" s="102"/>
      <c r="Q1915" s="102"/>
      <c r="R1915" s="102"/>
    </row>
    <row r="1916" spans="1:18" ht="35.1" customHeight="1" x14ac:dyDescent="0.2">
      <c r="A1916" s="99"/>
      <c r="B1916" s="99"/>
      <c r="C1916" s="102"/>
      <c r="D1916" s="102"/>
      <c r="E1916" s="102"/>
      <c r="F1916" s="102"/>
      <c r="G1916" s="102"/>
      <c r="H1916" s="102"/>
      <c r="I1916" s="102"/>
      <c r="J1916" s="102"/>
      <c r="K1916" s="102"/>
      <c r="L1916" s="102"/>
      <c r="M1916" s="102"/>
      <c r="N1916" s="102"/>
      <c r="O1916" s="102"/>
      <c r="P1916" s="102"/>
      <c r="Q1916" s="102"/>
      <c r="R1916" s="102"/>
    </row>
    <row r="1917" spans="1:18" ht="35.1" customHeight="1" x14ac:dyDescent="0.2">
      <c r="A1917" s="99"/>
      <c r="B1917" s="99"/>
      <c r="C1917" s="102"/>
      <c r="D1917" s="102"/>
      <c r="E1917" s="102"/>
      <c r="F1917" s="102"/>
      <c r="G1917" s="102"/>
      <c r="H1917" s="102"/>
      <c r="I1917" s="102"/>
      <c r="J1917" s="102"/>
      <c r="K1917" s="102"/>
      <c r="L1917" s="102"/>
      <c r="M1917" s="102"/>
      <c r="N1917" s="102"/>
      <c r="O1917" s="102"/>
      <c r="P1917" s="102"/>
      <c r="Q1917" s="102"/>
      <c r="R1917" s="102"/>
    </row>
    <row r="1918" spans="1:18" ht="35.1" customHeight="1" x14ac:dyDescent="0.2">
      <c r="A1918" s="99"/>
      <c r="B1918" s="99"/>
      <c r="C1918" s="102"/>
      <c r="D1918" s="102"/>
      <c r="E1918" s="102"/>
      <c r="F1918" s="102"/>
      <c r="G1918" s="102"/>
      <c r="H1918" s="102"/>
      <c r="I1918" s="102"/>
      <c r="J1918" s="102"/>
      <c r="K1918" s="102"/>
      <c r="L1918" s="102"/>
      <c r="M1918" s="102"/>
      <c r="N1918" s="102"/>
      <c r="O1918" s="102"/>
      <c r="P1918" s="102"/>
      <c r="Q1918" s="102"/>
      <c r="R1918" s="102"/>
    </row>
    <row r="1919" spans="1:18" ht="35.1" customHeight="1" x14ac:dyDescent="0.2">
      <c r="A1919" s="99"/>
      <c r="B1919" s="99"/>
      <c r="C1919" s="102"/>
      <c r="D1919" s="102"/>
      <c r="E1919" s="102"/>
      <c r="F1919" s="102"/>
      <c r="G1919" s="102"/>
      <c r="H1919" s="102"/>
      <c r="I1919" s="102"/>
      <c r="J1919" s="102"/>
      <c r="K1919" s="102"/>
      <c r="L1919" s="102"/>
      <c r="M1919" s="102"/>
      <c r="N1919" s="102"/>
      <c r="O1919" s="102"/>
      <c r="P1919" s="102"/>
      <c r="Q1919" s="102"/>
      <c r="R1919" s="102"/>
    </row>
    <row r="1920" spans="1:18" ht="35.1" customHeight="1" x14ac:dyDescent="0.2">
      <c r="A1920" s="99"/>
      <c r="B1920" s="99"/>
      <c r="C1920" s="102"/>
      <c r="D1920" s="102"/>
      <c r="E1920" s="102"/>
      <c r="F1920" s="102"/>
      <c r="G1920" s="102"/>
      <c r="H1920" s="102"/>
      <c r="I1920" s="102"/>
      <c r="J1920" s="102"/>
      <c r="K1920" s="102"/>
      <c r="L1920" s="102"/>
      <c r="M1920" s="102"/>
      <c r="N1920" s="102"/>
      <c r="O1920" s="102"/>
      <c r="P1920" s="102"/>
      <c r="Q1920" s="102"/>
      <c r="R1920" s="102"/>
    </row>
    <row r="1921" spans="1:18" ht="35.1" customHeight="1" x14ac:dyDescent="0.2">
      <c r="A1921" s="99"/>
      <c r="B1921" s="99"/>
      <c r="C1921" s="102"/>
      <c r="D1921" s="102"/>
      <c r="E1921" s="102"/>
      <c r="F1921" s="102"/>
      <c r="G1921" s="102"/>
      <c r="H1921" s="102"/>
      <c r="I1921" s="102"/>
      <c r="J1921" s="102"/>
      <c r="K1921" s="102"/>
      <c r="L1921" s="102"/>
      <c r="M1921" s="102"/>
      <c r="N1921" s="102"/>
      <c r="O1921" s="102"/>
      <c r="P1921" s="102"/>
      <c r="Q1921" s="102"/>
      <c r="R1921" s="102"/>
    </row>
    <row r="1922" spans="1:18" ht="35.1" customHeight="1" x14ac:dyDescent="0.2">
      <c r="A1922" s="99"/>
      <c r="B1922" s="99"/>
      <c r="C1922" s="102"/>
      <c r="D1922" s="102"/>
      <c r="E1922" s="102"/>
      <c r="F1922" s="102"/>
      <c r="G1922" s="102"/>
      <c r="H1922" s="102"/>
      <c r="I1922" s="102"/>
      <c r="J1922" s="102"/>
      <c r="K1922" s="102"/>
      <c r="L1922" s="102"/>
      <c r="M1922" s="102"/>
      <c r="N1922" s="102"/>
      <c r="O1922" s="102"/>
      <c r="P1922" s="102"/>
      <c r="Q1922" s="102"/>
      <c r="R1922" s="102"/>
    </row>
    <row r="1923" spans="1:18" ht="35.1" customHeight="1" x14ac:dyDescent="0.2">
      <c r="A1923" s="99"/>
      <c r="B1923" s="99"/>
      <c r="C1923" s="102"/>
      <c r="D1923" s="102"/>
      <c r="E1923" s="102"/>
      <c r="F1923" s="102"/>
      <c r="G1923" s="102"/>
      <c r="H1923" s="102"/>
      <c r="I1923" s="102"/>
      <c r="J1923" s="102"/>
      <c r="K1923" s="102"/>
      <c r="L1923" s="102"/>
      <c r="M1923" s="102"/>
      <c r="N1923" s="102"/>
      <c r="O1923" s="102"/>
      <c r="P1923" s="102"/>
      <c r="Q1923" s="102"/>
      <c r="R1923" s="102"/>
    </row>
    <row r="1924" spans="1:18" ht="35.1" customHeight="1" x14ac:dyDescent="0.2">
      <c r="A1924" s="99"/>
      <c r="B1924" s="99"/>
      <c r="C1924" s="102"/>
      <c r="D1924" s="102"/>
      <c r="E1924" s="102"/>
      <c r="F1924" s="102"/>
      <c r="G1924" s="102"/>
      <c r="H1924" s="102"/>
      <c r="I1924" s="102"/>
      <c r="J1924" s="102"/>
      <c r="K1924" s="102"/>
      <c r="L1924" s="102"/>
      <c r="M1924" s="102"/>
      <c r="N1924" s="102"/>
      <c r="O1924" s="102"/>
      <c r="P1924" s="102"/>
      <c r="Q1924" s="102"/>
      <c r="R1924" s="102"/>
    </row>
    <row r="1925" spans="1:18" ht="35.1" customHeight="1" x14ac:dyDescent="0.2">
      <c r="A1925" s="99"/>
      <c r="B1925" s="99"/>
      <c r="C1925" s="102"/>
      <c r="D1925" s="102"/>
      <c r="E1925" s="102"/>
      <c r="F1925" s="102"/>
      <c r="G1925" s="102"/>
      <c r="H1925" s="102"/>
      <c r="I1925" s="102"/>
      <c r="J1925" s="102"/>
      <c r="K1925" s="102"/>
      <c r="L1925" s="102"/>
      <c r="M1925" s="102"/>
      <c r="N1925" s="102"/>
      <c r="O1925" s="102"/>
      <c r="P1925" s="102"/>
      <c r="Q1925" s="102"/>
      <c r="R1925" s="102"/>
    </row>
    <row r="1926" spans="1:18" ht="35.1" customHeight="1" x14ac:dyDescent="0.2">
      <c r="A1926" s="99"/>
      <c r="B1926" s="99"/>
      <c r="C1926" s="102"/>
      <c r="D1926" s="102"/>
      <c r="E1926" s="102"/>
      <c r="F1926" s="102"/>
      <c r="G1926" s="102"/>
      <c r="H1926" s="102"/>
      <c r="I1926" s="102"/>
      <c r="J1926" s="102"/>
      <c r="K1926" s="102"/>
      <c r="L1926" s="102"/>
      <c r="M1926" s="102"/>
      <c r="N1926" s="102"/>
      <c r="O1926" s="102"/>
      <c r="P1926" s="102"/>
      <c r="Q1926" s="102"/>
      <c r="R1926" s="102"/>
    </row>
    <row r="1927" spans="1:18" ht="35.1" customHeight="1" x14ac:dyDescent="0.2">
      <c r="A1927" s="99"/>
      <c r="B1927" s="99"/>
      <c r="C1927" s="102"/>
      <c r="D1927" s="102"/>
      <c r="E1927" s="102"/>
      <c r="F1927" s="102"/>
      <c r="G1927" s="102"/>
      <c r="H1927" s="102"/>
      <c r="I1927" s="102"/>
      <c r="J1927" s="102"/>
      <c r="K1927" s="102"/>
      <c r="L1927" s="102"/>
      <c r="M1927" s="102"/>
      <c r="N1927" s="102"/>
      <c r="O1927" s="102"/>
      <c r="P1927" s="102"/>
      <c r="Q1927" s="102"/>
      <c r="R1927" s="102"/>
    </row>
    <row r="1928" spans="1:18" ht="35.1" customHeight="1" x14ac:dyDescent="0.2">
      <c r="A1928" s="99"/>
      <c r="B1928" s="99"/>
      <c r="C1928" s="102"/>
      <c r="D1928" s="102"/>
      <c r="E1928" s="102"/>
      <c r="F1928" s="102"/>
      <c r="G1928" s="102"/>
      <c r="H1928" s="102"/>
      <c r="I1928" s="102"/>
      <c r="J1928" s="102"/>
      <c r="K1928" s="102"/>
      <c r="L1928" s="102"/>
      <c r="M1928" s="102"/>
      <c r="N1928" s="102"/>
      <c r="O1928" s="102"/>
      <c r="P1928" s="102"/>
      <c r="Q1928" s="102"/>
      <c r="R1928" s="102"/>
    </row>
    <row r="1929" spans="1:18" ht="35.1" customHeight="1" x14ac:dyDescent="0.2">
      <c r="A1929" s="99"/>
      <c r="B1929" s="99"/>
      <c r="C1929" s="102"/>
      <c r="D1929" s="102"/>
      <c r="E1929" s="102"/>
      <c r="F1929" s="102"/>
      <c r="G1929" s="102"/>
      <c r="H1929" s="102"/>
      <c r="I1929" s="102"/>
      <c r="J1929" s="102"/>
      <c r="K1929" s="102"/>
      <c r="L1929" s="102"/>
      <c r="M1929" s="102"/>
      <c r="N1929" s="102"/>
      <c r="O1929" s="102"/>
      <c r="P1929" s="102"/>
      <c r="Q1929" s="102"/>
      <c r="R1929" s="102"/>
    </row>
    <row r="1930" spans="1:18" ht="35.1" customHeight="1" x14ac:dyDescent="0.2">
      <c r="A1930" s="99"/>
      <c r="B1930" s="99"/>
      <c r="C1930" s="102"/>
      <c r="D1930" s="102"/>
      <c r="E1930" s="102"/>
      <c r="F1930" s="102"/>
      <c r="G1930" s="102"/>
      <c r="H1930" s="102"/>
      <c r="I1930" s="102"/>
      <c r="J1930" s="102"/>
      <c r="K1930" s="102"/>
      <c r="L1930" s="102"/>
      <c r="M1930" s="102"/>
      <c r="N1930" s="102"/>
      <c r="O1930" s="102"/>
      <c r="P1930" s="102"/>
      <c r="Q1930" s="102"/>
      <c r="R1930" s="102"/>
    </row>
    <row r="1931" spans="1:18" ht="35.1" customHeight="1" x14ac:dyDescent="0.2">
      <c r="A1931" s="99"/>
      <c r="B1931" s="99"/>
      <c r="C1931" s="102"/>
      <c r="D1931" s="102"/>
      <c r="E1931" s="102"/>
      <c r="F1931" s="102"/>
      <c r="G1931" s="102"/>
      <c r="H1931" s="102"/>
      <c r="I1931" s="102"/>
      <c r="J1931" s="102"/>
      <c r="K1931" s="102"/>
      <c r="L1931" s="102"/>
      <c r="M1931" s="102"/>
      <c r="N1931" s="102"/>
      <c r="O1931" s="102"/>
      <c r="P1931" s="102"/>
      <c r="Q1931" s="102"/>
      <c r="R1931" s="102"/>
    </row>
    <row r="1932" spans="1:18" ht="35.1" customHeight="1" x14ac:dyDescent="0.2">
      <c r="A1932" s="99"/>
      <c r="B1932" s="99"/>
      <c r="C1932" s="102"/>
      <c r="D1932" s="102"/>
      <c r="E1932" s="102"/>
      <c r="F1932" s="102"/>
      <c r="G1932" s="102"/>
      <c r="H1932" s="102"/>
      <c r="I1932" s="102"/>
      <c r="J1932" s="102"/>
      <c r="K1932" s="102"/>
      <c r="L1932" s="102"/>
      <c r="M1932" s="102"/>
      <c r="N1932" s="102"/>
      <c r="O1932" s="102"/>
      <c r="P1932" s="102"/>
      <c r="Q1932" s="102"/>
      <c r="R1932" s="102"/>
    </row>
    <row r="1933" spans="1:18" ht="35.1" customHeight="1" x14ac:dyDescent="0.2">
      <c r="A1933" s="99"/>
      <c r="B1933" s="99"/>
      <c r="C1933" s="102"/>
      <c r="D1933" s="102"/>
      <c r="E1933" s="102"/>
      <c r="F1933" s="102"/>
      <c r="G1933" s="102"/>
      <c r="H1933" s="102"/>
      <c r="I1933" s="102"/>
      <c r="J1933" s="102"/>
      <c r="K1933" s="102"/>
      <c r="L1933" s="102"/>
      <c r="M1933" s="102"/>
      <c r="N1933" s="102"/>
      <c r="O1933" s="102"/>
      <c r="P1933" s="102"/>
      <c r="Q1933" s="102"/>
      <c r="R1933" s="102"/>
    </row>
    <row r="1934" spans="1:18" ht="35.1" customHeight="1" x14ac:dyDescent="0.2">
      <c r="A1934" s="99"/>
      <c r="B1934" s="99"/>
      <c r="C1934" s="102"/>
      <c r="D1934" s="102"/>
      <c r="E1934" s="102"/>
      <c r="F1934" s="102"/>
      <c r="G1934" s="102"/>
      <c r="H1934" s="102"/>
      <c r="I1934" s="102"/>
      <c r="J1934" s="102"/>
      <c r="K1934" s="102"/>
      <c r="L1934" s="102"/>
      <c r="M1934" s="102"/>
      <c r="N1934" s="102"/>
      <c r="O1934" s="102"/>
      <c r="P1934" s="102"/>
      <c r="Q1934" s="102"/>
      <c r="R1934" s="102"/>
    </row>
    <row r="1935" spans="1:18" ht="35.1" customHeight="1" x14ac:dyDescent="0.2">
      <c r="A1935" s="99"/>
      <c r="B1935" s="99"/>
      <c r="C1935" s="102"/>
      <c r="D1935" s="102"/>
      <c r="E1935" s="102"/>
      <c r="F1935" s="102"/>
      <c r="G1935" s="102"/>
      <c r="H1935" s="102"/>
      <c r="I1935" s="102"/>
      <c r="J1935" s="102"/>
      <c r="K1935" s="102"/>
      <c r="L1935" s="102"/>
      <c r="M1935" s="102"/>
      <c r="N1935" s="102"/>
      <c r="O1935" s="102"/>
      <c r="P1935" s="102"/>
      <c r="Q1935" s="102"/>
      <c r="R1935" s="102"/>
    </row>
    <row r="1936" spans="1:18" ht="35.1" customHeight="1" x14ac:dyDescent="0.2">
      <c r="A1936" s="99"/>
      <c r="B1936" s="99"/>
      <c r="C1936" s="102"/>
      <c r="D1936" s="102"/>
      <c r="E1936" s="102"/>
      <c r="F1936" s="102"/>
      <c r="G1936" s="102"/>
      <c r="H1936" s="102"/>
      <c r="I1936" s="102"/>
      <c r="J1936" s="102"/>
      <c r="K1936" s="102"/>
      <c r="L1936" s="102"/>
      <c r="M1936" s="102"/>
      <c r="N1936" s="102"/>
      <c r="O1936" s="102"/>
      <c r="P1936" s="102"/>
      <c r="Q1936" s="102"/>
      <c r="R1936" s="102"/>
    </row>
    <row r="1937" spans="1:18" ht="35.1" customHeight="1" x14ac:dyDescent="0.2">
      <c r="A1937" s="99"/>
      <c r="B1937" s="99"/>
      <c r="C1937" s="102"/>
      <c r="D1937" s="102"/>
      <c r="E1937" s="102"/>
      <c r="F1937" s="102"/>
      <c r="G1937" s="102"/>
      <c r="H1937" s="102"/>
      <c r="I1937" s="102"/>
      <c r="J1937" s="102"/>
      <c r="K1937" s="102"/>
      <c r="L1937" s="102"/>
      <c r="M1937" s="102"/>
      <c r="N1937" s="102"/>
      <c r="O1937" s="102"/>
      <c r="P1937" s="102"/>
      <c r="Q1937" s="102"/>
      <c r="R1937" s="102"/>
    </row>
    <row r="1938" spans="1:18" ht="35.1" customHeight="1" x14ac:dyDescent="0.2">
      <c r="A1938" s="99"/>
      <c r="B1938" s="99"/>
      <c r="C1938" s="102"/>
      <c r="D1938" s="102"/>
      <c r="E1938" s="102"/>
      <c r="F1938" s="102"/>
      <c r="G1938" s="102"/>
      <c r="H1938" s="102"/>
      <c r="I1938" s="102"/>
      <c r="J1938" s="102"/>
      <c r="K1938" s="102"/>
      <c r="L1938" s="102"/>
      <c r="M1938" s="102"/>
      <c r="N1938" s="102"/>
      <c r="O1938" s="102"/>
      <c r="P1938" s="102"/>
      <c r="Q1938" s="102"/>
      <c r="R1938" s="102"/>
    </row>
    <row r="1939" spans="1:18" ht="35.1" customHeight="1" x14ac:dyDescent="0.2">
      <c r="A1939" s="99"/>
      <c r="B1939" s="99"/>
      <c r="C1939" s="102"/>
      <c r="D1939" s="102"/>
      <c r="E1939" s="102"/>
      <c r="F1939" s="102"/>
      <c r="G1939" s="102"/>
      <c r="H1939" s="102"/>
      <c r="I1939" s="102"/>
      <c r="J1939" s="102"/>
      <c r="K1939" s="102"/>
      <c r="L1939" s="102"/>
      <c r="M1939" s="102"/>
      <c r="N1939" s="102"/>
      <c r="O1939" s="102"/>
      <c r="P1939" s="102"/>
      <c r="Q1939" s="102"/>
      <c r="R1939" s="102"/>
    </row>
    <row r="1940" spans="1:18" ht="35.1" customHeight="1" x14ac:dyDescent="0.2">
      <c r="A1940" s="99"/>
      <c r="B1940" s="99"/>
      <c r="C1940" s="102"/>
      <c r="D1940" s="102"/>
      <c r="E1940" s="102"/>
      <c r="F1940" s="102"/>
      <c r="G1940" s="102"/>
      <c r="H1940" s="102"/>
      <c r="I1940" s="102"/>
      <c r="J1940" s="102"/>
      <c r="K1940" s="102"/>
      <c r="L1940" s="102"/>
      <c r="M1940" s="102"/>
      <c r="N1940" s="102"/>
      <c r="O1940" s="102"/>
      <c r="P1940" s="102"/>
      <c r="Q1940" s="102"/>
      <c r="R1940" s="102"/>
    </row>
    <row r="1941" spans="1:18" ht="35.1" customHeight="1" x14ac:dyDescent="0.2">
      <c r="A1941" s="99"/>
      <c r="B1941" s="99"/>
      <c r="C1941" s="102"/>
      <c r="D1941" s="102"/>
      <c r="E1941" s="102"/>
      <c r="F1941" s="102"/>
      <c r="G1941" s="102"/>
      <c r="H1941" s="102"/>
      <c r="I1941" s="102"/>
      <c r="J1941" s="102"/>
      <c r="K1941" s="102"/>
      <c r="L1941" s="102"/>
      <c r="M1941" s="102"/>
      <c r="N1941" s="102"/>
      <c r="O1941" s="102"/>
      <c r="P1941" s="102"/>
      <c r="Q1941" s="102"/>
      <c r="R1941" s="102"/>
    </row>
    <row r="1942" spans="1:18" ht="35.1" customHeight="1" x14ac:dyDescent="0.2">
      <c r="A1942" s="99"/>
      <c r="B1942" s="99"/>
      <c r="C1942" s="102"/>
      <c r="D1942" s="102"/>
      <c r="E1942" s="102"/>
      <c r="F1942" s="102"/>
      <c r="G1942" s="102"/>
      <c r="H1942" s="102"/>
      <c r="I1942" s="102"/>
      <c r="J1942" s="102"/>
      <c r="K1942" s="102"/>
      <c r="L1942" s="102"/>
      <c r="M1942" s="102"/>
      <c r="N1942" s="102"/>
      <c r="O1942" s="102"/>
      <c r="P1942" s="102"/>
      <c r="Q1942" s="102"/>
      <c r="R1942" s="102"/>
    </row>
    <row r="1943" spans="1:18" ht="35.1" customHeight="1" x14ac:dyDescent="0.2">
      <c r="A1943" s="99"/>
      <c r="B1943" s="99"/>
      <c r="C1943" s="102"/>
      <c r="D1943" s="102"/>
      <c r="E1943" s="102"/>
      <c r="F1943" s="102"/>
      <c r="G1943" s="102"/>
      <c r="H1943" s="102"/>
      <c r="I1943" s="102"/>
      <c r="J1943" s="102"/>
      <c r="K1943" s="102"/>
      <c r="L1943" s="102"/>
      <c r="M1943" s="102"/>
      <c r="N1943" s="102"/>
      <c r="O1943" s="102"/>
      <c r="P1943" s="102"/>
      <c r="Q1943" s="102"/>
      <c r="R1943" s="102"/>
    </row>
    <row r="1944" spans="1:18" ht="35.1" customHeight="1" x14ac:dyDescent="0.2">
      <c r="A1944" s="99"/>
      <c r="B1944" s="99"/>
      <c r="C1944" s="102"/>
      <c r="D1944" s="102"/>
      <c r="E1944" s="102"/>
      <c r="F1944" s="102"/>
      <c r="G1944" s="102"/>
      <c r="H1944" s="102"/>
      <c r="I1944" s="102"/>
      <c r="J1944" s="102"/>
      <c r="K1944" s="102"/>
      <c r="L1944" s="102"/>
      <c r="M1944" s="102"/>
      <c r="N1944" s="102"/>
      <c r="O1944" s="102"/>
      <c r="P1944" s="102"/>
      <c r="Q1944" s="102"/>
      <c r="R1944" s="102"/>
    </row>
    <row r="1945" spans="1:18" ht="35.1" customHeight="1" x14ac:dyDescent="0.2">
      <c r="A1945" s="99"/>
      <c r="B1945" s="99"/>
      <c r="C1945" s="102"/>
      <c r="D1945" s="102"/>
      <c r="E1945" s="102"/>
      <c r="F1945" s="102"/>
      <c r="G1945" s="102"/>
      <c r="H1945" s="102"/>
      <c r="I1945" s="102"/>
      <c r="J1945" s="102"/>
      <c r="K1945" s="102"/>
      <c r="L1945" s="102"/>
      <c r="M1945" s="102"/>
      <c r="N1945" s="102"/>
      <c r="O1945" s="102"/>
      <c r="P1945" s="102"/>
      <c r="Q1945" s="102"/>
      <c r="R1945" s="102"/>
    </row>
    <row r="1946" spans="1:18" ht="35.1" customHeight="1" x14ac:dyDescent="0.2">
      <c r="A1946" s="99"/>
      <c r="B1946" s="99"/>
      <c r="C1946" s="102"/>
      <c r="D1946" s="102"/>
      <c r="E1946" s="102"/>
      <c r="F1946" s="102"/>
      <c r="G1946" s="102"/>
      <c r="H1946" s="102"/>
      <c r="I1946" s="102"/>
      <c r="J1946" s="102"/>
      <c r="K1946" s="102"/>
      <c r="L1946" s="102"/>
      <c r="M1946" s="102"/>
      <c r="N1946" s="102"/>
      <c r="O1946" s="102"/>
      <c r="P1946" s="102"/>
      <c r="Q1946" s="102"/>
      <c r="R1946" s="102"/>
    </row>
    <row r="1947" spans="1:18" ht="35.1" customHeight="1" x14ac:dyDescent="0.2">
      <c r="A1947" s="99"/>
      <c r="B1947" s="99"/>
      <c r="C1947" s="102"/>
      <c r="D1947" s="102"/>
      <c r="E1947" s="102"/>
      <c r="F1947" s="102"/>
      <c r="G1947" s="102"/>
      <c r="H1947" s="102"/>
      <c r="I1947" s="102"/>
      <c r="J1947" s="102"/>
      <c r="K1947" s="102"/>
      <c r="L1947" s="102"/>
      <c r="M1947" s="102"/>
      <c r="N1947" s="102"/>
      <c r="O1947" s="102"/>
      <c r="P1947" s="102"/>
      <c r="Q1947" s="102"/>
      <c r="R1947" s="102"/>
    </row>
    <row r="1948" spans="1:18" ht="35.1" customHeight="1" x14ac:dyDescent="0.2">
      <c r="A1948" s="99"/>
      <c r="B1948" s="99"/>
      <c r="C1948" s="102"/>
      <c r="D1948" s="102"/>
      <c r="E1948" s="102"/>
      <c r="F1948" s="102"/>
      <c r="G1948" s="102"/>
      <c r="H1948" s="102"/>
      <c r="I1948" s="102"/>
      <c r="J1948" s="102"/>
      <c r="K1948" s="102"/>
      <c r="L1948" s="102"/>
      <c r="M1948" s="102"/>
      <c r="N1948" s="102"/>
      <c r="O1948" s="102"/>
      <c r="P1948" s="102"/>
      <c r="Q1948" s="102"/>
      <c r="R1948" s="102"/>
    </row>
    <row r="1949" spans="1:18" ht="35.1" customHeight="1" x14ac:dyDescent="0.2">
      <c r="A1949" s="99"/>
      <c r="B1949" s="99"/>
      <c r="C1949" s="102"/>
      <c r="D1949" s="102"/>
      <c r="E1949" s="102"/>
      <c r="F1949" s="102"/>
      <c r="G1949" s="102"/>
      <c r="H1949" s="102"/>
      <c r="I1949" s="102"/>
      <c r="J1949" s="102"/>
      <c r="K1949" s="102"/>
      <c r="L1949" s="102"/>
      <c r="M1949" s="102"/>
      <c r="N1949" s="102"/>
      <c r="O1949" s="102"/>
      <c r="P1949" s="102"/>
      <c r="Q1949" s="102"/>
      <c r="R1949" s="102"/>
    </row>
    <row r="1950" spans="1:18" ht="35.1" customHeight="1" x14ac:dyDescent="0.2">
      <c r="A1950" s="99"/>
      <c r="B1950" s="99"/>
      <c r="C1950" s="102"/>
      <c r="D1950" s="102"/>
      <c r="E1950" s="102"/>
      <c r="F1950" s="102"/>
      <c r="G1950" s="102"/>
      <c r="H1950" s="102"/>
      <c r="I1950" s="102"/>
      <c r="J1950" s="102"/>
      <c r="K1950" s="102"/>
      <c r="L1950" s="102"/>
      <c r="M1950" s="102"/>
      <c r="N1950" s="102"/>
      <c r="O1950" s="102"/>
      <c r="P1950" s="102"/>
      <c r="Q1950" s="102"/>
      <c r="R1950" s="102"/>
    </row>
    <row r="1951" spans="1:18" ht="35.1" customHeight="1" x14ac:dyDescent="0.2">
      <c r="A1951" s="99"/>
      <c r="B1951" s="99"/>
      <c r="C1951" s="102"/>
      <c r="D1951" s="102"/>
      <c r="E1951" s="102"/>
      <c r="F1951" s="102"/>
      <c r="G1951" s="102"/>
      <c r="H1951" s="102"/>
      <c r="I1951" s="102"/>
      <c r="J1951" s="102"/>
      <c r="K1951" s="102"/>
      <c r="L1951" s="102"/>
      <c r="M1951" s="102"/>
      <c r="N1951" s="102"/>
      <c r="O1951" s="102"/>
      <c r="P1951" s="102"/>
      <c r="Q1951" s="102"/>
      <c r="R1951" s="102"/>
    </row>
    <row r="1952" spans="1:18" ht="35.1" customHeight="1" x14ac:dyDescent="0.2">
      <c r="A1952" s="99"/>
      <c r="B1952" s="99"/>
      <c r="C1952" s="102"/>
      <c r="D1952" s="102"/>
      <c r="E1952" s="102"/>
      <c r="F1952" s="102"/>
      <c r="G1952" s="102"/>
      <c r="H1952" s="102"/>
      <c r="I1952" s="102"/>
      <c r="J1952" s="102"/>
      <c r="K1952" s="102"/>
      <c r="L1952" s="102"/>
      <c r="M1952" s="102"/>
      <c r="N1952" s="102"/>
      <c r="O1952" s="102"/>
      <c r="P1952" s="102"/>
      <c r="Q1952" s="102"/>
      <c r="R1952" s="102"/>
    </row>
    <row r="1953" spans="1:18" ht="35.1" customHeight="1" x14ac:dyDescent="0.2">
      <c r="A1953" s="99"/>
      <c r="B1953" s="99"/>
      <c r="C1953" s="102"/>
      <c r="D1953" s="102"/>
      <c r="E1953" s="102"/>
      <c r="F1953" s="102"/>
      <c r="G1953" s="102"/>
      <c r="H1953" s="102"/>
      <c r="I1953" s="102"/>
      <c r="J1953" s="102"/>
      <c r="K1953" s="102"/>
      <c r="L1953" s="102"/>
      <c r="M1953" s="102"/>
      <c r="N1953" s="102"/>
      <c r="O1953" s="102"/>
      <c r="P1953" s="102"/>
      <c r="Q1953" s="102"/>
      <c r="R1953" s="102"/>
    </row>
    <row r="1954" spans="1:18" ht="35.1" customHeight="1" x14ac:dyDescent="0.2">
      <c r="A1954" s="99"/>
      <c r="B1954" s="99"/>
      <c r="C1954" s="102"/>
      <c r="D1954" s="102"/>
      <c r="E1954" s="102"/>
      <c r="F1954" s="102"/>
      <c r="G1954" s="102"/>
      <c r="H1954" s="102"/>
      <c r="I1954" s="102"/>
      <c r="J1954" s="102"/>
      <c r="K1954" s="102"/>
      <c r="L1954" s="102"/>
      <c r="M1954" s="102"/>
      <c r="N1954" s="102"/>
      <c r="O1954" s="102"/>
      <c r="P1954" s="102"/>
      <c r="Q1954" s="102"/>
      <c r="R1954" s="102"/>
    </row>
    <row r="1955" spans="1:18" ht="35.1" customHeight="1" x14ac:dyDescent="0.2">
      <c r="A1955" s="99"/>
      <c r="B1955" s="99"/>
      <c r="C1955" s="102"/>
      <c r="D1955" s="102"/>
      <c r="E1955" s="102"/>
      <c r="F1955" s="102"/>
      <c r="G1955" s="102"/>
      <c r="H1955" s="102"/>
      <c r="I1955" s="102"/>
      <c r="J1955" s="102"/>
      <c r="K1955" s="102"/>
      <c r="L1955" s="102"/>
      <c r="M1955" s="102"/>
      <c r="N1955" s="102"/>
      <c r="O1955" s="102"/>
      <c r="P1955" s="102"/>
      <c r="Q1955" s="102"/>
      <c r="R1955" s="102"/>
    </row>
    <row r="1956" spans="1:18" ht="35.1" customHeight="1" x14ac:dyDescent="0.2">
      <c r="A1956" s="99"/>
      <c r="B1956" s="99"/>
      <c r="C1956" s="102"/>
      <c r="D1956" s="102"/>
      <c r="E1956" s="102"/>
      <c r="F1956" s="102"/>
      <c r="G1956" s="102"/>
      <c r="H1956" s="102"/>
      <c r="I1956" s="102"/>
      <c r="J1956" s="102"/>
      <c r="K1956" s="102"/>
      <c r="L1956" s="102"/>
      <c r="M1956" s="102"/>
      <c r="N1956" s="102"/>
      <c r="O1956" s="102"/>
      <c r="P1956" s="102"/>
      <c r="Q1956" s="102"/>
      <c r="R1956" s="102"/>
    </row>
    <row r="1957" spans="1:18" ht="35.1" customHeight="1" x14ac:dyDescent="0.2">
      <c r="A1957" s="99"/>
      <c r="B1957" s="99"/>
      <c r="C1957" s="102"/>
      <c r="D1957" s="102"/>
      <c r="E1957" s="102"/>
      <c r="F1957" s="102"/>
      <c r="G1957" s="102"/>
      <c r="H1957" s="102"/>
      <c r="I1957" s="102"/>
      <c r="J1957" s="102"/>
      <c r="K1957" s="102"/>
      <c r="L1957" s="102"/>
      <c r="M1957" s="102"/>
      <c r="N1957" s="102"/>
      <c r="O1957" s="102"/>
      <c r="P1957" s="102"/>
      <c r="Q1957" s="102"/>
      <c r="R1957" s="102"/>
    </row>
    <row r="1958" spans="1:18" ht="35.1" customHeight="1" x14ac:dyDescent="0.2">
      <c r="A1958" s="99"/>
      <c r="B1958" s="99"/>
      <c r="C1958" s="102"/>
      <c r="D1958" s="102"/>
      <c r="E1958" s="102"/>
      <c r="F1958" s="102"/>
      <c r="G1958" s="102"/>
      <c r="H1958" s="102"/>
      <c r="I1958" s="102"/>
      <c r="J1958" s="102"/>
      <c r="K1958" s="102"/>
      <c r="L1958" s="102"/>
      <c r="M1958" s="102"/>
      <c r="N1958" s="102"/>
      <c r="O1958" s="102"/>
      <c r="P1958" s="102"/>
      <c r="Q1958" s="102"/>
      <c r="R1958" s="102"/>
    </row>
    <row r="1959" spans="1:18" ht="35.1" customHeight="1" x14ac:dyDescent="0.2">
      <c r="A1959" s="99"/>
      <c r="B1959" s="99"/>
      <c r="C1959" s="102"/>
      <c r="D1959" s="102"/>
      <c r="E1959" s="102"/>
      <c r="F1959" s="102"/>
      <c r="G1959" s="102"/>
      <c r="H1959" s="102"/>
      <c r="I1959" s="102"/>
      <c r="J1959" s="102"/>
      <c r="K1959" s="102"/>
      <c r="L1959" s="102"/>
      <c r="M1959" s="102"/>
      <c r="N1959" s="102"/>
      <c r="O1959" s="102"/>
      <c r="P1959" s="102"/>
      <c r="Q1959" s="102"/>
      <c r="R1959" s="102"/>
    </row>
    <row r="1960" spans="1:18" ht="35.1" customHeight="1" x14ac:dyDescent="0.2">
      <c r="A1960" s="99"/>
      <c r="B1960" s="99"/>
      <c r="C1960" s="102"/>
      <c r="D1960" s="102"/>
      <c r="E1960" s="102"/>
      <c r="F1960" s="102"/>
      <c r="G1960" s="102"/>
      <c r="H1960" s="102"/>
      <c r="I1960" s="102"/>
      <c r="J1960" s="102"/>
      <c r="K1960" s="102"/>
      <c r="L1960" s="102"/>
      <c r="M1960" s="102"/>
      <c r="N1960" s="102"/>
      <c r="O1960" s="102"/>
      <c r="P1960" s="102"/>
      <c r="Q1960" s="102"/>
      <c r="R1960" s="102"/>
    </row>
    <row r="1961" spans="1:18" ht="35.1" customHeight="1" x14ac:dyDescent="0.2">
      <c r="A1961" s="99"/>
      <c r="B1961" s="99"/>
      <c r="C1961" s="102"/>
      <c r="D1961" s="102"/>
      <c r="E1961" s="102"/>
      <c r="F1961" s="102"/>
      <c r="G1961" s="102"/>
      <c r="H1961" s="102"/>
      <c r="I1961" s="102"/>
      <c r="J1961" s="102"/>
      <c r="K1961" s="102"/>
      <c r="L1961" s="102"/>
      <c r="M1961" s="102"/>
      <c r="N1961" s="102"/>
      <c r="O1961" s="102"/>
      <c r="P1961" s="102"/>
      <c r="Q1961" s="102"/>
      <c r="R1961" s="102"/>
    </row>
    <row r="1962" spans="1:18" ht="35.1" customHeight="1" x14ac:dyDescent="0.2">
      <c r="A1962" s="99"/>
      <c r="B1962" s="99"/>
      <c r="C1962" s="102"/>
      <c r="D1962" s="102"/>
      <c r="E1962" s="102"/>
      <c r="F1962" s="102"/>
      <c r="G1962" s="102"/>
      <c r="H1962" s="102"/>
      <c r="I1962" s="102"/>
      <c r="J1962" s="102"/>
      <c r="K1962" s="102"/>
      <c r="L1962" s="102"/>
      <c r="M1962" s="102"/>
      <c r="N1962" s="102"/>
      <c r="O1962" s="102"/>
      <c r="P1962" s="102"/>
      <c r="Q1962" s="102"/>
      <c r="R1962" s="102"/>
    </row>
    <row r="1963" spans="1:18" ht="35.1" customHeight="1" x14ac:dyDescent="0.2">
      <c r="A1963" s="99"/>
      <c r="B1963" s="99"/>
      <c r="C1963" s="102"/>
      <c r="D1963" s="102"/>
      <c r="E1963" s="102"/>
      <c r="F1963" s="102"/>
      <c r="G1963" s="102"/>
      <c r="H1963" s="102"/>
      <c r="I1963" s="102"/>
      <c r="J1963" s="102"/>
      <c r="K1963" s="102"/>
      <c r="L1963" s="102"/>
      <c r="M1963" s="102"/>
      <c r="N1963" s="102"/>
      <c r="O1963" s="102"/>
      <c r="P1963" s="102"/>
      <c r="Q1963" s="102"/>
      <c r="R1963" s="102"/>
    </row>
    <row r="1964" spans="1:18" ht="35.1" customHeight="1" x14ac:dyDescent="0.2">
      <c r="A1964" s="99"/>
      <c r="B1964" s="99"/>
      <c r="C1964" s="102"/>
      <c r="D1964" s="102"/>
      <c r="E1964" s="102"/>
      <c r="F1964" s="102"/>
      <c r="G1964" s="102"/>
      <c r="H1964" s="102"/>
      <c r="I1964" s="102"/>
      <c r="J1964" s="102"/>
      <c r="K1964" s="102"/>
      <c r="L1964" s="102"/>
      <c r="M1964" s="102"/>
      <c r="N1964" s="102"/>
      <c r="O1964" s="102"/>
      <c r="P1964" s="102"/>
      <c r="Q1964" s="102"/>
      <c r="R1964" s="102"/>
    </row>
    <row r="1965" spans="1:18" ht="35.1" customHeight="1" x14ac:dyDescent="0.2">
      <c r="A1965" s="99"/>
      <c r="B1965" s="99"/>
      <c r="C1965" s="102"/>
      <c r="D1965" s="102"/>
      <c r="E1965" s="102"/>
      <c r="F1965" s="102"/>
      <c r="G1965" s="102"/>
      <c r="H1965" s="102"/>
      <c r="I1965" s="102"/>
      <c r="J1965" s="102"/>
      <c r="K1965" s="102"/>
      <c r="L1965" s="102"/>
      <c r="M1965" s="102"/>
      <c r="N1965" s="102"/>
      <c r="O1965" s="102"/>
      <c r="P1965" s="102"/>
      <c r="Q1965" s="102"/>
      <c r="R1965" s="102"/>
    </row>
    <row r="1966" spans="1:18" ht="35.1" customHeight="1" x14ac:dyDescent="0.2">
      <c r="A1966" s="99"/>
      <c r="B1966" s="99"/>
      <c r="C1966" s="102"/>
      <c r="D1966" s="102"/>
      <c r="E1966" s="102"/>
      <c r="F1966" s="102"/>
      <c r="G1966" s="102"/>
      <c r="H1966" s="102"/>
      <c r="I1966" s="102"/>
      <c r="J1966" s="102"/>
      <c r="K1966" s="102"/>
      <c r="L1966" s="102"/>
      <c r="M1966" s="102"/>
      <c r="N1966" s="102"/>
      <c r="O1966" s="102"/>
      <c r="P1966" s="102"/>
      <c r="Q1966" s="102"/>
      <c r="R1966" s="102"/>
    </row>
    <row r="1967" spans="1:18" ht="35.1" customHeight="1" x14ac:dyDescent="0.2">
      <c r="A1967" s="99"/>
      <c r="B1967" s="99"/>
      <c r="C1967" s="102"/>
      <c r="D1967" s="102"/>
      <c r="E1967" s="102"/>
      <c r="F1967" s="102"/>
      <c r="G1967" s="102"/>
      <c r="H1967" s="102"/>
      <c r="I1967" s="102"/>
      <c r="J1967" s="102"/>
      <c r="K1967" s="102"/>
      <c r="L1967" s="102"/>
      <c r="M1967" s="102"/>
      <c r="N1967" s="102"/>
      <c r="O1967" s="102"/>
      <c r="P1967" s="102"/>
      <c r="Q1967" s="102"/>
      <c r="R1967" s="102"/>
    </row>
    <row r="1968" spans="1:18" ht="35.1" customHeight="1" x14ac:dyDescent="0.2">
      <c r="A1968" s="99"/>
      <c r="B1968" s="99"/>
      <c r="C1968" s="102"/>
      <c r="D1968" s="102"/>
      <c r="E1968" s="102"/>
      <c r="F1968" s="102"/>
      <c r="G1968" s="102"/>
      <c r="H1968" s="102"/>
      <c r="I1968" s="102"/>
      <c r="J1968" s="102"/>
      <c r="K1968" s="102"/>
      <c r="L1968" s="102"/>
      <c r="M1968" s="102"/>
      <c r="N1968" s="102"/>
      <c r="O1968" s="102"/>
      <c r="P1968" s="102"/>
      <c r="Q1968" s="102"/>
      <c r="R1968" s="102"/>
    </row>
    <row r="1969" spans="1:18" ht="35.1" customHeight="1" x14ac:dyDescent="0.2">
      <c r="A1969" s="99"/>
      <c r="B1969" s="99"/>
      <c r="C1969" s="102"/>
      <c r="D1969" s="102"/>
      <c r="E1969" s="102"/>
      <c r="F1969" s="102"/>
      <c r="G1969" s="102"/>
      <c r="H1969" s="102"/>
      <c r="I1969" s="102"/>
      <c r="J1969" s="102"/>
      <c r="K1969" s="102"/>
      <c r="L1969" s="102"/>
      <c r="M1969" s="102"/>
      <c r="N1969" s="102"/>
      <c r="O1969" s="102"/>
      <c r="P1969" s="102"/>
      <c r="Q1969" s="102"/>
      <c r="R1969" s="102"/>
    </row>
    <row r="1970" spans="1:18" ht="35.1" customHeight="1" x14ac:dyDescent="0.2">
      <c r="A1970" s="99"/>
      <c r="B1970" s="99"/>
      <c r="C1970" s="102"/>
      <c r="D1970" s="102"/>
      <c r="E1970" s="102"/>
      <c r="F1970" s="102"/>
      <c r="G1970" s="102"/>
      <c r="H1970" s="102"/>
      <c r="I1970" s="102"/>
      <c r="J1970" s="102"/>
      <c r="K1970" s="102"/>
      <c r="L1970" s="102"/>
      <c r="M1970" s="102"/>
      <c r="N1970" s="102"/>
      <c r="O1970" s="102"/>
      <c r="P1970" s="102"/>
      <c r="Q1970" s="102"/>
      <c r="R1970" s="102"/>
    </row>
    <row r="1971" spans="1:18" ht="35.1" customHeight="1" x14ac:dyDescent="0.2">
      <c r="A1971" s="99"/>
      <c r="B1971" s="99"/>
      <c r="C1971" s="102"/>
      <c r="D1971" s="102"/>
      <c r="E1971" s="102"/>
      <c r="F1971" s="102"/>
      <c r="G1971" s="102"/>
      <c r="H1971" s="102"/>
      <c r="I1971" s="102"/>
      <c r="J1971" s="102"/>
      <c r="K1971" s="102"/>
      <c r="L1971" s="102"/>
      <c r="M1971" s="102"/>
      <c r="N1971" s="102"/>
      <c r="O1971" s="102"/>
      <c r="P1971" s="102"/>
      <c r="Q1971" s="102"/>
      <c r="R1971" s="102"/>
    </row>
    <row r="1972" spans="1:18" ht="35.1" customHeight="1" x14ac:dyDescent="0.2">
      <c r="A1972" s="99"/>
      <c r="B1972" s="99"/>
      <c r="C1972" s="102"/>
      <c r="D1972" s="102"/>
      <c r="E1972" s="102"/>
      <c r="F1972" s="102"/>
      <c r="G1972" s="102"/>
      <c r="H1972" s="102"/>
      <c r="I1972" s="102"/>
      <c r="J1972" s="102"/>
      <c r="K1972" s="102"/>
      <c r="L1972" s="102"/>
      <c r="M1972" s="102"/>
      <c r="N1972" s="102"/>
      <c r="O1972" s="102"/>
      <c r="P1972" s="102"/>
      <c r="Q1972" s="102"/>
      <c r="R1972" s="102"/>
    </row>
    <row r="1973" spans="1:18" ht="35.1" customHeight="1" x14ac:dyDescent="0.2">
      <c r="A1973" s="99"/>
      <c r="B1973" s="99"/>
      <c r="C1973" s="102"/>
      <c r="D1973" s="102"/>
      <c r="E1973" s="102"/>
      <c r="F1973" s="102"/>
      <c r="G1973" s="102"/>
      <c r="H1973" s="102"/>
      <c r="I1973" s="102"/>
      <c r="J1973" s="102"/>
      <c r="K1973" s="102"/>
      <c r="L1973" s="102"/>
      <c r="M1973" s="102"/>
      <c r="N1973" s="102"/>
      <c r="O1973" s="102"/>
      <c r="P1973" s="102"/>
      <c r="Q1973" s="102"/>
      <c r="R1973" s="102"/>
    </row>
    <row r="1974" spans="1:18" ht="35.1" customHeight="1" x14ac:dyDescent="0.2">
      <c r="A1974" s="99"/>
      <c r="B1974" s="99"/>
      <c r="C1974" s="102"/>
      <c r="D1974" s="102"/>
      <c r="E1974" s="102"/>
      <c r="F1974" s="102"/>
      <c r="G1974" s="102"/>
      <c r="H1974" s="102"/>
      <c r="I1974" s="102"/>
      <c r="J1974" s="102"/>
      <c r="K1974" s="102"/>
      <c r="L1974" s="102"/>
      <c r="M1974" s="102"/>
      <c r="N1974" s="102"/>
      <c r="O1974" s="102"/>
      <c r="P1974" s="102"/>
      <c r="Q1974" s="102"/>
      <c r="R1974" s="102"/>
    </row>
    <row r="1975" spans="1:18" ht="35.1" customHeight="1" x14ac:dyDescent="0.2">
      <c r="A1975" s="99"/>
      <c r="B1975" s="99"/>
      <c r="C1975" s="102"/>
      <c r="D1975" s="102"/>
      <c r="E1975" s="102"/>
      <c r="F1975" s="102"/>
      <c r="G1975" s="102"/>
      <c r="H1975" s="102"/>
      <c r="I1975" s="102"/>
      <c r="J1975" s="102"/>
      <c r="K1975" s="102"/>
      <c r="L1975" s="102"/>
      <c r="M1975" s="102"/>
      <c r="N1975" s="102"/>
      <c r="O1975" s="102"/>
      <c r="P1975" s="102"/>
      <c r="Q1975" s="102"/>
      <c r="R1975" s="102"/>
    </row>
    <row r="1976" spans="1:18" ht="35.1" customHeight="1" x14ac:dyDescent="0.2">
      <c r="A1976" s="99"/>
      <c r="B1976" s="99"/>
      <c r="C1976" s="102"/>
      <c r="D1976" s="102"/>
      <c r="E1976" s="102"/>
      <c r="F1976" s="102"/>
      <c r="G1976" s="102"/>
      <c r="H1976" s="102"/>
      <c r="I1976" s="102"/>
      <c r="J1976" s="102"/>
      <c r="K1976" s="102"/>
      <c r="L1976" s="102"/>
      <c r="M1976" s="102"/>
      <c r="N1976" s="102"/>
      <c r="O1976" s="102"/>
      <c r="P1976" s="102"/>
      <c r="Q1976" s="102"/>
      <c r="R1976" s="102"/>
    </row>
    <row r="1977" spans="1:18" ht="35.1" customHeight="1" x14ac:dyDescent="0.2">
      <c r="A1977" s="99"/>
      <c r="B1977" s="99"/>
      <c r="C1977" s="102"/>
      <c r="D1977" s="102"/>
      <c r="E1977" s="102"/>
      <c r="F1977" s="102"/>
      <c r="G1977" s="102"/>
      <c r="H1977" s="102"/>
      <c r="I1977" s="102"/>
      <c r="J1977" s="102"/>
      <c r="K1977" s="102"/>
      <c r="L1977" s="102"/>
      <c r="M1977" s="102"/>
      <c r="N1977" s="102"/>
      <c r="O1977" s="102"/>
      <c r="P1977" s="102"/>
      <c r="Q1977" s="102"/>
      <c r="R1977" s="102"/>
    </row>
    <row r="1978" spans="1:18" ht="35.1" customHeight="1" x14ac:dyDescent="0.2">
      <c r="A1978" s="99"/>
      <c r="B1978" s="99"/>
      <c r="C1978" s="102"/>
      <c r="D1978" s="102"/>
      <c r="E1978" s="102"/>
      <c r="F1978" s="102"/>
      <c r="G1978" s="102"/>
      <c r="H1978" s="102"/>
      <c r="I1978" s="102"/>
      <c r="J1978" s="102"/>
      <c r="K1978" s="102"/>
      <c r="L1978" s="102"/>
      <c r="M1978" s="102"/>
      <c r="N1978" s="102"/>
      <c r="O1978" s="102"/>
      <c r="P1978" s="102"/>
      <c r="Q1978" s="102"/>
      <c r="R1978" s="102"/>
    </row>
    <row r="1979" spans="1:18" ht="35.1" customHeight="1" x14ac:dyDescent="0.2">
      <c r="A1979" s="99"/>
      <c r="B1979" s="99"/>
      <c r="C1979" s="102"/>
      <c r="D1979" s="102"/>
      <c r="E1979" s="102"/>
      <c r="F1979" s="102"/>
      <c r="G1979" s="102"/>
      <c r="H1979" s="102"/>
      <c r="I1979" s="102"/>
      <c r="J1979" s="102"/>
      <c r="K1979" s="102"/>
      <c r="L1979" s="102"/>
      <c r="M1979" s="102"/>
      <c r="N1979" s="102"/>
      <c r="O1979" s="102"/>
      <c r="P1979" s="102"/>
      <c r="Q1979" s="102"/>
      <c r="R1979" s="102"/>
    </row>
    <row r="1980" spans="1:18" ht="35.1" customHeight="1" x14ac:dyDescent="0.2">
      <c r="A1980" s="99"/>
      <c r="B1980" s="99"/>
      <c r="C1980" s="102"/>
      <c r="D1980" s="102"/>
      <c r="E1980" s="102"/>
      <c r="F1980" s="102"/>
      <c r="G1980" s="102"/>
      <c r="H1980" s="102"/>
      <c r="I1980" s="102"/>
      <c r="J1980" s="102"/>
      <c r="K1980" s="102"/>
      <c r="L1980" s="102"/>
      <c r="M1980" s="102"/>
      <c r="N1980" s="102"/>
      <c r="O1980" s="102"/>
      <c r="P1980" s="102"/>
      <c r="Q1980" s="102"/>
      <c r="R1980" s="102"/>
    </row>
    <row r="1981" spans="1:18" ht="35.1" customHeight="1" x14ac:dyDescent="0.2">
      <c r="A1981" s="99"/>
      <c r="B1981" s="99"/>
      <c r="C1981" s="102"/>
      <c r="D1981" s="102"/>
      <c r="E1981" s="102"/>
      <c r="F1981" s="102"/>
      <c r="G1981" s="102"/>
      <c r="H1981" s="102"/>
      <c r="I1981" s="102"/>
      <c r="J1981" s="102"/>
      <c r="K1981" s="102"/>
      <c r="L1981" s="102"/>
      <c r="M1981" s="102"/>
      <c r="N1981" s="102"/>
      <c r="O1981" s="102"/>
      <c r="P1981" s="102"/>
      <c r="Q1981" s="102"/>
      <c r="R1981" s="102"/>
    </row>
    <row r="1982" spans="1:18" ht="35.1" customHeight="1" x14ac:dyDescent="0.2">
      <c r="A1982" s="99"/>
      <c r="B1982" s="99"/>
      <c r="C1982" s="102"/>
      <c r="D1982" s="102"/>
      <c r="E1982" s="102"/>
      <c r="F1982" s="102"/>
      <c r="G1982" s="102"/>
      <c r="H1982" s="102"/>
      <c r="I1982" s="102"/>
      <c r="J1982" s="102"/>
      <c r="K1982" s="102"/>
      <c r="L1982" s="102"/>
      <c r="M1982" s="102"/>
      <c r="N1982" s="102"/>
      <c r="O1982" s="102"/>
      <c r="P1982" s="102"/>
      <c r="Q1982" s="102"/>
      <c r="R1982" s="102"/>
    </row>
    <row r="1983" spans="1:18" ht="35.1" customHeight="1" x14ac:dyDescent="0.2">
      <c r="A1983" s="99"/>
      <c r="B1983" s="99"/>
      <c r="C1983" s="102"/>
      <c r="D1983" s="102"/>
      <c r="E1983" s="102"/>
      <c r="F1983" s="102"/>
      <c r="G1983" s="102"/>
      <c r="H1983" s="102"/>
      <c r="I1983" s="102"/>
      <c r="J1983" s="102"/>
      <c r="K1983" s="102"/>
      <c r="L1983" s="102"/>
      <c r="M1983" s="102"/>
      <c r="N1983" s="102"/>
      <c r="O1983" s="102"/>
      <c r="P1983" s="102"/>
      <c r="Q1983" s="102"/>
      <c r="R1983" s="102"/>
    </row>
    <row r="1984" spans="1:18" ht="35.1" customHeight="1" x14ac:dyDescent="0.2">
      <c r="A1984" s="99"/>
      <c r="B1984" s="99"/>
      <c r="C1984" s="102"/>
      <c r="D1984" s="102"/>
      <c r="E1984" s="102"/>
      <c r="F1984" s="102"/>
      <c r="G1984" s="102"/>
      <c r="H1984" s="102"/>
      <c r="I1984" s="102"/>
      <c r="J1984" s="102"/>
      <c r="K1984" s="102"/>
      <c r="L1984" s="102"/>
      <c r="M1984" s="102"/>
      <c r="N1984" s="102"/>
      <c r="O1984" s="102"/>
      <c r="P1984" s="102"/>
      <c r="Q1984" s="102"/>
      <c r="R1984" s="102"/>
    </row>
    <row r="1985" spans="1:18" ht="35.1" customHeight="1" x14ac:dyDescent="0.2">
      <c r="A1985" s="99"/>
      <c r="B1985" s="99"/>
      <c r="C1985" s="102"/>
      <c r="D1985" s="102"/>
      <c r="E1985" s="102"/>
      <c r="F1985" s="102"/>
      <c r="G1985" s="102"/>
      <c r="H1985" s="102"/>
      <c r="I1985" s="102"/>
      <c r="J1985" s="102"/>
      <c r="K1985" s="102"/>
      <c r="L1985" s="102"/>
      <c r="M1985" s="102"/>
      <c r="N1985" s="102"/>
      <c r="O1985" s="102"/>
      <c r="P1985" s="102"/>
      <c r="Q1985" s="102"/>
      <c r="R1985" s="102"/>
    </row>
    <row r="1986" spans="1:18" ht="35.1" customHeight="1" x14ac:dyDescent="0.2">
      <c r="A1986" s="99"/>
      <c r="B1986" s="99"/>
      <c r="C1986" s="102"/>
      <c r="D1986" s="102"/>
      <c r="E1986" s="102"/>
      <c r="F1986" s="102"/>
      <c r="G1986" s="102"/>
      <c r="H1986" s="102"/>
      <c r="I1986" s="102"/>
      <c r="J1986" s="102"/>
      <c r="K1986" s="102"/>
      <c r="L1986" s="102"/>
      <c r="M1986" s="102"/>
      <c r="N1986" s="102"/>
      <c r="O1986" s="102"/>
      <c r="P1986" s="102"/>
      <c r="Q1986" s="102"/>
      <c r="R1986" s="102"/>
    </row>
    <row r="1987" spans="1:18" ht="35.1" customHeight="1" x14ac:dyDescent="0.2">
      <c r="A1987" s="99"/>
      <c r="B1987" s="99"/>
      <c r="C1987" s="102"/>
      <c r="D1987" s="102"/>
      <c r="E1987" s="102"/>
      <c r="F1987" s="102"/>
      <c r="G1987" s="102"/>
      <c r="H1987" s="102"/>
      <c r="I1987" s="102"/>
      <c r="J1987" s="102"/>
      <c r="K1987" s="102"/>
      <c r="L1987" s="102"/>
      <c r="M1987" s="102"/>
      <c r="N1987" s="102"/>
      <c r="O1987" s="102"/>
      <c r="P1987" s="102"/>
      <c r="Q1987" s="102"/>
      <c r="R1987" s="102"/>
    </row>
    <row r="1988" spans="1:18" ht="35.1" customHeight="1" x14ac:dyDescent="0.2">
      <c r="A1988" s="99"/>
      <c r="B1988" s="99"/>
      <c r="C1988" s="102"/>
      <c r="D1988" s="102"/>
      <c r="E1988" s="102"/>
      <c r="F1988" s="102"/>
      <c r="G1988" s="102"/>
      <c r="H1988" s="102"/>
      <c r="I1988" s="102"/>
      <c r="J1988" s="102"/>
      <c r="K1988" s="102"/>
      <c r="L1988" s="102"/>
      <c r="M1988" s="102"/>
      <c r="N1988" s="102"/>
      <c r="O1988" s="102"/>
      <c r="P1988" s="102"/>
      <c r="Q1988" s="102"/>
      <c r="R1988" s="102"/>
    </row>
    <row r="1989" spans="1:18" ht="35.1" customHeight="1" x14ac:dyDescent="0.2">
      <c r="A1989" s="99"/>
      <c r="B1989" s="99"/>
      <c r="C1989" s="102"/>
      <c r="D1989" s="102"/>
      <c r="E1989" s="102"/>
      <c r="F1989" s="102"/>
      <c r="G1989" s="102"/>
      <c r="H1989" s="102"/>
      <c r="I1989" s="102"/>
      <c r="J1989" s="102"/>
      <c r="K1989" s="102"/>
      <c r="L1989" s="102"/>
      <c r="M1989" s="102"/>
      <c r="N1989" s="102"/>
      <c r="O1989" s="102"/>
      <c r="P1989" s="102"/>
      <c r="Q1989" s="102"/>
      <c r="R1989" s="102"/>
    </row>
    <row r="1990" spans="1:18" ht="35.1" customHeight="1" x14ac:dyDescent="0.2">
      <c r="A1990" s="99"/>
      <c r="B1990" s="99"/>
      <c r="C1990" s="102"/>
      <c r="D1990" s="102"/>
      <c r="E1990" s="102"/>
      <c r="F1990" s="102"/>
      <c r="G1990" s="102"/>
      <c r="H1990" s="102"/>
      <c r="I1990" s="102"/>
      <c r="J1990" s="102"/>
      <c r="K1990" s="102"/>
      <c r="L1990" s="102"/>
      <c r="M1990" s="102"/>
      <c r="N1990" s="102"/>
      <c r="O1990" s="102"/>
      <c r="P1990" s="102"/>
      <c r="Q1990" s="102"/>
      <c r="R1990" s="102"/>
    </row>
    <row r="1991" spans="1:18" ht="35.1" customHeight="1" x14ac:dyDescent="0.2">
      <c r="A1991" s="99"/>
      <c r="B1991" s="99"/>
      <c r="C1991" s="102"/>
      <c r="D1991" s="102"/>
      <c r="E1991" s="102"/>
      <c r="F1991" s="102"/>
      <c r="G1991" s="102"/>
      <c r="H1991" s="102"/>
      <c r="I1991" s="102"/>
      <c r="J1991" s="102"/>
      <c r="K1991" s="102"/>
      <c r="L1991" s="102"/>
      <c r="M1991" s="102"/>
      <c r="N1991" s="102"/>
      <c r="O1991" s="102"/>
      <c r="P1991" s="102"/>
      <c r="Q1991" s="102"/>
      <c r="R1991" s="102"/>
    </row>
    <row r="1992" spans="1:18" ht="35.1" customHeight="1" x14ac:dyDescent="0.2">
      <c r="A1992" s="99"/>
      <c r="B1992" s="99"/>
      <c r="C1992" s="102"/>
      <c r="D1992" s="102"/>
      <c r="E1992" s="102"/>
      <c r="F1992" s="102"/>
      <c r="G1992" s="102"/>
      <c r="H1992" s="102"/>
      <c r="I1992" s="102"/>
      <c r="J1992" s="102"/>
      <c r="K1992" s="102"/>
      <c r="L1992" s="102"/>
      <c r="M1992" s="102"/>
      <c r="N1992" s="102"/>
      <c r="O1992" s="102"/>
      <c r="P1992" s="102"/>
      <c r="Q1992" s="102"/>
      <c r="R1992" s="102"/>
    </row>
    <row r="1993" spans="1:18" ht="35.1" customHeight="1" x14ac:dyDescent="0.2">
      <c r="A1993" s="99"/>
      <c r="B1993" s="99"/>
      <c r="C1993" s="102"/>
      <c r="D1993" s="102"/>
      <c r="E1993" s="102"/>
      <c r="F1993" s="102"/>
      <c r="G1993" s="102"/>
      <c r="H1993" s="102"/>
      <c r="I1993" s="102"/>
      <c r="J1993" s="102"/>
      <c r="K1993" s="102"/>
      <c r="L1993" s="102"/>
      <c r="M1993" s="102"/>
      <c r="N1993" s="102"/>
      <c r="O1993" s="102"/>
      <c r="P1993" s="102"/>
      <c r="Q1993" s="102"/>
      <c r="R1993" s="102"/>
    </row>
    <row r="1994" spans="1:18" ht="35.1" customHeight="1" x14ac:dyDescent="0.2">
      <c r="A1994" s="99"/>
      <c r="B1994" s="99"/>
      <c r="C1994" s="102"/>
      <c r="D1994" s="102"/>
      <c r="E1994" s="102"/>
      <c r="F1994" s="102"/>
      <c r="G1994" s="102"/>
      <c r="H1994" s="102"/>
      <c r="I1994" s="102"/>
      <c r="J1994" s="102"/>
      <c r="K1994" s="102"/>
      <c r="L1994" s="102"/>
      <c r="M1994" s="102"/>
      <c r="N1994" s="102"/>
      <c r="O1994" s="102"/>
      <c r="P1994" s="102"/>
      <c r="Q1994" s="102"/>
      <c r="R1994" s="102"/>
    </row>
    <row r="1995" spans="1:18" ht="35.1" customHeight="1" x14ac:dyDescent="0.2">
      <c r="A1995" s="99"/>
      <c r="B1995" s="99"/>
      <c r="C1995" s="102"/>
      <c r="D1995" s="102"/>
      <c r="E1995" s="102"/>
      <c r="F1995" s="102"/>
      <c r="G1995" s="102"/>
      <c r="H1995" s="102"/>
      <c r="I1995" s="102"/>
      <c r="J1995" s="102"/>
      <c r="K1995" s="102"/>
      <c r="L1995" s="102"/>
      <c r="M1995" s="102"/>
      <c r="N1995" s="102"/>
      <c r="O1995" s="102"/>
      <c r="P1995" s="102"/>
      <c r="Q1995" s="102"/>
      <c r="R1995" s="102"/>
    </row>
    <row r="1996" spans="1:18" ht="35.1" customHeight="1" x14ac:dyDescent="0.2">
      <c r="A1996" s="99"/>
      <c r="B1996" s="99"/>
      <c r="C1996" s="102"/>
      <c r="D1996" s="102"/>
      <c r="E1996" s="102"/>
      <c r="F1996" s="102"/>
      <c r="G1996" s="102"/>
      <c r="H1996" s="102"/>
      <c r="I1996" s="102"/>
      <c r="J1996" s="102"/>
      <c r="K1996" s="102"/>
      <c r="L1996" s="102"/>
      <c r="M1996" s="102"/>
      <c r="N1996" s="102"/>
      <c r="O1996" s="102"/>
      <c r="P1996" s="102"/>
      <c r="Q1996" s="102"/>
      <c r="R1996" s="102"/>
    </row>
    <row r="1997" spans="1:18" ht="35.1" customHeight="1" x14ac:dyDescent="0.2">
      <c r="A1997" s="99"/>
      <c r="B1997" s="99"/>
      <c r="C1997" s="102"/>
      <c r="D1997" s="102"/>
      <c r="E1997" s="102"/>
      <c r="F1997" s="102"/>
      <c r="G1997" s="102"/>
      <c r="H1997" s="102"/>
      <c r="I1997" s="102"/>
      <c r="J1997" s="102"/>
      <c r="K1997" s="102"/>
      <c r="L1997" s="102"/>
      <c r="M1997" s="102"/>
      <c r="N1997" s="102"/>
      <c r="O1997" s="102"/>
      <c r="P1997" s="102"/>
      <c r="Q1997" s="102"/>
      <c r="R1997" s="102"/>
    </row>
    <row r="1998" spans="1:18" ht="35.1" customHeight="1" x14ac:dyDescent="0.2">
      <c r="A1998" s="99"/>
      <c r="B1998" s="99"/>
      <c r="C1998" s="102"/>
      <c r="D1998" s="102"/>
      <c r="E1998" s="102"/>
      <c r="F1998" s="102"/>
      <c r="G1998" s="102"/>
      <c r="H1998" s="102"/>
      <c r="I1998" s="102"/>
      <c r="J1998" s="102"/>
      <c r="K1998" s="102"/>
      <c r="L1998" s="102"/>
      <c r="M1998" s="102"/>
      <c r="N1998" s="102"/>
      <c r="O1998" s="102"/>
      <c r="P1998" s="102"/>
      <c r="Q1998" s="102"/>
      <c r="R1998" s="102"/>
    </row>
    <row r="1999" spans="1:18" ht="35.1" customHeight="1" x14ac:dyDescent="0.2">
      <c r="A1999" s="99"/>
      <c r="B1999" s="99"/>
      <c r="C1999" s="102"/>
      <c r="D1999" s="102"/>
      <c r="E1999" s="102"/>
      <c r="F1999" s="102"/>
      <c r="G1999" s="102"/>
      <c r="H1999" s="102"/>
      <c r="I1999" s="102"/>
      <c r="J1999" s="102"/>
      <c r="K1999" s="102"/>
      <c r="L1999" s="102"/>
      <c r="M1999" s="102"/>
      <c r="N1999" s="102"/>
      <c r="O1999" s="102"/>
      <c r="P1999" s="102"/>
      <c r="Q1999" s="102"/>
      <c r="R1999" s="102"/>
    </row>
    <row r="2000" spans="1:18" ht="35.1" customHeight="1" x14ac:dyDescent="0.2">
      <c r="A2000" s="99"/>
      <c r="B2000" s="99"/>
      <c r="C2000" s="102"/>
      <c r="D2000" s="102"/>
      <c r="E2000" s="102"/>
      <c r="F2000" s="102"/>
      <c r="G2000" s="102"/>
      <c r="H2000" s="102"/>
      <c r="I2000" s="102"/>
      <c r="J2000" s="102"/>
      <c r="K2000" s="102"/>
      <c r="L2000" s="102"/>
      <c r="M2000" s="102"/>
      <c r="N2000" s="102"/>
      <c r="O2000" s="102"/>
      <c r="P2000" s="102"/>
      <c r="Q2000" s="102"/>
      <c r="R2000" s="102"/>
    </row>
    <row r="2001" spans="1:18" ht="35.1" customHeight="1" x14ac:dyDescent="0.2">
      <c r="A2001" s="99"/>
      <c r="B2001" s="99"/>
      <c r="C2001" s="102"/>
      <c r="D2001" s="102"/>
      <c r="E2001" s="102"/>
      <c r="F2001" s="102"/>
      <c r="G2001" s="102"/>
      <c r="H2001" s="102"/>
      <c r="I2001" s="102"/>
      <c r="J2001" s="102"/>
      <c r="K2001" s="102"/>
      <c r="L2001" s="102"/>
      <c r="M2001" s="102"/>
      <c r="N2001" s="102"/>
      <c r="O2001" s="102"/>
      <c r="P2001" s="102"/>
      <c r="Q2001" s="102"/>
      <c r="R2001" s="102"/>
    </row>
    <row r="2002" spans="1:18" ht="35.1" customHeight="1" x14ac:dyDescent="0.2">
      <c r="A2002" s="99"/>
      <c r="B2002" s="99"/>
      <c r="C2002" s="102"/>
      <c r="D2002" s="102"/>
      <c r="E2002" s="102"/>
      <c r="F2002" s="102"/>
      <c r="G2002" s="102"/>
      <c r="H2002" s="102"/>
      <c r="I2002" s="102"/>
      <c r="J2002" s="102"/>
      <c r="K2002" s="102"/>
      <c r="L2002" s="102"/>
      <c r="M2002" s="102"/>
      <c r="N2002" s="102"/>
      <c r="O2002" s="102"/>
      <c r="P2002" s="102"/>
      <c r="Q2002" s="102"/>
      <c r="R2002" s="102"/>
    </row>
    <row r="2003" spans="1:18" ht="35.1" customHeight="1" x14ac:dyDescent="0.2">
      <c r="A2003" s="99"/>
      <c r="B2003" s="99"/>
      <c r="C2003" s="102"/>
      <c r="D2003" s="102"/>
      <c r="E2003" s="102"/>
      <c r="F2003" s="102"/>
      <c r="G2003" s="102"/>
      <c r="H2003" s="102"/>
      <c r="I2003" s="102"/>
      <c r="J2003" s="102"/>
      <c r="K2003" s="102"/>
      <c r="L2003" s="102"/>
      <c r="M2003" s="102"/>
      <c r="N2003" s="102"/>
      <c r="O2003" s="102"/>
      <c r="P2003" s="102"/>
      <c r="Q2003" s="102"/>
      <c r="R2003" s="102"/>
    </row>
    <row r="2004" spans="1:18" ht="35.1" customHeight="1" x14ac:dyDescent="0.2">
      <c r="A2004" s="99"/>
      <c r="B2004" s="99"/>
      <c r="C2004" s="102"/>
      <c r="D2004" s="102"/>
      <c r="E2004" s="102"/>
      <c r="F2004" s="102"/>
      <c r="G2004" s="102"/>
      <c r="H2004" s="102"/>
      <c r="I2004" s="102"/>
      <c r="J2004" s="102"/>
      <c r="K2004" s="102"/>
      <c r="L2004" s="102"/>
      <c r="M2004" s="102"/>
      <c r="N2004" s="102"/>
      <c r="O2004" s="102"/>
      <c r="P2004" s="102"/>
      <c r="Q2004" s="102"/>
      <c r="R2004" s="102"/>
    </row>
    <row r="2005" spans="1:18" ht="35.1" customHeight="1" x14ac:dyDescent="0.2">
      <c r="A2005" s="99"/>
      <c r="B2005" s="99"/>
      <c r="C2005" s="102"/>
      <c r="D2005" s="102"/>
      <c r="E2005" s="102"/>
      <c r="F2005" s="102"/>
      <c r="G2005" s="102"/>
      <c r="H2005" s="102"/>
      <c r="I2005" s="102"/>
      <c r="J2005" s="102"/>
      <c r="K2005" s="102"/>
      <c r="L2005" s="102"/>
      <c r="M2005" s="102"/>
      <c r="N2005" s="102"/>
      <c r="O2005" s="102"/>
      <c r="P2005" s="102"/>
      <c r="Q2005" s="102"/>
      <c r="R2005" s="102"/>
    </row>
    <row r="2006" spans="1:18" ht="35.1" customHeight="1" x14ac:dyDescent="0.2">
      <c r="A2006" s="99"/>
      <c r="B2006" s="99"/>
      <c r="C2006" s="102"/>
      <c r="D2006" s="102"/>
      <c r="E2006" s="102"/>
      <c r="F2006" s="102"/>
      <c r="G2006" s="102"/>
      <c r="H2006" s="102"/>
      <c r="I2006" s="102"/>
      <c r="J2006" s="102"/>
      <c r="K2006" s="102"/>
      <c r="L2006" s="102"/>
      <c r="M2006" s="102"/>
      <c r="N2006" s="102"/>
      <c r="O2006" s="102"/>
      <c r="P2006" s="102"/>
      <c r="Q2006" s="102"/>
      <c r="R2006" s="102"/>
    </row>
    <row r="2007" spans="1:18" ht="35.1" customHeight="1" x14ac:dyDescent="0.2">
      <c r="A2007" s="99"/>
      <c r="B2007" s="99"/>
      <c r="C2007" s="102"/>
      <c r="D2007" s="102"/>
      <c r="E2007" s="102"/>
      <c r="F2007" s="102"/>
      <c r="G2007" s="102"/>
      <c r="H2007" s="102"/>
      <c r="I2007" s="102"/>
      <c r="J2007" s="102"/>
      <c r="K2007" s="102"/>
      <c r="L2007" s="102"/>
      <c r="M2007" s="102"/>
      <c r="N2007" s="102"/>
      <c r="O2007" s="102"/>
      <c r="P2007" s="102"/>
      <c r="Q2007" s="102"/>
      <c r="R2007" s="102"/>
    </row>
    <row r="2008" spans="1:18" ht="35.1" customHeight="1" x14ac:dyDescent="0.2">
      <c r="A2008" s="99"/>
      <c r="B2008" s="99"/>
      <c r="C2008" s="102"/>
      <c r="D2008" s="102"/>
      <c r="E2008" s="102"/>
      <c r="F2008" s="102"/>
      <c r="G2008" s="102"/>
      <c r="H2008" s="102"/>
      <c r="I2008" s="102"/>
      <c r="J2008" s="102"/>
      <c r="K2008" s="102"/>
      <c r="L2008" s="102"/>
      <c r="M2008" s="102"/>
      <c r="N2008" s="102"/>
      <c r="O2008" s="102"/>
      <c r="P2008" s="102"/>
      <c r="Q2008" s="102"/>
      <c r="R2008" s="102"/>
    </row>
    <row r="2009" spans="1:18" ht="35.1" customHeight="1" x14ac:dyDescent="0.2">
      <c r="A2009" s="99"/>
      <c r="B2009" s="99"/>
      <c r="C2009" s="102"/>
      <c r="D2009" s="102"/>
      <c r="E2009" s="102"/>
      <c r="F2009" s="102"/>
      <c r="G2009" s="102"/>
      <c r="H2009" s="102"/>
      <c r="I2009" s="102"/>
      <c r="J2009" s="102"/>
      <c r="K2009" s="102"/>
      <c r="L2009" s="102"/>
      <c r="M2009" s="102"/>
      <c r="N2009" s="102"/>
      <c r="O2009" s="102"/>
      <c r="P2009" s="102"/>
      <c r="Q2009" s="102"/>
      <c r="R2009" s="102"/>
    </row>
    <row r="2010" spans="1:18" ht="35.1" customHeight="1" x14ac:dyDescent="0.2">
      <c r="A2010" s="99"/>
      <c r="B2010" s="99"/>
      <c r="C2010" s="102"/>
      <c r="D2010" s="102"/>
      <c r="E2010" s="102"/>
      <c r="F2010" s="102"/>
      <c r="G2010" s="102"/>
      <c r="H2010" s="102"/>
      <c r="I2010" s="102"/>
      <c r="J2010" s="102"/>
      <c r="K2010" s="102"/>
      <c r="L2010" s="102"/>
      <c r="M2010" s="102"/>
      <c r="N2010" s="102"/>
      <c r="O2010" s="102"/>
      <c r="P2010" s="102"/>
      <c r="Q2010" s="102"/>
      <c r="R2010" s="102"/>
    </row>
    <row r="2011" spans="1:18" ht="35.1" customHeight="1" x14ac:dyDescent="0.2">
      <c r="A2011" s="99"/>
      <c r="B2011" s="99"/>
      <c r="C2011" s="102"/>
      <c r="D2011" s="102"/>
      <c r="E2011" s="102"/>
      <c r="F2011" s="102"/>
      <c r="G2011" s="102"/>
      <c r="H2011" s="102"/>
      <c r="I2011" s="102"/>
      <c r="J2011" s="102"/>
      <c r="K2011" s="102"/>
      <c r="L2011" s="102"/>
      <c r="M2011" s="102"/>
      <c r="N2011" s="102"/>
      <c r="O2011" s="102"/>
      <c r="P2011" s="102"/>
      <c r="Q2011" s="102"/>
      <c r="R2011" s="102"/>
    </row>
    <row r="2012" spans="1:18" ht="35.1" customHeight="1" x14ac:dyDescent="0.2">
      <c r="A2012" s="99"/>
      <c r="B2012" s="99"/>
      <c r="C2012" s="102"/>
      <c r="D2012" s="102"/>
      <c r="E2012" s="102"/>
      <c r="F2012" s="102"/>
      <c r="G2012" s="102"/>
      <c r="H2012" s="102"/>
      <c r="I2012" s="102"/>
      <c r="J2012" s="102"/>
      <c r="K2012" s="102"/>
      <c r="L2012" s="102"/>
      <c r="M2012" s="102"/>
      <c r="N2012" s="102"/>
      <c r="O2012" s="102"/>
      <c r="P2012" s="102"/>
      <c r="Q2012" s="102"/>
      <c r="R2012" s="102"/>
    </row>
    <row r="2013" spans="1:18" ht="35.1" customHeight="1" x14ac:dyDescent="0.2">
      <c r="A2013" s="99"/>
      <c r="B2013" s="99"/>
      <c r="C2013" s="102"/>
      <c r="D2013" s="102"/>
      <c r="E2013" s="102"/>
      <c r="F2013" s="102"/>
      <c r="G2013" s="102"/>
      <c r="H2013" s="102"/>
      <c r="I2013" s="102"/>
      <c r="J2013" s="102"/>
      <c r="K2013" s="102"/>
      <c r="L2013" s="102"/>
      <c r="M2013" s="102"/>
      <c r="N2013" s="102"/>
      <c r="O2013" s="102"/>
      <c r="P2013" s="102"/>
      <c r="Q2013" s="102"/>
      <c r="R2013" s="102"/>
    </row>
    <row r="2014" spans="1:18" ht="35.1" customHeight="1" x14ac:dyDescent="0.2">
      <c r="A2014" s="99"/>
      <c r="B2014" s="99"/>
      <c r="C2014" s="102"/>
      <c r="D2014" s="102"/>
      <c r="E2014" s="102"/>
      <c r="F2014" s="102"/>
      <c r="G2014" s="102"/>
      <c r="H2014" s="102"/>
      <c r="I2014" s="102"/>
      <c r="J2014" s="102"/>
      <c r="K2014" s="102"/>
      <c r="L2014" s="102"/>
      <c r="M2014" s="102"/>
      <c r="N2014" s="102"/>
      <c r="O2014" s="102"/>
      <c r="P2014" s="102"/>
      <c r="Q2014" s="102"/>
      <c r="R2014" s="102"/>
    </row>
    <row r="2015" spans="1:18" ht="35.1" customHeight="1" x14ac:dyDescent="0.2">
      <c r="A2015" s="99"/>
      <c r="B2015" s="99"/>
      <c r="C2015" s="102"/>
      <c r="D2015" s="102"/>
      <c r="E2015" s="102"/>
      <c r="F2015" s="102"/>
      <c r="G2015" s="102"/>
      <c r="H2015" s="102"/>
      <c r="I2015" s="102"/>
      <c r="J2015" s="102"/>
      <c r="K2015" s="102"/>
      <c r="L2015" s="102"/>
      <c r="M2015" s="102"/>
      <c r="N2015" s="102"/>
      <c r="O2015" s="102"/>
      <c r="P2015" s="102"/>
      <c r="Q2015" s="102"/>
      <c r="R2015" s="102"/>
    </row>
    <row r="2016" spans="1:18" ht="35.1" customHeight="1" x14ac:dyDescent="0.2">
      <c r="A2016" s="99"/>
      <c r="B2016" s="99"/>
      <c r="C2016" s="102"/>
      <c r="D2016" s="102"/>
      <c r="E2016" s="102"/>
      <c r="F2016" s="102"/>
      <c r="G2016" s="102"/>
      <c r="H2016" s="102"/>
      <c r="I2016" s="102"/>
      <c r="J2016" s="102"/>
      <c r="K2016" s="102"/>
      <c r="L2016" s="102"/>
      <c r="M2016" s="102"/>
      <c r="N2016" s="102"/>
      <c r="O2016" s="102"/>
      <c r="P2016" s="102"/>
      <c r="Q2016" s="102"/>
      <c r="R2016" s="102"/>
    </row>
    <row r="2017" spans="1:18" ht="35.1" customHeight="1" x14ac:dyDescent="0.2">
      <c r="A2017" s="99"/>
      <c r="B2017" s="99"/>
      <c r="C2017" s="102"/>
      <c r="D2017" s="102"/>
      <c r="E2017" s="102"/>
      <c r="F2017" s="102"/>
      <c r="G2017" s="102"/>
      <c r="H2017" s="102"/>
      <c r="I2017" s="102"/>
      <c r="J2017" s="102"/>
      <c r="K2017" s="102"/>
      <c r="L2017" s="102"/>
      <c r="M2017" s="102"/>
      <c r="N2017" s="102"/>
      <c r="O2017" s="102"/>
      <c r="P2017" s="102"/>
      <c r="Q2017" s="102"/>
      <c r="R2017" s="102"/>
    </row>
    <row r="2018" spans="1:18" ht="35.1" customHeight="1" x14ac:dyDescent="0.2">
      <c r="A2018" s="99"/>
      <c r="B2018" s="99"/>
      <c r="C2018" s="102"/>
      <c r="D2018" s="102"/>
      <c r="E2018" s="102"/>
      <c r="F2018" s="102"/>
      <c r="G2018" s="102"/>
      <c r="H2018" s="102"/>
      <c r="I2018" s="102"/>
      <c r="J2018" s="102"/>
      <c r="K2018" s="102"/>
      <c r="L2018" s="102"/>
      <c r="M2018" s="102"/>
      <c r="N2018" s="102"/>
      <c r="O2018" s="102"/>
      <c r="P2018" s="102"/>
      <c r="Q2018" s="102"/>
      <c r="R2018" s="102"/>
    </row>
    <row r="2019" spans="1:18" ht="35.1" customHeight="1" x14ac:dyDescent="0.2">
      <c r="A2019" s="99"/>
      <c r="B2019" s="99"/>
      <c r="C2019" s="102"/>
      <c r="D2019" s="102"/>
      <c r="E2019" s="102"/>
      <c r="F2019" s="102"/>
      <c r="G2019" s="102"/>
      <c r="H2019" s="102"/>
      <c r="I2019" s="102"/>
      <c r="J2019" s="102"/>
      <c r="K2019" s="102"/>
      <c r="L2019" s="102"/>
      <c r="M2019" s="102"/>
      <c r="N2019" s="102"/>
      <c r="O2019" s="102"/>
      <c r="P2019" s="102"/>
      <c r="Q2019" s="102"/>
      <c r="R2019" s="102"/>
    </row>
    <row r="2020" spans="1:18" ht="35.1" customHeight="1" x14ac:dyDescent="0.2">
      <c r="A2020" s="99"/>
      <c r="B2020" s="99"/>
      <c r="C2020" s="102"/>
      <c r="D2020" s="102"/>
      <c r="E2020" s="102"/>
      <c r="F2020" s="102"/>
      <c r="G2020" s="102"/>
      <c r="H2020" s="102"/>
      <c r="I2020" s="102"/>
      <c r="J2020" s="102"/>
      <c r="K2020" s="102"/>
      <c r="L2020" s="102"/>
      <c r="M2020" s="102"/>
      <c r="N2020" s="102"/>
      <c r="O2020" s="102"/>
      <c r="P2020" s="102"/>
      <c r="Q2020" s="102"/>
      <c r="R2020" s="102"/>
    </row>
    <row r="2021" spans="1:18" ht="35.1" customHeight="1" x14ac:dyDescent="0.2">
      <c r="A2021" s="99"/>
      <c r="B2021" s="99"/>
      <c r="C2021" s="102"/>
      <c r="D2021" s="102"/>
      <c r="E2021" s="102"/>
      <c r="F2021" s="102"/>
      <c r="G2021" s="102"/>
      <c r="H2021" s="102"/>
      <c r="I2021" s="102"/>
      <c r="J2021" s="102"/>
      <c r="K2021" s="102"/>
      <c r="L2021" s="102"/>
      <c r="M2021" s="102"/>
      <c r="N2021" s="102"/>
      <c r="O2021" s="102"/>
      <c r="P2021" s="102"/>
      <c r="Q2021" s="102"/>
      <c r="R2021" s="102"/>
    </row>
    <row r="2022" spans="1:18" ht="35.1" customHeight="1" x14ac:dyDescent="0.2">
      <c r="A2022" s="99"/>
      <c r="B2022" s="99"/>
      <c r="C2022" s="102"/>
      <c r="D2022" s="102"/>
      <c r="E2022" s="102"/>
      <c r="F2022" s="102"/>
      <c r="G2022" s="102"/>
      <c r="H2022" s="102"/>
      <c r="I2022" s="102"/>
      <c r="J2022" s="102"/>
      <c r="K2022" s="102"/>
      <c r="L2022" s="102"/>
      <c r="M2022" s="102"/>
      <c r="N2022" s="102"/>
      <c r="O2022" s="102"/>
      <c r="P2022" s="102"/>
      <c r="Q2022" s="102"/>
      <c r="R2022" s="102"/>
    </row>
    <row r="2023" spans="1:18" ht="35.1" customHeight="1" x14ac:dyDescent="0.2">
      <c r="A2023" s="99"/>
      <c r="B2023" s="99"/>
      <c r="C2023" s="102"/>
      <c r="D2023" s="102"/>
      <c r="E2023" s="102"/>
      <c r="F2023" s="102"/>
      <c r="G2023" s="102"/>
      <c r="H2023" s="102"/>
      <c r="I2023" s="102"/>
      <c r="J2023" s="102"/>
      <c r="K2023" s="102"/>
      <c r="L2023" s="102"/>
      <c r="M2023" s="102"/>
      <c r="N2023" s="102"/>
      <c r="O2023" s="102"/>
      <c r="P2023" s="102"/>
      <c r="Q2023" s="102"/>
      <c r="R2023" s="102"/>
    </row>
    <row r="2024" spans="1:18" ht="35.1" customHeight="1" x14ac:dyDescent="0.2">
      <c r="A2024" s="99"/>
      <c r="B2024" s="99"/>
      <c r="C2024" s="102"/>
      <c r="D2024" s="102"/>
      <c r="E2024" s="102"/>
      <c r="F2024" s="102"/>
      <c r="G2024" s="102"/>
      <c r="H2024" s="102"/>
      <c r="I2024" s="102"/>
      <c r="J2024" s="102"/>
      <c r="K2024" s="102"/>
      <c r="L2024" s="102"/>
      <c r="M2024" s="102"/>
      <c r="N2024" s="102"/>
      <c r="O2024" s="102"/>
      <c r="P2024" s="102"/>
      <c r="Q2024" s="102"/>
      <c r="R2024" s="102"/>
    </row>
    <row r="2025" spans="1:18" ht="35.1" customHeight="1" x14ac:dyDescent="0.2">
      <c r="A2025" s="99"/>
      <c r="B2025" s="99"/>
      <c r="C2025" s="102"/>
      <c r="D2025" s="102"/>
      <c r="E2025" s="102"/>
      <c r="F2025" s="102"/>
      <c r="G2025" s="102"/>
      <c r="H2025" s="102"/>
      <c r="I2025" s="102"/>
      <c r="J2025" s="102"/>
      <c r="K2025" s="102"/>
      <c r="L2025" s="102"/>
      <c r="M2025" s="102"/>
      <c r="N2025" s="102"/>
      <c r="O2025" s="102"/>
      <c r="P2025" s="102"/>
      <c r="Q2025" s="102"/>
      <c r="R2025" s="102"/>
    </row>
    <row r="2026" spans="1:18" ht="35.1" customHeight="1" x14ac:dyDescent="0.2">
      <c r="A2026" s="99"/>
      <c r="B2026" s="99"/>
      <c r="C2026" s="102"/>
      <c r="D2026" s="102"/>
      <c r="E2026" s="102"/>
      <c r="F2026" s="102"/>
      <c r="G2026" s="102"/>
      <c r="H2026" s="102"/>
      <c r="I2026" s="102"/>
      <c r="J2026" s="102"/>
      <c r="K2026" s="102"/>
      <c r="L2026" s="102"/>
      <c r="M2026" s="102"/>
      <c r="N2026" s="102"/>
      <c r="O2026" s="102"/>
      <c r="P2026" s="102"/>
      <c r="Q2026" s="102"/>
      <c r="R2026" s="102"/>
    </row>
    <row r="2027" spans="1:18" ht="35.1" customHeight="1" x14ac:dyDescent="0.2">
      <c r="A2027" s="99"/>
      <c r="B2027" s="99"/>
      <c r="C2027" s="102"/>
      <c r="D2027" s="102"/>
      <c r="E2027" s="102"/>
      <c r="F2027" s="102"/>
      <c r="G2027" s="102"/>
      <c r="H2027" s="102"/>
      <c r="I2027" s="102"/>
      <c r="J2027" s="102"/>
      <c r="K2027" s="102"/>
      <c r="L2027" s="102"/>
      <c r="M2027" s="102"/>
      <c r="N2027" s="102"/>
      <c r="O2027" s="102"/>
      <c r="P2027" s="102"/>
      <c r="Q2027" s="102"/>
      <c r="R2027" s="102"/>
    </row>
    <row r="2028" spans="1:18" ht="35.1" customHeight="1" x14ac:dyDescent="0.2">
      <c r="A2028" s="99"/>
      <c r="B2028" s="99"/>
      <c r="C2028" s="102"/>
      <c r="D2028" s="102"/>
      <c r="E2028" s="102"/>
      <c r="F2028" s="102"/>
      <c r="G2028" s="102"/>
      <c r="H2028" s="102"/>
      <c r="I2028" s="102"/>
      <c r="J2028" s="102"/>
      <c r="K2028" s="102"/>
      <c r="L2028" s="102"/>
      <c r="M2028" s="102"/>
      <c r="N2028" s="102"/>
      <c r="O2028" s="102"/>
      <c r="P2028" s="102"/>
      <c r="Q2028" s="102"/>
      <c r="R2028" s="102"/>
    </row>
    <row r="2029" spans="1:18" ht="35.1" customHeight="1" x14ac:dyDescent="0.2">
      <c r="A2029" s="99"/>
      <c r="B2029" s="99"/>
      <c r="C2029" s="102"/>
      <c r="D2029" s="102"/>
      <c r="E2029" s="102"/>
      <c r="F2029" s="102"/>
      <c r="G2029" s="102"/>
      <c r="H2029" s="102"/>
      <c r="I2029" s="102"/>
      <c r="J2029" s="102"/>
      <c r="K2029" s="102"/>
      <c r="L2029" s="102"/>
      <c r="M2029" s="102"/>
      <c r="N2029" s="102"/>
      <c r="O2029" s="102"/>
      <c r="P2029" s="102"/>
      <c r="Q2029" s="102"/>
      <c r="R2029" s="102"/>
    </row>
    <row r="2030" spans="1:18" ht="35.1" customHeight="1" x14ac:dyDescent="0.2">
      <c r="A2030" s="99"/>
      <c r="B2030" s="99"/>
      <c r="C2030" s="102"/>
      <c r="D2030" s="102"/>
      <c r="E2030" s="102"/>
      <c r="F2030" s="102"/>
      <c r="G2030" s="102"/>
      <c r="H2030" s="102"/>
      <c r="I2030" s="102"/>
      <c r="J2030" s="102"/>
      <c r="K2030" s="102"/>
      <c r="L2030" s="102"/>
      <c r="M2030" s="102"/>
      <c r="N2030" s="102"/>
      <c r="O2030" s="102"/>
      <c r="P2030" s="102"/>
      <c r="Q2030" s="102"/>
      <c r="R2030" s="102"/>
    </row>
    <row r="2031" spans="1:18" ht="35.1" customHeight="1" x14ac:dyDescent="0.2">
      <c r="A2031" s="99"/>
      <c r="B2031" s="99"/>
      <c r="C2031" s="102"/>
      <c r="D2031" s="102"/>
      <c r="E2031" s="102"/>
      <c r="F2031" s="102"/>
      <c r="G2031" s="102"/>
      <c r="H2031" s="102"/>
      <c r="I2031" s="102"/>
      <c r="J2031" s="102"/>
      <c r="K2031" s="102"/>
      <c r="L2031" s="102"/>
      <c r="M2031" s="102"/>
      <c r="N2031" s="102"/>
      <c r="O2031" s="102"/>
      <c r="P2031" s="102"/>
      <c r="Q2031" s="102"/>
      <c r="R2031" s="102"/>
    </row>
    <row r="2032" spans="1:18" ht="35.1" customHeight="1" x14ac:dyDescent="0.2">
      <c r="A2032" s="99"/>
      <c r="B2032" s="99"/>
      <c r="C2032" s="102"/>
      <c r="D2032" s="102"/>
      <c r="E2032" s="102"/>
      <c r="F2032" s="102"/>
      <c r="G2032" s="102"/>
      <c r="H2032" s="102"/>
      <c r="I2032" s="102"/>
      <c r="J2032" s="102"/>
      <c r="K2032" s="102"/>
      <c r="L2032" s="102"/>
      <c r="M2032" s="102"/>
      <c r="N2032" s="102"/>
      <c r="O2032" s="102"/>
      <c r="P2032" s="102"/>
      <c r="Q2032" s="102"/>
      <c r="R2032" s="102"/>
    </row>
    <row r="2033" spans="1:18" ht="35.1" customHeight="1" x14ac:dyDescent="0.2">
      <c r="A2033" s="99"/>
      <c r="B2033" s="99"/>
      <c r="C2033" s="102"/>
      <c r="D2033" s="102"/>
      <c r="E2033" s="102"/>
      <c r="F2033" s="102"/>
      <c r="G2033" s="102"/>
      <c r="H2033" s="102"/>
      <c r="I2033" s="102"/>
      <c r="J2033" s="102"/>
      <c r="K2033" s="102"/>
      <c r="L2033" s="102"/>
      <c r="M2033" s="102"/>
      <c r="N2033" s="102"/>
      <c r="O2033" s="102"/>
      <c r="P2033" s="102"/>
      <c r="Q2033" s="102"/>
      <c r="R2033" s="102"/>
    </row>
    <row r="2034" spans="1:18" ht="35.1" customHeight="1" x14ac:dyDescent="0.2">
      <c r="A2034" s="99"/>
      <c r="B2034" s="99"/>
      <c r="C2034" s="102"/>
      <c r="D2034" s="102"/>
      <c r="E2034" s="102"/>
      <c r="F2034" s="102"/>
      <c r="G2034" s="102"/>
      <c r="H2034" s="102"/>
      <c r="I2034" s="102"/>
      <c r="J2034" s="102"/>
      <c r="K2034" s="102"/>
      <c r="L2034" s="102"/>
      <c r="M2034" s="102"/>
      <c r="N2034" s="102"/>
      <c r="O2034" s="102"/>
      <c r="P2034" s="102"/>
      <c r="Q2034" s="102"/>
      <c r="R2034" s="102"/>
    </row>
    <row r="2035" spans="1:18" ht="35.1" customHeight="1" x14ac:dyDescent="0.2">
      <c r="A2035" s="99"/>
      <c r="B2035" s="99"/>
      <c r="C2035" s="102"/>
      <c r="D2035" s="102"/>
      <c r="E2035" s="102"/>
      <c r="F2035" s="102"/>
      <c r="G2035" s="102"/>
      <c r="H2035" s="102"/>
      <c r="I2035" s="102"/>
      <c r="J2035" s="102"/>
      <c r="K2035" s="102"/>
      <c r="L2035" s="102"/>
      <c r="M2035" s="102"/>
      <c r="N2035" s="102"/>
      <c r="O2035" s="102"/>
      <c r="P2035" s="102"/>
      <c r="Q2035" s="102"/>
      <c r="R2035" s="102"/>
    </row>
    <row r="2036" spans="1:18" ht="35.1" customHeight="1" x14ac:dyDescent="0.2">
      <c r="A2036" s="99"/>
      <c r="B2036" s="99"/>
      <c r="C2036" s="102"/>
      <c r="D2036" s="102"/>
      <c r="E2036" s="102"/>
      <c r="F2036" s="102"/>
      <c r="G2036" s="102"/>
      <c r="H2036" s="102"/>
      <c r="I2036" s="102"/>
      <c r="J2036" s="102"/>
      <c r="K2036" s="102"/>
      <c r="L2036" s="102"/>
      <c r="M2036" s="102"/>
      <c r="N2036" s="102"/>
      <c r="O2036" s="102"/>
      <c r="P2036" s="102"/>
      <c r="Q2036" s="102"/>
      <c r="R2036" s="102"/>
    </row>
    <row r="2037" spans="1:18" ht="35.1" customHeight="1" x14ac:dyDescent="0.2">
      <c r="A2037" s="99"/>
      <c r="B2037" s="99"/>
      <c r="C2037" s="102"/>
      <c r="D2037" s="102"/>
      <c r="E2037" s="102"/>
      <c r="F2037" s="102"/>
      <c r="G2037" s="102"/>
      <c r="H2037" s="102"/>
      <c r="I2037" s="102"/>
      <c r="J2037" s="102"/>
      <c r="K2037" s="102"/>
      <c r="L2037" s="102"/>
      <c r="M2037" s="102"/>
      <c r="N2037" s="102"/>
      <c r="O2037" s="102"/>
      <c r="P2037" s="102"/>
      <c r="Q2037" s="102"/>
      <c r="R2037" s="102"/>
    </row>
    <row r="2038" spans="1:18" ht="35.1" customHeight="1" x14ac:dyDescent="0.2">
      <c r="A2038" s="99"/>
      <c r="B2038" s="99"/>
      <c r="C2038" s="102"/>
      <c r="D2038" s="102"/>
      <c r="E2038" s="102"/>
      <c r="F2038" s="102"/>
      <c r="G2038" s="102"/>
      <c r="H2038" s="102"/>
      <c r="I2038" s="102"/>
      <c r="J2038" s="102"/>
      <c r="K2038" s="102"/>
      <c r="L2038" s="102"/>
      <c r="M2038" s="102"/>
      <c r="N2038" s="102"/>
      <c r="O2038" s="102"/>
      <c r="P2038" s="102"/>
      <c r="Q2038" s="102"/>
      <c r="R2038" s="102"/>
    </row>
    <row r="2039" spans="1:18" ht="35.1" customHeight="1" x14ac:dyDescent="0.2">
      <c r="A2039" s="99"/>
      <c r="B2039" s="99"/>
      <c r="C2039" s="102"/>
      <c r="D2039" s="102"/>
      <c r="E2039" s="102"/>
      <c r="F2039" s="102"/>
      <c r="G2039" s="102"/>
      <c r="H2039" s="102"/>
      <c r="I2039" s="102"/>
      <c r="J2039" s="102"/>
      <c r="K2039" s="102"/>
      <c r="L2039" s="102"/>
      <c r="M2039" s="102"/>
      <c r="N2039" s="102"/>
      <c r="O2039" s="102"/>
      <c r="P2039" s="102"/>
      <c r="Q2039" s="102"/>
      <c r="R2039" s="102"/>
    </row>
    <row r="2040" spans="1:18" ht="35.1" customHeight="1" x14ac:dyDescent="0.2">
      <c r="A2040" s="99"/>
      <c r="B2040" s="99"/>
      <c r="C2040" s="102"/>
      <c r="D2040" s="102"/>
      <c r="E2040" s="102"/>
      <c r="F2040" s="102"/>
      <c r="G2040" s="102"/>
      <c r="H2040" s="102"/>
      <c r="I2040" s="102"/>
      <c r="J2040" s="102"/>
      <c r="K2040" s="102"/>
      <c r="L2040" s="102"/>
      <c r="M2040" s="102"/>
      <c r="N2040" s="102"/>
      <c r="O2040" s="102"/>
      <c r="P2040" s="102"/>
      <c r="Q2040" s="102"/>
      <c r="R2040" s="102"/>
    </row>
    <row r="2041" spans="1:18" ht="35.1" customHeight="1" x14ac:dyDescent="0.2">
      <c r="A2041" s="99"/>
      <c r="B2041" s="99"/>
      <c r="C2041" s="102"/>
      <c r="D2041" s="102"/>
      <c r="E2041" s="102"/>
      <c r="F2041" s="102"/>
      <c r="G2041" s="102"/>
      <c r="H2041" s="102"/>
      <c r="I2041" s="102"/>
      <c r="J2041" s="102"/>
      <c r="K2041" s="102"/>
      <c r="L2041" s="102"/>
      <c r="M2041" s="102"/>
      <c r="N2041" s="102"/>
      <c r="O2041" s="102"/>
      <c r="P2041" s="102"/>
      <c r="Q2041" s="102"/>
      <c r="R2041" s="102"/>
    </row>
    <row r="2042" spans="1:18" ht="35.1" customHeight="1" x14ac:dyDescent="0.2">
      <c r="A2042" s="99"/>
      <c r="B2042" s="99"/>
      <c r="C2042" s="102"/>
      <c r="D2042" s="102"/>
      <c r="E2042" s="102"/>
      <c r="F2042" s="102"/>
      <c r="G2042" s="102"/>
      <c r="H2042" s="102"/>
      <c r="I2042" s="102"/>
      <c r="J2042" s="102"/>
      <c r="K2042" s="102"/>
      <c r="L2042" s="102"/>
      <c r="M2042" s="102"/>
      <c r="N2042" s="102"/>
      <c r="O2042" s="102"/>
      <c r="P2042" s="102"/>
      <c r="Q2042" s="102"/>
      <c r="R2042" s="102"/>
    </row>
    <row r="2043" spans="1:18" ht="35.1" customHeight="1" x14ac:dyDescent="0.2">
      <c r="A2043" s="99"/>
      <c r="B2043" s="99"/>
      <c r="C2043" s="102"/>
      <c r="D2043" s="102"/>
      <c r="E2043" s="102"/>
      <c r="F2043" s="102"/>
      <c r="G2043" s="102"/>
      <c r="H2043" s="102"/>
      <c r="I2043" s="102"/>
      <c r="J2043" s="102"/>
      <c r="K2043" s="102"/>
      <c r="L2043" s="102"/>
      <c r="M2043" s="102"/>
      <c r="N2043" s="102"/>
      <c r="O2043" s="102"/>
      <c r="P2043" s="102"/>
      <c r="Q2043" s="102"/>
      <c r="R2043" s="102"/>
    </row>
    <row r="2044" spans="1:18" ht="35.1" customHeight="1" x14ac:dyDescent="0.2">
      <c r="A2044" s="99"/>
      <c r="B2044" s="99"/>
      <c r="C2044" s="102"/>
      <c r="D2044" s="102"/>
      <c r="E2044" s="102"/>
      <c r="F2044" s="102"/>
      <c r="G2044" s="102"/>
      <c r="H2044" s="102"/>
      <c r="I2044" s="102"/>
      <c r="J2044" s="102"/>
      <c r="K2044" s="102"/>
      <c r="L2044" s="102"/>
      <c r="M2044" s="102"/>
      <c r="N2044" s="102"/>
      <c r="O2044" s="102"/>
      <c r="P2044" s="102"/>
      <c r="Q2044" s="102"/>
      <c r="R2044" s="102"/>
    </row>
    <row r="2045" spans="1:18" ht="35.1" customHeight="1" x14ac:dyDescent="0.2">
      <c r="A2045" s="99"/>
      <c r="B2045" s="99"/>
      <c r="C2045" s="102"/>
      <c r="D2045" s="102"/>
      <c r="E2045" s="102"/>
      <c r="F2045" s="102"/>
      <c r="G2045" s="102"/>
      <c r="H2045" s="102"/>
      <c r="I2045" s="102"/>
      <c r="J2045" s="102"/>
      <c r="K2045" s="102"/>
      <c r="L2045" s="102"/>
      <c r="M2045" s="102"/>
      <c r="N2045" s="102"/>
      <c r="O2045" s="102"/>
      <c r="P2045" s="102"/>
      <c r="Q2045" s="102"/>
      <c r="R2045" s="102"/>
    </row>
    <row r="2046" spans="1:18" ht="35.1" customHeight="1" x14ac:dyDescent="0.2">
      <c r="A2046" s="99"/>
      <c r="B2046" s="99"/>
      <c r="C2046" s="102"/>
      <c r="D2046" s="102"/>
      <c r="E2046" s="102"/>
      <c r="F2046" s="102"/>
      <c r="G2046" s="102"/>
      <c r="H2046" s="102"/>
      <c r="I2046" s="102"/>
      <c r="J2046" s="102"/>
      <c r="K2046" s="102"/>
      <c r="L2046" s="102"/>
      <c r="M2046" s="102"/>
      <c r="N2046" s="102"/>
      <c r="O2046" s="102"/>
      <c r="P2046" s="102"/>
      <c r="Q2046" s="102"/>
      <c r="R2046" s="102"/>
    </row>
    <row r="2047" spans="1:18" ht="35.1" customHeight="1" x14ac:dyDescent="0.2">
      <c r="A2047" s="99"/>
      <c r="B2047" s="99"/>
      <c r="C2047" s="102"/>
      <c r="D2047" s="102"/>
      <c r="E2047" s="102"/>
      <c r="F2047" s="102"/>
      <c r="G2047" s="102"/>
      <c r="H2047" s="102"/>
      <c r="I2047" s="102"/>
      <c r="J2047" s="102"/>
      <c r="K2047" s="102"/>
      <c r="L2047" s="102"/>
      <c r="M2047" s="102"/>
      <c r="N2047" s="102"/>
      <c r="O2047" s="102"/>
      <c r="P2047" s="102"/>
      <c r="Q2047" s="102"/>
      <c r="R2047" s="102"/>
    </row>
    <row r="2048" spans="1:18" ht="35.1" customHeight="1" x14ac:dyDescent="0.2">
      <c r="A2048" s="99"/>
      <c r="B2048" s="99"/>
      <c r="C2048" s="102"/>
      <c r="D2048" s="102"/>
      <c r="E2048" s="102"/>
      <c r="F2048" s="102"/>
      <c r="G2048" s="102"/>
      <c r="H2048" s="102"/>
      <c r="I2048" s="102"/>
      <c r="J2048" s="102"/>
      <c r="K2048" s="102"/>
      <c r="L2048" s="102"/>
      <c r="M2048" s="102"/>
      <c r="N2048" s="102"/>
      <c r="O2048" s="102"/>
      <c r="P2048" s="102"/>
      <c r="Q2048" s="102"/>
      <c r="R2048" s="102"/>
    </row>
    <row r="2049" spans="1:18" ht="35.1" customHeight="1" x14ac:dyDescent="0.2">
      <c r="A2049" s="99"/>
      <c r="B2049" s="99"/>
      <c r="C2049" s="102"/>
      <c r="D2049" s="102"/>
      <c r="E2049" s="102"/>
      <c r="F2049" s="102"/>
      <c r="G2049" s="102"/>
      <c r="H2049" s="102"/>
      <c r="I2049" s="102"/>
      <c r="J2049" s="102"/>
      <c r="K2049" s="102"/>
      <c r="L2049" s="102"/>
      <c r="M2049" s="102"/>
      <c r="N2049" s="102"/>
      <c r="O2049" s="102"/>
      <c r="P2049" s="102"/>
      <c r="Q2049" s="102"/>
      <c r="R2049" s="102"/>
    </row>
    <row r="2050" spans="1:18" ht="35.1" customHeight="1" x14ac:dyDescent="0.2">
      <c r="A2050" s="99"/>
      <c r="B2050" s="99"/>
      <c r="C2050" s="102"/>
      <c r="D2050" s="102"/>
      <c r="E2050" s="102"/>
      <c r="F2050" s="102"/>
      <c r="G2050" s="102"/>
      <c r="H2050" s="102"/>
      <c r="I2050" s="102"/>
      <c r="J2050" s="102"/>
      <c r="K2050" s="102"/>
      <c r="L2050" s="102"/>
      <c r="M2050" s="102"/>
      <c r="N2050" s="102"/>
      <c r="O2050" s="102"/>
      <c r="P2050" s="102"/>
      <c r="Q2050" s="102"/>
      <c r="R2050" s="102"/>
    </row>
    <row r="2051" spans="1:18" ht="35.1" customHeight="1" x14ac:dyDescent="0.2">
      <c r="A2051" s="99"/>
      <c r="B2051" s="99"/>
      <c r="C2051" s="102"/>
      <c r="D2051" s="102"/>
      <c r="E2051" s="102"/>
      <c r="F2051" s="102"/>
      <c r="G2051" s="102"/>
      <c r="H2051" s="102"/>
      <c r="I2051" s="102"/>
      <c r="J2051" s="102"/>
      <c r="K2051" s="102"/>
      <c r="L2051" s="102"/>
      <c r="M2051" s="102"/>
      <c r="N2051" s="102"/>
      <c r="O2051" s="102"/>
      <c r="P2051" s="102"/>
      <c r="Q2051" s="102"/>
      <c r="R2051" s="102"/>
    </row>
    <row r="2052" spans="1:18" ht="35.1" customHeight="1" x14ac:dyDescent="0.2">
      <c r="A2052" s="99"/>
      <c r="B2052" s="99"/>
      <c r="C2052" s="102"/>
      <c r="D2052" s="102"/>
      <c r="E2052" s="102"/>
      <c r="F2052" s="102"/>
      <c r="G2052" s="102"/>
      <c r="H2052" s="102"/>
      <c r="I2052" s="102"/>
      <c r="J2052" s="102"/>
      <c r="K2052" s="102"/>
      <c r="L2052" s="102"/>
      <c r="M2052" s="102"/>
      <c r="N2052" s="102"/>
      <c r="O2052" s="102"/>
      <c r="P2052" s="102"/>
      <c r="Q2052" s="102"/>
      <c r="R2052" s="102"/>
    </row>
    <row r="2053" spans="1:18" ht="35.1" customHeight="1" x14ac:dyDescent="0.2">
      <c r="A2053" s="99"/>
      <c r="B2053" s="99"/>
      <c r="C2053" s="102"/>
      <c r="D2053" s="102"/>
      <c r="E2053" s="102"/>
      <c r="F2053" s="102"/>
      <c r="G2053" s="102"/>
      <c r="H2053" s="102"/>
      <c r="I2053" s="102"/>
      <c r="J2053" s="102"/>
      <c r="K2053" s="102"/>
      <c r="L2053" s="102"/>
      <c r="M2053" s="102"/>
      <c r="N2053" s="102"/>
      <c r="O2053" s="102"/>
      <c r="P2053" s="102"/>
      <c r="Q2053" s="102"/>
      <c r="R2053" s="102"/>
    </row>
    <row r="2054" spans="1:18" ht="35.1" customHeight="1" x14ac:dyDescent="0.2">
      <c r="A2054" s="99"/>
      <c r="B2054" s="99"/>
      <c r="C2054" s="102"/>
      <c r="D2054" s="102"/>
      <c r="E2054" s="102"/>
      <c r="F2054" s="102"/>
      <c r="G2054" s="102"/>
      <c r="H2054" s="102"/>
      <c r="I2054" s="102"/>
      <c r="J2054" s="102"/>
      <c r="K2054" s="102"/>
      <c r="L2054" s="102"/>
      <c r="M2054" s="102"/>
      <c r="N2054" s="102"/>
      <c r="O2054" s="102"/>
      <c r="P2054" s="102"/>
      <c r="Q2054" s="102"/>
      <c r="R2054" s="102"/>
    </row>
    <row r="2055" spans="1:18" ht="35.1" customHeight="1" x14ac:dyDescent="0.2">
      <c r="A2055" s="99"/>
      <c r="B2055" s="99"/>
      <c r="C2055" s="102"/>
      <c r="D2055" s="102"/>
      <c r="E2055" s="102"/>
      <c r="F2055" s="102"/>
      <c r="G2055" s="102"/>
      <c r="H2055" s="102"/>
      <c r="I2055" s="102"/>
      <c r="J2055" s="102"/>
      <c r="K2055" s="102"/>
      <c r="L2055" s="102"/>
      <c r="M2055" s="102"/>
      <c r="N2055" s="102"/>
      <c r="O2055" s="102"/>
      <c r="P2055" s="102"/>
      <c r="Q2055" s="102"/>
      <c r="R2055" s="102"/>
    </row>
    <row r="2056" spans="1:18" ht="35.1" customHeight="1" x14ac:dyDescent="0.2">
      <c r="A2056" s="99"/>
      <c r="B2056" s="99"/>
      <c r="C2056" s="102"/>
      <c r="D2056" s="102"/>
      <c r="E2056" s="102"/>
      <c r="F2056" s="102"/>
      <c r="G2056" s="102"/>
      <c r="H2056" s="102"/>
      <c r="I2056" s="102"/>
      <c r="J2056" s="102"/>
      <c r="K2056" s="102"/>
      <c r="L2056" s="102"/>
      <c r="M2056" s="102"/>
      <c r="N2056" s="102"/>
      <c r="O2056" s="102"/>
      <c r="P2056" s="102"/>
      <c r="Q2056" s="102"/>
      <c r="R2056" s="102"/>
    </row>
    <row r="2057" spans="1:18" ht="35.1" customHeight="1" x14ac:dyDescent="0.2">
      <c r="A2057" s="99"/>
      <c r="B2057" s="99"/>
      <c r="C2057" s="102"/>
      <c r="D2057" s="102"/>
      <c r="E2057" s="102"/>
      <c r="F2057" s="102"/>
      <c r="G2057" s="102"/>
      <c r="H2057" s="102"/>
      <c r="I2057" s="102"/>
      <c r="J2057" s="102"/>
      <c r="K2057" s="102"/>
      <c r="L2057" s="102"/>
      <c r="M2057" s="102"/>
      <c r="N2057" s="102"/>
      <c r="O2057" s="102"/>
      <c r="P2057" s="102"/>
      <c r="Q2057" s="102"/>
      <c r="R2057" s="102"/>
    </row>
    <row r="2058" spans="1:18" ht="35.1" customHeight="1" x14ac:dyDescent="0.2">
      <c r="A2058" s="99"/>
      <c r="B2058" s="99"/>
      <c r="C2058" s="102"/>
      <c r="D2058" s="102"/>
      <c r="E2058" s="102"/>
      <c r="F2058" s="102"/>
      <c r="G2058" s="102"/>
      <c r="H2058" s="102"/>
      <c r="I2058" s="102"/>
      <c r="J2058" s="102"/>
      <c r="K2058" s="102"/>
      <c r="L2058" s="102"/>
      <c r="M2058" s="102"/>
      <c r="N2058" s="102"/>
      <c r="O2058" s="102"/>
      <c r="P2058" s="102"/>
      <c r="Q2058" s="102"/>
      <c r="R2058" s="102"/>
    </row>
    <row r="2059" spans="1:18" ht="35.1" customHeight="1" x14ac:dyDescent="0.2">
      <c r="A2059" s="99"/>
      <c r="B2059" s="99"/>
      <c r="C2059" s="102"/>
      <c r="D2059" s="102"/>
      <c r="E2059" s="102"/>
      <c r="F2059" s="102"/>
      <c r="G2059" s="102"/>
      <c r="H2059" s="102"/>
      <c r="I2059" s="102"/>
      <c r="J2059" s="102"/>
      <c r="K2059" s="102"/>
      <c r="L2059" s="102"/>
      <c r="M2059" s="102"/>
      <c r="N2059" s="102"/>
      <c r="O2059" s="102"/>
      <c r="P2059" s="102"/>
      <c r="Q2059" s="102"/>
      <c r="R2059" s="102"/>
    </row>
    <row r="2060" spans="1:18" ht="35.1" customHeight="1" x14ac:dyDescent="0.2">
      <c r="A2060" s="99"/>
      <c r="B2060" s="99"/>
      <c r="C2060" s="102"/>
      <c r="D2060" s="102"/>
      <c r="E2060" s="102"/>
      <c r="F2060" s="102"/>
      <c r="G2060" s="102"/>
      <c r="H2060" s="102"/>
      <c r="I2060" s="102"/>
      <c r="J2060" s="102"/>
      <c r="K2060" s="102"/>
      <c r="L2060" s="102"/>
      <c r="M2060" s="102"/>
      <c r="N2060" s="102"/>
      <c r="O2060" s="102"/>
      <c r="P2060" s="102"/>
      <c r="Q2060" s="102"/>
      <c r="R2060" s="102"/>
    </row>
    <row r="2061" spans="1:18" ht="35.1" customHeight="1" x14ac:dyDescent="0.2">
      <c r="A2061" s="99"/>
      <c r="B2061" s="99"/>
      <c r="C2061" s="102"/>
      <c r="D2061" s="102"/>
      <c r="E2061" s="102"/>
      <c r="F2061" s="102"/>
      <c r="G2061" s="102"/>
      <c r="H2061" s="102"/>
      <c r="I2061" s="102"/>
      <c r="J2061" s="102"/>
      <c r="K2061" s="102"/>
      <c r="L2061" s="102"/>
      <c r="M2061" s="102"/>
      <c r="N2061" s="102"/>
      <c r="O2061" s="102"/>
      <c r="P2061" s="102"/>
      <c r="Q2061" s="102"/>
      <c r="R2061" s="102"/>
    </row>
    <row r="2062" spans="1:18" ht="35.1" customHeight="1" x14ac:dyDescent="0.2">
      <c r="A2062" s="99"/>
      <c r="B2062" s="99"/>
      <c r="C2062" s="102"/>
      <c r="D2062" s="102"/>
      <c r="E2062" s="102"/>
      <c r="F2062" s="102"/>
      <c r="G2062" s="102"/>
      <c r="H2062" s="102"/>
      <c r="I2062" s="102"/>
      <c r="J2062" s="102"/>
      <c r="K2062" s="102"/>
      <c r="L2062" s="102"/>
      <c r="M2062" s="102"/>
      <c r="N2062" s="102"/>
      <c r="O2062" s="102"/>
      <c r="P2062" s="102"/>
      <c r="Q2062" s="102"/>
      <c r="R2062" s="102"/>
    </row>
    <row r="2063" spans="1:18" ht="35.1" customHeight="1" x14ac:dyDescent="0.2">
      <c r="A2063" s="99"/>
      <c r="B2063" s="99"/>
      <c r="C2063" s="102"/>
      <c r="D2063" s="102"/>
      <c r="E2063" s="102"/>
      <c r="F2063" s="102"/>
      <c r="G2063" s="102"/>
      <c r="H2063" s="102"/>
      <c r="I2063" s="102"/>
      <c r="J2063" s="102"/>
      <c r="K2063" s="102"/>
      <c r="L2063" s="102"/>
      <c r="M2063" s="102"/>
      <c r="N2063" s="102"/>
      <c r="O2063" s="102"/>
      <c r="P2063" s="102"/>
      <c r="Q2063" s="102"/>
      <c r="R2063" s="102"/>
    </row>
    <row r="2064" spans="1:18" ht="35.1" customHeight="1" x14ac:dyDescent="0.2">
      <c r="A2064" s="99"/>
      <c r="B2064" s="99"/>
      <c r="C2064" s="102"/>
      <c r="D2064" s="102"/>
      <c r="E2064" s="102"/>
      <c r="F2064" s="102"/>
      <c r="G2064" s="102"/>
      <c r="H2064" s="102"/>
      <c r="I2064" s="102"/>
      <c r="J2064" s="102"/>
      <c r="K2064" s="102"/>
      <c r="L2064" s="102"/>
      <c r="M2064" s="102"/>
      <c r="N2064" s="102"/>
      <c r="O2064" s="102"/>
      <c r="P2064" s="102"/>
      <c r="Q2064" s="102"/>
      <c r="R2064" s="102"/>
    </row>
    <row r="2065" spans="1:18" ht="35.1" customHeight="1" x14ac:dyDescent="0.2">
      <c r="A2065" s="99"/>
      <c r="B2065" s="99"/>
      <c r="C2065" s="102"/>
      <c r="D2065" s="102"/>
      <c r="E2065" s="102"/>
      <c r="F2065" s="102"/>
      <c r="G2065" s="102"/>
      <c r="H2065" s="102"/>
      <c r="I2065" s="102"/>
      <c r="J2065" s="102"/>
      <c r="K2065" s="102"/>
      <c r="L2065" s="102"/>
      <c r="M2065" s="102"/>
      <c r="N2065" s="102"/>
      <c r="O2065" s="102"/>
      <c r="P2065" s="102"/>
      <c r="Q2065" s="102"/>
      <c r="R2065" s="102"/>
    </row>
    <row r="2066" spans="1:18" ht="35.1" customHeight="1" x14ac:dyDescent="0.2">
      <c r="A2066" s="99"/>
      <c r="B2066" s="99"/>
      <c r="C2066" s="102"/>
      <c r="D2066" s="102"/>
      <c r="E2066" s="102"/>
      <c r="F2066" s="102"/>
      <c r="G2066" s="102"/>
      <c r="H2066" s="102"/>
      <c r="I2066" s="102"/>
      <c r="J2066" s="102"/>
      <c r="K2066" s="102"/>
      <c r="L2066" s="102"/>
      <c r="M2066" s="102"/>
      <c r="N2066" s="102"/>
      <c r="O2066" s="102"/>
      <c r="P2066" s="102"/>
      <c r="Q2066" s="102"/>
      <c r="R2066" s="102"/>
    </row>
    <row r="2067" spans="1:18" ht="35.1" customHeight="1" x14ac:dyDescent="0.2">
      <c r="A2067" s="99"/>
      <c r="B2067" s="99"/>
      <c r="C2067" s="102"/>
      <c r="D2067" s="102"/>
      <c r="E2067" s="102"/>
      <c r="F2067" s="102"/>
      <c r="G2067" s="102"/>
      <c r="H2067" s="102"/>
      <c r="I2067" s="102"/>
      <c r="J2067" s="102"/>
      <c r="K2067" s="102"/>
      <c r="L2067" s="102"/>
      <c r="M2067" s="102"/>
      <c r="N2067" s="102"/>
      <c r="O2067" s="102"/>
      <c r="P2067" s="102"/>
      <c r="Q2067" s="102"/>
      <c r="R2067" s="102"/>
    </row>
    <row r="2068" spans="1:18" ht="35.1" customHeight="1" x14ac:dyDescent="0.2">
      <c r="A2068" s="99"/>
      <c r="B2068" s="99"/>
      <c r="C2068" s="102"/>
      <c r="D2068" s="102"/>
      <c r="E2068" s="102"/>
      <c r="F2068" s="102"/>
      <c r="G2068" s="102"/>
      <c r="H2068" s="102"/>
      <c r="I2068" s="102"/>
      <c r="J2068" s="102"/>
      <c r="K2068" s="102"/>
      <c r="L2068" s="102"/>
      <c r="M2068" s="102"/>
      <c r="N2068" s="102"/>
      <c r="O2068" s="102"/>
      <c r="P2068" s="102"/>
      <c r="Q2068" s="102"/>
      <c r="R2068" s="102"/>
    </row>
    <row r="2069" spans="1:18" ht="35.1" customHeight="1" x14ac:dyDescent="0.2">
      <c r="A2069" s="99"/>
      <c r="B2069" s="99"/>
      <c r="C2069" s="102"/>
      <c r="D2069" s="102"/>
      <c r="E2069" s="102"/>
      <c r="F2069" s="102"/>
      <c r="G2069" s="102"/>
      <c r="H2069" s="102"/>
      <c r="I2069" s="102"/>
      <c r="J2069" s="102"/>
      <c r="K2069" s="102"/>
      <c r="L2069" s="102"/>
      <c r="M2069" s="102"/>
      <c r="N2069" s="102"/>
      <c r="O2069" s="102"/>
      <c r="P2069" s="102"/>
      <c r="Q2069" s="102"/>
      <c r="R2069" s="102"/>
    </row>
    <row r="2070" spans="1:18" ht="35.1" customHeight="1" x14ac:dyDescent="0.2">
      <c r="A2070" s="99"/>
      <c r="B2070" s="99"/>
      <c r="C2070" s="102"/>
      <c r="D2070" s="102"/>
      <c r="E2070" s="102"/>
      <c r="F2070" s="102"/>
      <c r="G2070" s="102"/>
      <c r="H2070" s="102"/>
      <c r="I2070" s="102"/>
      <c r="J2070" s="102"/>
      <c r="K2070" s="102"/>
      <c r="L2070" s="102"/>
      <c r="M2070" s="102"/>
      <c r="N2070" s="102"/>
      <c r="O2070" s="102"/>
      <c r="P2070" s="102"/>
      <c r="Q2070" s="102"/>
      <c r="R2070" s="102"/>
    </row>
    <row r="2071" spans="1:18" ht="35.1" customHeight="1" x14ac:dyDescent="0.2">
      <c r="A2071" s="99"/>
      <c r="B2071" s="99"/>
      <c r="C2071" s="102"/>
      <c r="D2071" s="102"/>
      <c r="E2071" s="102"/>
      <c r="F2071" s="102"/>
      <c r="G2071" s="102"/>
      <c r="H2071" s="102"/>
      <c r="I2071" s="102"/>
      <c r="J2071" s="102"/>
      <c r="K2071" s="102"/>
      <c r="L2071" s="102"/>
      <c r="M2071" s="102"/>
      <c r="N2071" s="102"/>
      <c r="O2071" s="102"/>
      <c r="P2071" s="102"/>
      <c r="Q2071" s="102"/>
      <c r="R2071" s="102"/>
    </row>
    <row r="2072" spans="1:18" ht="35.1" customHeight="1" x14ac:dyDescent="0.2">
      <c r="A2072" s="99"/>
      <c r="B2072" s="99"/>
      <c r="C2072" s="102"/>
      <c r="D2072" s="102"/>
      <c r="E2072" s="102"/>
      <c r="F2072" s="102"/>
      <c r="G2072" s="102"/>
      <c r="H2072" s="102"/>
      <c r="I2072" s="102"/>
      <c r="J2072" s="102"/>
      <c r="K2072" s="102"/>
      <c r="L2072" s="102"/>
      <c r="M2072" s="102"/>
      <c r="N2072" s="102"/>
      <c r="O2072" s="102"/>
      <c r="P2072" s="102"/>
      <c r="Q2072" s="102"/>
      <c r="R2072" s="102"/>
    </row>
    <row r="2073" spans="1:18" ht="35.1" customHeight="1" x14ac:dyDescent="0.2">
      <c r="A2073" s="99"/>
      <c r="B2073" s="99"/>
      <c r="C2073" s="102"/>
      <c r="D2073" s="102"/>
      <c r="E2073" s="102"/>
      <c r="F2073" s="102"/>
      <c r="G2073" s="102"/>
      <c r="H2073" s="102"/>
      <c r="I2073" s="102"/>
      <c r="J2073" s="102"/>
      <c r="K2073" s="102"/>
      <c r="L2073" s="102"/>
      <c r="M2073" s="102"/>
      <c r="N2073" s="102"/>
      <c r="O2073" s="102"/>
      <c r="P2073" s="102"/>
      <c r="Q2073" s="102"/>
      <c r="R2073" s="102"/>
    </row>
    <row r="2074" spans="1:18" ht="35.1" customHeight="1" x14ac:dyDescent="0.2">
      <c r="A2074" s="99"/>
      <c r="B2074" s="99"/>
      <c r="C2074" s="102"/>
      <c r="D2074" s="102"/>
      <c r="E2074" s="102"/>
      <c r="F2074" s="102"/>
      <c r="G2074" s="102"/>
      <c r="H2074" s="102"/>
      <c r="I2074" s="102"/>
      <c r="J2074" s="102"/>
      <c r="K2074" s="102"/>
      <c r="L2074" s="102"/>
      <c r="M2074" s="102"/>
      <c r="N2074" s="102"/>
      <c r="O2074" s="102"/>
      <c r="P2074" s="102"/>
      <c r="Q2074" s="102"/>
      <c r="R2074" s="102"/>
    </row>
    <row r="2075" spans="1:18" ht="35.1" customHeight="1" x14ac:dyDescent="0.2">
      <c r="A2075" s="99"/>
      <c r="B2075" s="99"/>
      <c r="C2075" s="102"/>
      <c r="D2075" s="102"/>
      <c r="E2075" s="102"/>
      <c r="F2075" s="102"/>
      <c r="G2075" s="102"/>
      <c r="H2075" s="102"/>
      <c r="I2075" s="102"/>
      <c r="J2075" s="102"/>
      <c r="K2075" s="102"/>
      <c r="L2075" s="102"/>
      <c r="M2075" s="102"/>
      <c r="N2075" s="102"/>
      <c r="O2075" s="102"/>
      <c r="P2075" s="102"/>
      <c r="Q2075" s="102"/>
      <c r="R2075" s="102"/>
    </row>
    <row r="2076" spans="1:18" ht="35.1" customHeight="1" x14ac:dyDescent="0.2">
      <c r="A2076" s="99"/>
      <c r="B2076" s="99"/>
      <c r="C2076" s="102"/>
      <c r="D2076" s="102"/>
      <c r="E2076" s="102"/>
      <c r="F2076" s="102"/>
      <c r="G2076" s="102"/>
      <c r="H2076" s="102"/>
      <c r="I2076" s="102"/>
      <c r="J2076" s="102"/>
      <c r="K2076" s="102"/>
      <c r="L2076" s="102"/>
      <c r="M2076" s="102"/>
      <c r="N2076" s="102"/>
      <c r="O2076" s="102"/>
      <c r="P2076" s="102"/>
      <c r="Q2076" s="102"/>
      <c r="R2076" s="102"/>
    </row>
    <row r="2077" spans="1:18" ht="35.1" customHeight="1" x14ac:dyDescent="0.2">
      <c r="A2077" s="99"/>
      <c r="B2077" s="99"/>
      <c r="C2077" s="102"/>
      <c r="D2077" s="102"/>
      <c r="E2077" s="102"/>
      <c r="F2077" s="102"/>
      <c r="G2077" s="102"/>
      <c r="H2077" s="102"/>
      <c r="I2077" s="102"/>
      <c r="J2077" s="102"/>
      <c r="K2077" s="102"/>
      <c r="L2077" s="102"/>
      <c r="M2077" s="102"/>
      <c r="N2077" s="102"/>
      <c r="O2077" s="102"/>
      <c r="P2077" s="102"/>
      <c r="Q2077" s="102"/>
      <c r="R2077" s="102"/>
    </row>
    <row r="2078" spans="1:18" ht="35.1" customHeight="1" x14ac:dyDescent="0.2">
      <c r="A2078" s="99"/>
      <c r="B2078" s="99"/>
      <c r="C2078" s="102"/>
      <c r="D2078" s="102"/>
      <c r="E2078" s="102"/>
      <c r="F2078" s="102"/>
      <c r="G2078" s="102"/>
      <c r="H2078" s="102"/>
      <c r="I2078" s="102"/>
      <c r="J2078" s="102"/>
      <c r="K2078" s="102"/>
      <c r="L2078" s="102"/>
      <c r="M2078" s="102"/>
      <c r="N2078" s="102"/>
      <c r="O2078" s="102"/>
      <c r="P2078" s="102"/>
      <c r="Q2078" s="102"/>
      <c r="R2078" s="102"/>
    </row>
    <row r="2079" spans="1:18" ht="35.1" customHeight="1" x14ac:dyDescent="0.2">
      <c r="A2079" s="99"/>
      <c r="B2079" s="99"/>
      <c r="C2079" s="102"/>
      <c r="D2079" s="102"/>
      <c r="E2079" s="102"/>
      <c r="F2079" s="102"/>
      <c r="G2079" s="102"/>
      <c r="H2079" s="102"/>
      <c r="I2079" s="102"/>
      <c r="J2079" s="102"/>
      <c r="K2079" s="102"/>
      <c r="L2079" s="102"/>
      <c r="M2079" s="102"/>
      <c r="N2079" s="102"/>
      <c r="O2079" s="102"/>
      <c r="P2079" s="102"/>
      <c r="Q2079" s="102"/>
      <c r="R2079" s="102"/>
    </row>
    <row r="2080" spans="1:18" ht="35.1" customHeight="1" x14ac:dyDescent="0.2">
      <c r="A2080" s="99"/>
      <c r="B2080" s="99"/>
      <c r="C2080" s="102"/>
      <c r="D2080" s="102"/>
      <c r="E2080" s="102"/>
      <c r="F2080" s="102"/>
      <c r="G2080" s="102"/>
      <c r="H2080" s="102"/>
      <c r="I2080" s="102"/>
      <c r="J2080" s="102"/>
      <c r="K2080" s="102"/>
      <c r="L2080" s="102"/>
      <c r="M2080" s="102"/>
      <c r="N2080" s="102"/>
      <c r="O2080" s="102"/>
      <c r="P2080" s="102"/>
      <c r="Q2080" s="102"/>
      <c r="R2080" s="102"/>
    </row>
    <row r="2081" spans="1:18" ht="35.1" customHeight="1" x14ac:dyDescent="0.2">
      <c r="A2081" s="99"/>
      <c r="B2081" s="99"/>
      <c r="C2081" s="102"/>
      <c r="D2081" s="102"/>
      <c r="E2081" s="102"/>
      <c r="F2081" s="102"/>
      <c r="G2081" s="102"/>
      <c r="H2081" s="102"/>
      <c r="I2081" s="102"/>
      <c r="J2081" s="102"/>
      <c r="K2081" s="102"/>
      <c r="L2081" s="102"/>
      <c r="M2081" s="102"/>
      <c r="N2081" s="102"/>
      <c r="O2081" s="102"/>
      <c r="P2081" s="102"/>
      <c r="Q2081" s="102"/>
      <c r="R2081" s="102"/>
    </row>
    <row r="2082" spans="1:18" ht="35.1" customHeight="1" x14ac:dyDescent="0.2">
      <c r="A2082" s="99"/>
      <c r="B2082" s="99"/>
      <c r="C2082" s="102"/>
      <c r="D2082" s="102"/>
      <c r="E2082" s="102"/>
      <c r="F2082" s="102"/>
      <c r="G2082" s="102"/>
      <c r="H2082" s="102"/>
      <c r="I2082" s="102"/>
      <c r="J2082" s="102"/>
      <c r="K2082" s="102"/>
      <c r="L2082" s="102"/>
      <c r="M2082" s="102"/>
      <c r="N2082" s="102"/>
      <c r="O2082" s="102"/>
      <c r="P2082" s="102"/>
      <c r="Q2082" s="102"/>
      <c r="R2082" s="102"/>
    </row>
    <row r="2083" spans="1:18" ht="35.1" customHeight="1" x14ac:dyDescent="0.2">
      <c r="A2083" s="99"/>
      <c r="B2083" s="99"/>
      <c r="C2083" s="102"/>
      <c r="D2083" s="102"/>
      <c r="E2083" s="102"/>
      <c r="F2083" s="102"/>
      <c r="G2083" s="102"/>
      <c r="H2083" s="102"/>
      <c r="I2083" s="102"/>
      <c r="J2083" s="102"/>
      <c r="K2083" s="102"/>
      <c r="L2083" s="102"/>
      <c r="M2083" s="102"/>
      <c r="N2083" s="102"/>
      <c r="O2083" s="102"/>
      <c r="P2083" s="102"/>
      <c r="Q2083" s="102"/>
      <c r="R2083" s="102"/>
    </row>
    <row r="2084" spans="1:18" ht="35.1" customHeight="1" x14ac:dyDescent="0.2">
      <c r="A2084" s="99"/>
      <c r="B2084" s="99"/>
      <c r="C2084" s="102"/>
      <c r="D2084" s="102"/>
      <c r="E2084" s="102"/>
      <c r="F2084" s="102"/>
      <c r="G2084" s="102"/>
      <c r="H2084" s="102"/>
      <c r="I2084" s="102"/>
      <c r="J2084" s="102"/>
      <c r="K2084" s="102"/>
      <c r="L2084" s="102"/>
      <c r="M2084" s="102"/>
      <c r="N2084" s="102"/>
      <c r="O2084" s="102"/>
      <c r="P2084" s="102"/>
      <c r="Q2084" s="102"/>
      <c r="R2084" s="102"/>
    </row>
    <row r="2085" spans="1:18" ht="35.1" customHeight="1" x14ac:dyDescent="0.2">
      <c r="A2085" s="99"/>
      <c r="B2085" s="99"/>
      <c r="C2085" s="102"/>
      <c r="D2085" s="102"/>
      <c r="E2085" s="102"/>
      <c r="F2085" s="102"/>
      <c r="G2085" s="102"/>
      <c r="H2085" s="102"/>
      <c r="I2085" s="102"/>
      <c r="J2085" s="102"/>
      <c r="K2085" s="102"/>
      <c r="L2085" s="102"/>
      <c r="M2085" s="102"/>
      <c r="N2085" s="102"/>
      <c r="O2085" s="102"/>
      <c r="P2085" s="102"/>
      <c r="Q2085" s="102"/>
      <c r="R2085" s="102"/>
    </row>
    <row r="2086" spans="1:18" ht="35.1" customHeight="1" x14ac:dyDescent="0.2">
      <c r="A2086" s="99"/>
      <c r="B2086" s="99"/>
      <c r="C2086" s="102"/>
      <c r="D2086" s="102"/>
      <c r="E2086" s="102"/>
      <c r="F2086" s="102"/>
      <c r="G2086" s="102"/>
      <c r="H2086" s="102"/>
      <c r="I2086" s="102"/>
      <c r="J2086" s="102"/>
      <c r="K2086" s="102"/>
      <c r="L2086" s="102"/>
      <c r="M2086" s="102"/>
      <c r="N2086" s="102"/>
      <c r="O2086" s="102"/>
      <c r="P2086" s="102"/>
      <c r="Q2086" s="102"/>
      <c r="R2086" s="102"/>
    </row>
    <row r="2087" spans="1:18" ht="35.1" customHeight="1" x14ac:dyDescent="0.2">
      <c r="A2087" s="99"/>
      <c r="B2087" s="99"/>
      <c r="C2087" s="102"/>
      <c r="D2087" s="102"/>
      <c r="E2087" s="102"/>
      <c r="F2087" s="102"/>
      <c r="G2087" s="102"/>
      <c r="H2087" s="102"/>
      <c r="I2087" s="102"/>
      <c r="J2087" s="102"/>
      <c r="K2087" s="102"/>
      <c r="L2087" s="102"/>
      <c r="M2087" s="102"/>
      <c r="N2087" s="102"/>
      <c r="O2087" s="102"/>
      <c r="P2087" s="102"/>
      <c r="Q2087" s="102"/>
      <c r="R2087" s="102"/>
    </row>
    <row r="2088" spans="1:18" ht="35.1" customHeight="1" x14ac:dyDescent="0.2">
      <c r="A2088" s="99"/>
      <c r="B2088" s="99"/>
      <c r="C2088" s="102"/>
      <c r="D2088" s="102"/>
      <c r="E2088" s="102"/>
      <c r="F2088" s="102"/>
      <c r="G2088" s="102"/>
      <c r="H2088" s="102"/>
      <c r="I2088" s="102"/>
      <c r="J2088" s="102"/>
      <c r="K2088" s="102"/>
      <c r="L2088" s="102"/>
      <c r="M2088" s="102"/>
      <c r="N2088" s="102"/>
      <c r="O2088" s="102"/>
      <c r="P2088" s="102"/>
      <c r="Q2088" s="102"/>
      <c r="R2088" s="102"/>
    </row>
    <row r="2089" spans="1:18" ht="35.1" customHeight="1" x14ac:dyDescent="0.2">
      <c r="A2089" s="99"/>
      <c r="B2089" s="99"/>
      <c r="C2089" s="102"/>
      <c r="D2089" s="102"/>
      <c r="E2089" s="102"/>
      <c r="F2089" s="102"/>
      <c r="G2089" s="102"/>
      <c r="H2089" s="102"/>
      <c r="I2089" s="102"/>
      <c r="J2089" s="102"/>
      <c r="K2089" s="102"/>
      <c r="L2089" s="102"/>
      <c r="M2089" s="102"/>
      <c r="N2089" s="102"/>
      <c r="O2089" s="102"/>
      <c r="P2089" s="102"/>
      <c r="Q2089" s="102"/>
      <c r="R2089" s="102"/>
    </row>
    <row r="2090" spans="1:18" ht="35.1" customHeight="1" x14ac:dyDescent="0.2">
      <c r="A2090" s="99"/>
      <c r="B2090" s="99"/>
      <c r="C2090" s="102"/>
      <c r="D2090" s="102"/>
      <c r="E2090" s="102"/>
      <c r="F2090" s="102"/>
      <c r="G2090" s="102"/>
      <c r="H2090" s="102"/>
      <c r="I2090" s="102"/>
      <c r="J2090" s="102"/>
      <c r="K2090" s="102"/>
      <c r="L2090" s="102"/>
      <c r="M2090" s="102"/>
      <c r="N2090" s="102"/>
      <c r="O2090" s="102"/>
      <c r="P2090" s="102"/>
      <c r="Q2090" s="102"/>
      <c r="R2090" s="102"/>
    </row>
    <row r="2091" spans="1:18" ht="35.1" customHeight="1" x14ac:dyDescent="0.2">
      <c r="A2091" s="99"/>
      <c r="B2091" s="99"/>
      <c r="C2091" s="102"/>
      <c r="D2091" s="102"/>
      <c r="E2091" s="102"/>
      <c r="F2091" s="102"/>
      <c r="G2091" s="102"/>
      <c r="H2091" s="102"/>
      <c r="I2091" s="102"/>
      <c r="J2091" s="102"/>
      <c r="K2091" s="102"/>
      <c r="L2091" s="102"/>
      <c r="M2091" s="102"/>
      <c r="N2091" s="102"/>
      <c r="O2091" s="102"/>
      <c r="P2091" s="102"/>
      <c r="Q2091" s="102"/>
      <c r="R2091" s="102"/>
    </row>
    <row r="2092" spans="1:18" ht="35.1" customHeight="1" x14ac:dyDescent="0.2">
      <c r="A2092" s="99"/>
      <c r="B2092" s="99"/>
      <c r="C2092" s="102"/>
      <c r="D2092" s="102"/>
      <c r="E2092" s="102"/>
      <c r="F2092" s="102"/>
      <c r="G2092" s="102"/>
      <c r="H2092" s="102"/>
      <c r="I2092" s="102"/>
      <c r="J2092" s="102"/>
      <c r="K2092" s="102"/>
      <c r="L2092" s="102"/>
      <c r="M2092" s="102"/>
      <c r="N2092" s="102"/>
      <c r="O2092" s="102"/>
      <c r="P2092" s="102"/>
      <c r="Q2092" s="102"/>
      <c r="R2092" s="102"/>
    </row>
    <row r="2093" spans="1:18" ht="35.1" customHeight="1" x14ac:dyDescent="0.2">
      <c r="A2093" s="99"/>
      <c r="B2093" s="99"/>
      <c r="C2093" s="102"/>
      <c r="D2093" s="102"/>
      <c r="E2093" s="102"/>
      <c r="F2093" s="102"/>
      <c r="G2093" s="102"/>
      <c r="H2093" s="102"/>
      <c r="I2093" s="102"/>
      <c r="J2093" s="102"/>
      <c r="K2093" s="102"/>
      <c r="L2093" s="102"/>
      <c r="M2093" s="102"/>
      <c r="N2093" s="102"/>
      <c r="O2093" s="102"/>
      <c r="P2093" s="102"/>
      <c r="Q2093" s="102"/>
      <c r="R2093" s="102"/>
    </row>
    <row r="2094" spans="1:18" ht="35.1" customHeight="1" x14ac:dyDescent="0.2">
      <c r="A2094" s="99"/>
      <c r="B2094" s="99"/>
      <c r="C2094" s="102"/>
      <c r="D2094" s="102"/>
      <c r="E2094" s="102"/>
      <c r="F2094" s="102"/>
      <c r="G2094" s="102"/>
      <c r="H2094" s="102"/>
      <c r="I2094" s="102"/>
      <c r="J2094" s="102"/>
      <c r="K2094" s="102"/>
      <c r="L2094" s="102"/>
      <c r="M2094" s="102"/>
      <c r="N2094" s="102"/>
      <c r="O2094" s="102"/>
      <c r="P2094" s="102"/>
      <c r="Q2094" s="102"/>
      <c r="R2094" s="102"/>
    </row>
    <row r="2095" spans="1:18" ht="35.1" customHeight="1" x14ac:dyDescent="0.2">
      <c r="A2095" s="99"/>
      <c r="B2095" s="99"/>
      <c r="C2095" s="102"/>
      <c r="D2095" s="102"/>
      <c r="E2095" s="102"/>
      <c r="F2095" s="102"/>
      <c r="G2095" s="102"/>
      <c r="H2095" s="102"/>
      <c r="I2095" s="102"/>
      <c r="J2095" s="102"/>
      <c r="K2095" s="102"/>
      <c r="L2095" s="102"/>
      <c r="M2095" s="102"/>
      <c r="N2095" s="102"/>
      <c r="O2095" s="102"/>
      <c r="P2095" s="102"/>
      <c r="Q2095" s="102"/>
      <c r="R2095" s="102"/>
    </row>
    <row r="2096" spans="1:18" ht="35.1" customHeight="1" x14ac:dyDescent="0.2">
      <c r="A2096" s="99"/>
      <c r="B2096" s="99"/>
      <c r="C2096" s="102"/>
      <c r="D2096" s="102"/>
      <c r="E2096" s="102"/>
      <c r="F2096" s="102"/>
      <c r="G2096" s="102"/>
      <c r="H2096" s="102"/>
      <c r="I2096" s="102"/>
      <c r="J2096" s="102"/>
      <c r="K2096" s="102"/>
      <c r="L2096" s="102"/>
      <c r="M2096" s="102"/>
      <c r="N2096" s="102"/>
      <c r="O2096" s="102"/>
      <c r="P2096" s="102"/>
      <c r="Q2096" s="102"/>
      <c r="R2096" s="102"/>
    </row>
    <row r="2097" spans="1:18" ht="35.1" customHeight="1" x14ac:dyDescent="0.2">
      <c r="A2097" s="99"/>
      <c r="B2097" s="99"/>
      <c r="C2097" s="102"/>
      <c r="D2097" s="102"/>
      <c r="E2097" s="102"/>
      <c r="F2097" s="102"/>
      <c r="G2097" s="102"/>
      <c r="H2097" s="102"/>
      <c r="I2097" s="102"/>
      <c r="J2097" s="102"/>
      <c r="K2097" s="102"/>
      <c r="L2097" s="102"/>
      <c r="M2097" s="102"/>
      <c r="N2097" s="102"/>
      <c r="O2097" s="102"/>
      <c r="P2097" s="102"/>
      <c r="Q2097" s="102"/>
      <c r="R2097" s="102"/>
    </row>
    <row r="2098" spans="1:18" ht="35.1" customHeight="1" x14ac:dyDescent="0.2">
      <c r="A2098" s="99"/>
      <c r="B2098" s="99"/>
      <c r="C2098" s="102"/>
      <c r="D2098" s="102"/>
      <c r="E2098" s="102"/>
      <c r="F2098" s="102"/>
      <c r="G2098" s="102"/>
      <c r="H2098" s="102"/>
      <c r="I2098" s="102"/>
      <c r="J2098" s="102"/>
      <c r="K2098" s="102"/>
      <c r="L2098" s="102"/>
      <c r="M2098" s="102"/>
      <c r="N2098" s="102"/>
      <c r="O2098" s="102"/>
      <c r="P2098" s="102"/>
      <c r="Q2098" s="102"/>
      <c r="R2098" s="102"/>
    </row>
    <row r="2099" spans="1:18" ht="35.1" customHeight="1" x14ac:dyDescent="0.2">
      <c r="A2099" s="99"/>
      <c r="B2099" s="99"/>
      <c r="C2099" s="102"/>
      <c r="D2099" s="102"/>
      <c r="E2099" s="102"/>
      <c r="F2099" s="102"/>
      <c r="G2099" s="102"/>
      <c r="H2099" s="102"/>
      <c r="I2099" s="102"/>
      <c r="J2099" s="102"/>
      <c r="K2099" s="102"/>
      <c r="L2099" s="102"/>
      <c r="M2099" s="102"/>
      <c r="N2099" s="102"/>
      <c r="O2099" s="102"/>
      <c r="P2099" s="102"/>
      <c r="Q2099" s="102"/>
      <c r="R2099" s="102"/>
    </row>
    <row r="2100" spans="1:18" ht="35.1" customHeight="1" x14ac:dyDescent="0.2">
      <c r="A2100" s="99"/>
      <c r="B2100" s="99"/>
      <c r="C2100" s="102"/>
      <c r="D2100" s="102"/>
      <c r="E2100" s="102"/>
      <c r="F2100" s="102"/>
      <c r="G2100" s="102"/>
      <c r="H2100" s="102"/>
      <c r="I2100" s="102"/>
      <c r="J2100" s="102"/>
      <c r="K2100" s="102"/>
      <c r="L2100" s="102"/>
      <c r="M2100" s="102"/>
      <c r="N2100" s="102"/>
      <c r="O2100" s="102"/>
      <c r="P2100" s="102"/>
      <c r="Q2100" s="102"/>
      <c r="R2100" s="102"/>
    </row>
    <row r="2101" spans="1:18" ht="35.1" customHeight="1" x14ac:dyDescent="0.2">
      <c r="A2101" s="99"/>
      <c r="B2101" s="99"/>
      <c r="C2101" s="102"/>
      <c r="D2101" s="102"/>
      <c r="E2101" s="102"/>
      <c r="F2101" s="102"/>
      <c r="G2101" s="102"/>
      <c r="H2101" s="102"/>
      <c r="I2101" s="102"/>
      <c r="J2101" s="102"/>
      <c r="K2101" s="102"/>
      <c r="L2101" s="102"/>
      <c r="M2101" s="102"/>
      <c r="N2101" s="102"/>
      <c r="O2101" s="102"/>
      <c r="P2101" s="102"/>
      <c r="Q2101" s="102"/>
      <c r="R2101" s="102"/>
    </row>
    <row r="2102" spans="1:18" ht="35.1" customHeight="1" x14ac:dyDescent="0.2">
      <c r="A2102" s="99"/>
      <c r="B2102" s="99"/>
      <c r="C2102" s="102"/>
      <c r="D2102" s="102"/>
      <c r="E2102" s="102"/>
      <c r="F2102" s="102"/>
      <c r="G2102" s="102"/>
      <c r="H2102" s="102"/>
      <c r="I2102" s="102"/>
      <c r="J2102" s="102"/>
      <c r="K2102" s="102"/>
      <c r="L2102" s="102"/>
      <c r="M2102" s="102"/>
      <c r="N2102" s="102"/>
      <c r="O2102" s="102"/>
      <c r="P2102" s="102"/>
      <c r="Q2102" s="102"/>
      <c r="R2102" s="102"/>
    </row>
    <row r="2103" spans="1:18" ht="35.1" customHeight="1" x14ac:dyDescent="0.2">
      <c r="A2103" s="99"/>
      <c r="B2103" s="99"/>
      <c r="C2103" s="102"/>
      <c r="D2103" s="102"/>
      <c r="E2103" s="102"/>
      <c r="F2103" s="102"/>
      <c r="G2103" s="102"/>
      <c r="H2103" s="102"/>
      <c r="I2103" s="102"/>
      <c r="J2103" s="102"/>
      <c r="K2103" s="102"/>
      <c r="L2103" s="102"/>
      <c r="M2103" s="102"/>
      <c r="N2103" s="102"/>
      <c r="O2103" s="102"/>
      <c r="P2103" s="102"/>
      <c r="Q2103" s="102"/>
      <c r="R2103" s="102"/>
    </row>
    <row r="2104" spans="1:18" ht="35.1" customHeight="1" x14ac:dyDescent="0.2">
      <c r="A2104" s="99"/>
      <c r="B2104" s="99"/>
      <c r="C2104" s="102"/>
      <c r="D2104" s="102"/>
      <c r="E2104" s="102"/>
      <c r="F2104" s="102"/>
      <c r="G2104" s="102"/>
      <c r="H2104" s="102"/>
      <c r="I2104" s="102"/>
      <c r="J2104" s="102"/>
      <c r="K2104" s="102"/>
      <c r="L2104" s="102"/>
      <c r="M2104" s="102"/>
      <c r="N2104" s="102"/>
      <c r="O2104" s="102"/>
      <c r="P2104" s="102"/>
      <c r="Q2104" s="102"/>
      <c r="R2104" s="102"/>
    </row>
    <row r="2105" spans="1:18" ht="35.1" customHeight="1" x14ac:dyDescent="0.2">
      <c r="A2105" s="99"/>
      <c r="B2105" s="99"/>
      <c r="C2105" s="102"/>
      <c r="D2105" s="102"/>
      <c r="E2105" s="102"/>
      <c r="F2105" s="102"/>
      <c r="G2105" s="102"/>
      <c r="H2105" s="102"/>
      <c r="I2105" s="102"/>
      <c r="J2105" s="102"/>
      <c r="K2105" s="102"/>
      <c r="L2105" s="102"/>
      <c r="M2105" s="102"/>
      <c r="N2105" s="102"/>
      <c r="O2105" s="102"/>
      <c r="P2105" s="102"/>
      <c r="Q2105" s="102"/>
      <c r="R2105" s="102"/>
    </row>
    <row r="2106" spans="1:18" ht="35.1" customHeight="1" x14ac:dyDescent="0.2">
      <c r="A2106" s="99"/>
      <c r="B2106" s="99"/>
      <c r="C2106" s="102"/>
      <c r="D2106" s="102"/>
      <c r="E2106" s="102"/>
      <c r="F2106" s="102"/>
      <c r="G2106" s="102"/>
      <c r="H2106" s="102"/>
      <c r="I2106" s="102"/>
      <c r="J2106" s="102"/>
      <c r="K2106" s="102"/>
      <c r="L2106" s="102"/>
      <c r="M2106" s="102"/>
      <c r="N2106" s="102"/>
      <c r="O2106" s="102"/>
      <c r="P2106" s="102"/>
      <c r="Q2106" s="102"/>
      <c r="R2106" s="102"/>
    </row>
    <row r="2107" spans="1:18" ht="35.1" customHeight="1" x14ac:dyDescent="0.2">
      <c r="A2107" s="99"/>
      <c r="B2107" s="99"/>
      <c r="C2107" s="102"/>
      <c r="D2107" s="102"/>
      <c r="E2107" s="102"/>
      <c r="F2107" s="102"/>
      <c r="G2107" s="102"/>
      <c r="H2107" s="102"/>
      <c r="I2107" s="102"/>
      <c r="J2107" s="102"/>
      <c r="K2107" s="102"/>
      <c r="L2107" s="102"/>
      <c r="M2107" s="102"/>
      <c r="N2107" s="102"/>
      <c r="O2107" s="102"/>
      <c r="P2107" s="102"/>
      <c r="Q2107" s="102"/>
      <c r="R2107" s="102"/>
    </row>
    <row r="2108" spans="1:18" ht="35.1" customHeight="1" x14ac:dyDescent="0.2">
      <c r="A2108" s="99"/>
      <c r="B2108" s="99"/>
      <c r="C2108" s="102"/>
      <c r="D2108" s="102"/>
      <c r="E2108" s="102"/>
      <c r="F2108" s="102"/>
      <c r="G2108" s="102"/>
      <c r="H2108" s="102"/>
      <c r="I2108" s="102"/>
      <c r="J2108" s="102"/>
      <c r="K2108" s="102"/>
      <c r="L2108" s="102"/>
      <c r="M2108" s="102"/>
      <c r="N2108" s="102"/>
      <c r="O2108" s="102"/>
      <c r="P2108" s="102"/>
      <c r="Q2108" s="102"/>
      <c r="R2108" s="102"/>
    </row>
    <row r="2109" spans="1:18" ht="35.1" customHeight="1" x14ac:dyDescent="0.2">
      <c r="A2109" s="99"/>
      <c r="B2109" s="99"/>
      <c r="C2109" s="102"/>
      <c r="D2109" s="102"/>
      <c r="E2109" s="102"/>
      <c r="F2109" s="102"/>
      <c r="G2109" s="102"/>
      <c r="H2109" s="102"/>
      <c r="I2109" s="102"/>
      <c r="J2109" s="102"/>
      <c r="K2109" s="102"/>
      <c r="L2109" s="102"/>
      <c r="M2109" s="102"/>
      <c r="N2109" s="102"/>
      <c r="O2109" s="102"/>
      <c r="P2109" s="102"/>
      <c r="Q2109" s="102"/>
      <c r="R2109" s="102"/>
    </row>
    <row r="2110" spans="1:18" ht="35.1" customHeight="1" x14ac:dyDescent="0.2">
      <c r="A2110" s="99"/>
      <c r="B2110" s="99"/>
      <c r="C2110" s="102"/>
      <c r="D2110" s="102"/>
      <c r="E2110" s="102"/>
      <c r="F2110" s="102"/>
      <c r="G2110" s="102"/>
      <c r="H2110" s="102"/>
      <c r="I2110" s="102"/>
      <c r="J2110" s="102"/>
      <c r="K2110" s="102"/>
      <c r="L2110" s="102"/>
      <c r="M2110" s="102"/>
      <c r="N2110" s="102"/>
      <c r="O2110" s="102"/>
      <c r="P2110" s="102"/>
      <c r="Q2110" s="102"/>
      <c r="R2110" s="102"/>
    </row>
    <row r="2111" spans="1:18" ht="35.1" customHeight="1" x14ac:dyDescent="0.2">
      <c r="A2111" s="99"/>
      <c r="B2111" s="99"/>
      <c r="C2111" s="102"/>
      <c r="D2111" s="102"/>
      <c r="E2111" s="102"/>
      <c r="F2111" s="102"/>
      <c r="G2111" s="102"/>
      <c r="H2111" s="102"/>
      <c r="I2111" s="102"/>
      <c r="J2111" s="102"/>
      <c r="K2111" s="102"/>
      <c r="L2111" s="102"/>
      <c r="M2111" s="102"/>
      <c r="N2111" s="102"/>
      <c r="O2111" s="102"/>
      <c r="P2111" s="102"/>
      <c r="Q2111" s="102"/>
      <c r="R2111" s="102"/>
    </row>
    <row r="2112" spans="1:18" ht="35.1" customHeight="1" x14ac:dyDescent="0.2">
      <c r="A2112" s="99"/>
      <c r="B2112" s="99"/>
      <c r="C2112" s="102"/>
      <c r="D2112" s="102"/>
      <c r="E2112" s="102"/>
      <c r="F2112" s="102"/>
      <c r="G2112" s="102"/>
      <c r="H2112" s="102"/>
      <c r="I2112" s="102"/>
      <c r="J2112" s="102"/>
      <c r="K2112" s="102"/>
      <c r="L2112" s="102"/>
      <c r="M2112" s="102"/>
      <c r="N2112" s="102"/>
      <c r="O2112" s="102"/>
      <c r="P2112" s="102"/>
      <c r="Q2112" s="102"/>
      <c r="R2112" s="102"/>
    </row>
    <row r="2113" spans="1:18" ht="35.1" customHeight="1" x14ac:dyDescent="0.2">
      <c r="A2113" s="99"/>
      <c r="B2113" s="99"/>
      <c r="C2113" s="102"/>
      <c r="D2113" s="102"/>
      <c r="E2113" s="102"/>
      <c r="F2113" s="102"/>
      <c r="G2113" s="102"/>
      <c r="H2113" s="102"/>
      <c r="I2113" s="102"/>
      <c r="J2113" s="102"/>
      <c r="K2113" s="102"/>
      <c r="L2113" s="102"/>
      <c r="M2113" s="102"/>
      <c r="N2113" s="102"/>
      <c r="O2113" s="102"/>
      <c r="P2113" s="102"/>
      <c r="Q2113" s="102"/>
      <c r="R2113" s="102"/>
    </row>
    <row r="2114" spans="1:18" ht="35.1" customHeight="1" x14ac:dyDescent="0.2">
      <c r="A2114" s="99"/>
      <c r="B2114" s="99"/>
      <c r="C2114" s="102"/>
      <c r="D2114" s="102"/>
      <c r="E2114" s="102"/>
      <c r="F2114" s="102"/>
      <c r="G2114" s="102"/>
      <c r="H2114" s="102"/>
      <c r="I2114" s="102"/>
      <c r="J2114" s="102"/>
      <c r="K2114" s="102"/>
      <c r="L2114" s="102"/>
      <c r="M2114" s="102"/>
      <c r="N2114" s="102"/>
      <c r="O2114" s="102"/>
      <c r="P2114" s="102"/>
      <c r="Q2114" s="102"/>
      <c r="R2114" s="102"/>
    </row>
    <row r="2115" spans="1:18" ht="35.1" customHeight="1" x14ac:dyDescent="0.2">
      <c r="A2115" s="99"/>
      <c r="B2115" s="99"/>
      <c r="C2115" s="102"/>
      <c r="D2115" s="102"/>
      <c r="E2115" s="102"/>
      <c r="F2115" s="102"/>
      <c r="G2115" s="102"/>
      <c r="H2115" s="102"/>
      <c r="I2115" s="102"/>
      <c r="J2115" s="102"/>
      <c r="K2115" s="102"/>
      <c r="L2115" s="102"/>
      <c r="M2115" s="102"/>
      <c r="N2115" s="102"/>
      <c r="O2115" s="102"/>
      <c r="P2115" s="102"/>
      <c r="Q2115" s="102"/>
      <c r="R2115" s="102"/>
    </row>
    <row r="2116" spans="1:18" ht="35.1" customHeight="1" x14ac:dyDescent="0.2">
      <c r="A2116" s="99"/>
      <c r="B2116" s="99"/>
      <c r="C2116" s="102"/>
      <c r="D2116" s="102"/>
      <c r="E2116" s="102"/>
      <c r="F2116" s="102"/>
      <c r="G2116" s="102"/>
      <c r="H2116" s="102"/>
      <c r="I2116" s="102"/>
      <c r="J2116" s="102"/>
      <c r="K2116" s="102"/>
      <c r="L2116" s="102"/>
      <c r="M2116" s="102"/>
      <c r="N2116" s="102"/>
      <c r="O2116" s="102"/>
      <c r="P2116" s="102"/>
      <c r="Q2116" s="102"/>
      <c r="R2116" s="102"/>
    </row>
    <row r="2117" spans="1:18" ht="35.1" customHeight="1" x14ac:dyDescent="0.2">
      <c r="A2117" s="99"/>
      <c r="B2117" s="99"/>
      <c r="C2117" s="102"/>
      <c r="D2117" s="102"/>
      <c r="E2117" s="102"/>
      <c r="F2117" s="102"/>
      <c r="G2117" s="102"/>
      <c r="H2117" s="102"/>
      <c r="I2117" s="102"/>
      <c r="J2117" s="102"/>
      <c r="K2117" s="102"/>
      <c r="L2117" s="102"/>
      <c r="M2117" s="102"/>
      <c r="N2117" s="102"/>
      <c r="O2117" s="102"/>
      <c r="P2117" s="102"/>
      <c r="Q2117" s="102"/>
      <c r="R2117" s="102"/>
    </row>
    <row r="2118" spans="1:18" ht="35.1" customHeight="1" x14ac:dyDescent="0.2">
      <c r="A2118" s="99"/>
      <c r="B2118" s="99"/>
      <c r="C2118" s="102"/>
      <c r="D2118" s="102"/>
      <c r="E2118" s="102"/>
      <c r="F2118" s="102"/>
      <c r="G2118" s="102"/>
      <c r="H2118" s="102"/>
      <c r="I2118" s="102"/>
      <c r="J2118" s="102"/>
      <c r="K2118" s="102"/>
      <c r="L2118" s="102"/>
      <c r="M2118" s="102"/>
      <c r="N2118" s="102"/>
      <c r="O2118" s="102"/>
      <c r="P2118" s="102"/>
      <c r="Q2118" s="102"/>
      <c r="R2118" s="102"/>
    </row>
    <row r="2119" spans="1:18" ht="35.1" customHeight="1" x14ac:dyDescent="0.2">
      <c r="A2119" s="99"/>
      <c r="B2119" s="99"/>
      <c r="C2119" s="102"/>
      <c r="D2119" s="102"/>
      <c r="E2119" s="102"/>
      <c r="F2119" s="102"/>
      <c r="G2119" s="102"/>
      <c r="H2119" s="102"/>
      <c r="I2119" s="102"/>
      <c r="J2119" s="102"/>
      <c r="K2119" s="102"/>
      <c r="L2119" s="102"/>
      <c r="M2119" s="102"/>
      <c r="N2119" s="102"/>
      <c r="O2119" s="102"/>
      <c r="P2119" s="102"/>
      <c r="Q2119" s="102"/>
      <c r="R2119" s="102"/>
    </row>
    <row r="2120" spans="1:18" ht="35.1" customHeight="1" x14ac:dyDescent="0.2">
      <c r="A2120" s="99"/>
      <c r="B2120" s="99"/>
      <c r="C2120" s="102"/>
      <c r="D2120" s="102"/>
      <c r="E2120" s="102"/>
      <c r="F2120" s="102"/>
      <c r="G2120" s="102"/>
      <c r="H2120" s="102"/>
      <c r="I2120" s="102"/>
      <c r="J2120" s="102"/>
      <c r="K2120" s="102"/>
      <c r="L2120" s="102"/>
      <c r="M2120" s="102"/>
      <c r="N2120" s="102"/>
      <c r="O2120" s="102"/>
      <c r="P2120" s="102"/>
      <c r="Q2120" s="102"/>
      <c r="R2120" s="102"/>
    </row>
    <row r="2121" spans="1:18" ht="35.1" customHeight="1" x14ac:dyDescent="0.2">
      <c r="A2121" s="99"/>
      <c r="B2121" s="99"/>
      <c r="C2121" s="102"/>
      <c r="D2121" s="102"/>
      <c r="E2121" s="102"/>
      <c r="F2121" s="102"/>
      <c r="G2121" s="102"/>
      <c r="H2121" s="102"/>
      <c r="I2121" s="102"/>
      <c r="J2121" s="102"/>
      <c r="K2121" s="102"/>
      <c r="L2121" s="102"/>
      <c r="M2121" s="102"/>
      <c r="N2121" s="102"/>
      <c r="O2121" s="102"/>
      <c r="P2121" s="102"/>
      <c r="Q2121" s="102"/>
      <c r="R2121" s="102"/>
    </row>
    <row r="2122" spans="1:18" ht="35.1" customHeight="1" x14ac:dyDescent="0.2">
      <c r="A2122" s="99"/>
      <c r="B2122" s="99"/>
      <c r="C2122" s="102"/>
      <c r="D2122" s="102"/>
      <c r="E2122" s="102"/>
      <c r="F2122" s="102"/>
      <c r="G2122" s="102"/>
      <c r="H2122" s="102"/>
      <c r="I2122" s="102"/>
      <c r="J2122" s="102"/>
      <c r="K2122" s="102"/>
      <c r="L2122" s="102"/>
      <c r="M2122" s="102"/>
      <c r="N2122" s="102"/>
      <c r="O2122" s="102"/>
      <c r="P2122" s="102"/>
      <c r="Q2122" s="102"/>
      <c r="R2122" s="102"/>
    </row>
    <row r="2123" spans="1:18" ht="35.1" customHeight="1" x14ac:dyDescent="0.2">
      <c r="A2123" s="99"/>
      <c r="B2123" s="99"/>
      <c r="C2123" s="102"/>
      <c r="D2123" s="102"/>
      <c r="E2123" s="102"/>
      <c r="F2123" s="102"/>
      <c r="G2123" s="102"/>
      <c r="H2123" s="102"/>
      <c r="I2123" s="102"/>
      <c r="J2123" s="102"/>
      <c r="K2123" s="102"/>
      <c r="L2123" s="102"/>
      <c r="M2123" s="102"/>
      <c r="N2123" s="102"/>
      <c r="O2123" s="102"/>
      <c r="P2123" s="102"/>
      <c r="Q2123" s="102"/>
      <c r="R2123" s="102"/>
    </row>
    <row r="2124" spans="1:18" ht="35.1" customHeight="1" x14ac:dyDescent="0.2">
      <c r="A2124" s="99"/>
      <c r="B2124" s="99"/>
      <c r="C2124" s="102"/>
      <c r="D2124" s="102"/>
      <c r="E2124" s="102"/>
      <c r="F2124" s="102"/>
      <c r="G2124" s="102"/>
      <c r="H2124" s="102"/>
      <c r="I2124" s="102"/>
      <c r="J2124" s="102"/>
      <c r="K2124" s="102"/>
      <c r="L2124" s="102"/>
      <c r="M2124" s="102"/>
      <c r="N2124" s="102"/>
      <c r="O2124" s="102"/>
      <c r="P2124" s="102"/>
      <c r="Q2124" s="102"/>
      <c r="R2124" s="102"/>
    </row>
    <row r="2125" spans="1:18" ht="35.1" customHeight="1" x14ac:dyDescent="0.2">
      <c r="A2125" s="99"/>
      <c r="B2125" s="99"/>
      <c r="C2125" s="102"/>
      <c r="D2125" s="102"/>
      <c r="E2125" s="102"/>
      <c r="F2125" s="102"/>
      <c r="G2125" s="102"/>
      <c r="H2125" s="102"/>
      <c r="I2125" s="102"/>
      <c r="J2125" s="102"/>
      <c r="K2125" s="102"/>
      <c r="L2125" s="102"/>
      <c r="M2125" s="102"/>
      <c r="N2125" s="102"/>
      <c r="O2125" s="102"/>
      <c r="P2125" s="102"/>
      <c r="Q2125" s="102"/>
      <c r="R2125" s="102"/>
    </row>
    <row r="2126" spans="1:18" ht="35.1" customHeight="1" x14ac:dyDescent="0.2">
      <c r="A2126" s="99"/>
      <c r="B2126" s="99"/>
      <c r="C2126" s="102"/>
      <c r="D2126" s="102"/>
      <c r="E2126" s="102"/>
      <c r="F2126" s="102"/>
      <c r="G2126" s="102"/>
      <c r="H2126" s="102"/>
      <c r="I2126" s="102"/>
      <c r="J2126" s="102"/>
      <c r="K2126" s="102"/>
      <c r="L2126" s="102"/>
      <c r="M2126" s="102"/>
      <c r="N2126" s="102"/>
      <c r="O2126" s="102"/>
      <c r="P2126" s="102"/>
      <c r="Q2126" s="102"/>
      <c r="R2126" s="102"/>
    </row>
    <row r="2127" spans="1:18" ht="35.1" customHeight="1" x14ac:dyDescent="0.2">
      <c r="A2127" s="99"/>
      <c r="B2127" s="99"/>
      <c r="C2127" s="102"/>
      <c r="D2127" s="102"/>
      <c r="E2127" s="102"/>
      <c r="F2127" s="102"/>
      <c r="G2127" s="102"/>
      <c r="H2127" s="102"/>
      <c r="I2127" s="102"/>
      <c r="J2127" s="102"/>
      <c r="K2127" s="102"/>
      <c r="L2127" s="102"/>
      <c r="M2127" s="102"/>
      <c r="N2127" s="102"/>
      <c r="O2127" s="102"/>
      <c r="P2127" s="102"/>
      <c r="Q2127" s="102"/>
      <c r="R2127" s="102"/>
    </row>
    <row r="2128" spans="1:18" ht="35.1" customHeight="1" x14ac:dyDescent="0.2">
      <c r="A2128" s="99"/>
      <c r="B2128" s="99"/>
      <c r="C2128" s="102"/>
      <c r="D2128" s="102"/>
      <c r="E2128" s="102"/>
      <c r="F2128" s="102"/>
      <c r="G2128" s="102"/>
      <c r="H2128" s="102"/>
      <c r="I2128" s="102"/>
      <c r="J2128" s="102"/>
      <c r="K2128" s="102"/>
      <c r="L2128" s="102"/>
      <c r="M2128" s="102"/>
      <c r="N2128" s="102"/>
      <c r="O2128" s="102"/>
      <c r="P2128" s="102"/>
      <c r="Q2128" s="102"/>
      <c r="R2128" s="102"/>
    </row>
    <row r="2129" spans="1:18" ht="35.1" customHeight="1" x14ac:dyDescent="0.2">
      <c r="A2129" s="99"/>
      <c r="B2129" s="99"/>
      <c r="C2129" s="102"/>
      <c r="D2129" s="102"/>
      <c r="E2129" s="102"/>
      <c r="F2129" s="102"/>
      <c r="G2129" s="102"/>
      <c r="H2129" s="102"/>
      <c r="I2129" s="102"/>
      <c r="J2129" s="102"/>
      <c r="K2129" s="102"/>
      <c r="L2129" s="102"/>
      <c r="M2129" s="102"/>
      <c r="N2129" s="102"/>
      <c r="O2129" s="102"/>
      <c r="P2129" s="102"/>
      <c r="Q2129" s="102"/>
      <c r="R2129" s="102"/>
    </row>
    <row r="2130" spans="1:18" ht="35.1" customHeight="1" x14ac:dyDescent="0.2">
      <c r="A2130" s="99"/>
      <c r="B2130" s="99"/>
      <c r="C2130" s="102"/>
      <c r="D2130" s="102"/>
      <c r="E2130" s="102"/>
      <c r="F2130" s="102"/>
      <c r="G2130" s="102"/>
      <c r="H2130" s="102"/>
      <c r="I2130" s="102"/>
      <c r="J2130" s="102"/>
      <c r="K2130" s="102"/>
      <c r="L2130" s="102"/>
      <c r="M2130" s="102"/>
      <c r="N2130" s="102"/>
      <c r="O2130" s="102"/>
      <c r="P2130" s="102"/>
      <c r="Q2130" s="102"/>
      <c r="R2130" s="102"/>
    </row>
    <row r="2131" spans="1:18" ht="35.1" customHeight="1" x14ac:dyDescent="0.2">
      <c r="A2131" s="99"/>
      <c r="B2131" s="99"/>
      <c r="C2131" s="102"/>
      <c r="D2131" s="102"/>
      <c r="E2131" s="102"/>
      <c r="F2131" s="102"/>
      <c r="G2131" s="102"/>
      <c r="H2131" s="102"/>
      <c r="I2131" s="102"/>
      <c r="J2131" s="102"/>
      <c r="K2131" s="102"/>
      <c r="L2131" s="102"/>
      <c r="M2131" s="102"/>
      <c r="N2131" s="102"/>
      <c r="O2131" s="102"/>
      <c r="P2131" s="102"/>
      <c r="Q2131" s="102"/>
      <c r="R2131" s="102"/>
    </row>
    <row r="2132" spans="1:18" ht="35.1" customHeight="1" x14ac:dyDescent="0.2">
      <c r="A2132" s="99"/>
      <c r="B2132" s="99"/>
      <c r="C2132" s="102"/>
      <c r="D2132" s="102"/>
      <c r="E2132" s="102"/>
      <c r="F2132" s="102"/>
      <c r="G2132" s="102"/>
      <c r="H2132" s="102"/>
      <c r="I2132" s="102"/>
      <c r="J2132" s="102"/>
      <c r="K2132" s="102"/>
      <c r="L2132" s="102"/>
      <c r="M2132" s="102"/>
      <c r="N2132" s="102"/>
      <c r="O2132" s="102"/>
      <c r="P2132" s="102"/>
      <c r="Q2132" s="102"/>
      <c r="R2132" s="102"/>
    </row>
    <row r="2133" spans="1:18" ht="35.1" customHeight="1" x14ac:dyDescent="0.2">
      <c r="A2133" s="99"/>
      <c r="B2133" s="99"/>
      <c r="C2133" s="102"/>
      <c r="D2133" s="102"/>
      <c r="E2133" s="102"/>
      <c r="F2133" s="102"/>
      <c r="G2133" s="102"/>
      <c r="H2133" s="102"/>
      <c r="I2133" s="102"/>
      <c r="J2133" s="102"/>
      <c r="K2133" s="102"/>
      <c r="L2133" s="102"/>
      <c r="M2133" s="102"/>
      <c r="N2133" s="102"/>
      <c r="O2133" s="102"/>
      <c r="P2133" s="102"/>
      <c r="Q2133" s="102"/>
      <c r="R2133" s="102"/>
    </row>
    <row r="2134" spans="1:18" ht="35.1" customHeight="1" x14ac:dyDescent="0.2">
      <c r="A2134" s="99"/>
      <c r="B2134" s="99"/>
      <c r="C2134" s="102"/>
      <c r="D2134" s="102"/>
      <c r="E2134" s="102"/>
      <c r="F2134" s="102"/>
      <c r="G2134" s="102"/>
      <c r="H2134" s="102"/>
      <c r="I2134" s="102"/>
      <c r="J2134" s="102"/>
      <c r="K2134" s="102"/>
      <c r="L2134" s="102"/>
      <c r="M2134" s="102"/>
      <c r="N2134" s="102"/>
      <c r="O2134" s="102"/>
      <c r="P2134" s="102"/>
      <c r="Q2134" s="102"/>
      <c r="R2134" s="102"/>
    </row>
    <row r="2135" spans="1:18" ht="35.1" customHeight="1" x14ac:dyDescent="0.2">
      <c r="A2135" s="99"/>
      <c r="B2135" s="99"/>
      <c r="C2135" s="102"/>
      <c r="D2135" s="102"/>
      <c r="E2135" s="102"/>
      <c r="F2135" s="102"/>
      <c r="G2135" s="102"/>
      <c r="H2135" s="102"/>
      <c r="I2135" s="102"/>
      <c r="J2135" s="102"/>
      <c r="K2135" s="102"/>
      <c r="L2135" s="102"/>
      <c r="M2135" s="102"/>
      <c r="N2135" s="102"/>
      <c r="O2135" s="102"/>
      <c r="P2135" s="102"/>
      <c r="Q2135" s="102"/>
      <c r="R2135" s="102"/>
    </row>
    <row r="2136" spans="1:18" ht="35.1" customHeight="1" x14ac:dyDescent="0.2">
      <c r="A2136" s="99"/>
      <c r="B2136" s="99"/>
      <c r="C2136" s="102"/>
      <c r="D2136" s="102"/>
      <c r="E2136" s="102"/>
      <c r="F2136" s="102"/>
      <c r="G2136" s="102"/>
      <c r="H2136" s="102"/>
      <c r="I2136" s="102"/>
      <c r="J2136" s="102"/>
      <c r="K2136" s="102"/>
      <c r="L2136" s="102"/>
      <c r="M2136" s="102"/>
      <c r="N2136" s="102"/>
      <c r="O2136" s="102"/>
      <c r="P2136" s="102"/>
      <c r="Q2136" s="102"/>
      <c r="R2136" s="102"/>
    </row>
    <row r="2137" spans="1:18" ht="35.1" customHeight="1" x14ac:dyDescent="0.2">
      <c r="A2137" s="99"/>
      <c r="B2137" s="99"/>
      <c r="C2137" s="102"/>
      <c r="D2137" s="102"/>
      <c r="E2137" s="102"/>
      <c r="F2137" s="102"/>
      <c r="G2137" s="102"/>
      <c r="H2137" s="102"/>
      <c r="I2137" s="102"/>
      <c r="J2137" s="102"/>
      <c r="K2137" s="102"/>
      <c r="L2137" s="102"/>
      <c r="M2137" s="102"/>
      <c r="N2137" s="102"/>
      <c r="O2137" s="102"/>
      <c r="P2137" s="102"/>
      <c r="Q2137" s="102"/>
      <c r="R2137" s="102"/>
    </row>
    <row r="2138" spans="1:18" ht="35.1" customHeight="1" x14ac:dyDescent="0.2">
      <c r="A2138" s="99"/>
      <c r="B2138" s="99"/>
      <c r="C2138" s="102"/>
      <c r="D2138" s="102"/>
      <c r="E2138" s="102"/>
      <c r="F2138" s="102"/>
      <c r="G2138" s="102"/>
      <c r="H2138" s="102"/>
      <c r="I2138" s="102"/>
      <c r="J2138" s="102"/>
      <c r="K2138" s="102"/>
      <c r="L2138" s="102"/>
      <c r="M2138" s="102"/>
      <c r="N2138" s="102"/>
      <c r="O2138" s="102"/>
      <c r="P2138" s="102"/>
      <c r="Q2138" s="102"/>
      <c r="R2138" s="102"/>
    </row>
    <row r="2139" spans="1:18" ht="35.1" customHeight="1" x14ac:dyDescent="0.2">
      <c r="A2139" s="99"/>
      <c r="B2139" s="99"/>
      <c r="C2139" s="102"/>
      <c r="D2139" s="102"/>
      <c r="E2139" s="102"/>
      <c r="F2139" s="102"/>
      <c r="G2139" s="102"/>
      <c r="H2139" s="102"/>
      <c r="I2139" s="102"/>
      <c r="J2139" s="102"/>
      <c r="K2139" s="102"/>
      <c r="L2139" s="102"/>
      <c r="M2139" s="102"/>
      <c r="N2139" s="102"/>
      <c r="O2139" s="102"/>
      <c r="P2139" s="102"/>
      <c r="Q2139" s="102"/>
      <c r="R2139" s="102"/>
    </row>
    <row r="2140" spans="1:18" ht="35.1" customHeight="1" x14ac:dyDescent="0.2">
      <c r="A2140" s="99"/>
      <c r="B2140" s="99"/>
      <c r="C2140" s="102"/>
      <c r="D2140" s="102"/>
      <c r="E2140" s="102"/>
      <c r="F2140" s="102"/>
      <c r="G2140" s="102"/>
      <c r="H2140" s="102"/>
      <c r="I2140" s="102"/>
      <c r="J2140" s="102"/>
      <c r="K2140" s="102"/>
      <c r="L2140" s="102"/>
      <c r="M2140" s="102"/>
      <c r="N2140" s="102"/>
      <c r="O2140" s="102"/>
      <c r="P2140" s="102"/>
      <c r="Q2140" s="102"/>
      <c r="R2140" s="102"/>
    </row>
    <row r="2141" spans="1:18" ht="35.1" customHeight="1" x14ac:dyDescent="0.2">
      <c r="A2141" s="99"/>
      <c r="B2141" s="99"/>
      <c r="C2141" s="102"/>
      <c r="D2141" s="102"/>
      <c r="E2141" s="102"/>
      <c r="F2141" s="102"/>
      <c r="G2141" s="102"/>
      <c r="H2141" s="102"/>
      <c r="I2141" s="102"/>
      <c r="J2141" s="102"/>
      <c r="K2141" s="102"/>
      <c r="L2141" s="102"/>
      <c r="M2141" s="102"/>
      <c r="N2141" s="102"/>
      <c r="O2141" s="102"/>
      <c r="P2141" s="102"/>
      <c r="Q2141" s="102"/>
      <c r="R2141" s="102"/>
    </row>
    <row r="2142" spans="1:18" ht="35.1" customHeight="1" x14ac:dyDescent="0.2">
      <c r="A2142" s="99"/>
      <c r="B2142" s="99"/>
      <c r="C2142" s="102"/>
      <c r="D2142" s="102"/>
      <c r="E2142" s="102"/>
      <c r="F2142" s="102"/>
      <c r="G2142" s="102"/>
      <c r="H2142" s="102"/>
      <c r="I2142" s="102"/>
      <c r="J2142" s="102"/>
      <c r="K2142" s="102"/>
      <c r="L2142" s="102"/>
      <c r="M2142" s="102"/>
      <c r="N2142" s="102"/>
      <c r="O2142" s="102"/>
      <c r="P2142" s="102"/>
      <c r="Q2142" s="102"/>
      <c r="R2142" s="102"/>
    </row>
    <row r="2143" spans="1:18" ht="35.1" customHeight="1" x14ac:dyDescent="0.2">
      <c r="A2143" s="99"/>
      <c r="B2143" s="99"/>
      <c r="C2143" s="102"/>
      <c r="D2143" s="102"/>
      <c r="E2143" s="102"/>
      <c r="F2143" s="102"/>
      <c r="G2143" s="102"/>
      <c r="H2143" s="102"/>
      <c r="I2143" s="102"/>
      <c r="J2143" s="102"/>
      <c r="K2143" s="102"/>
      <c r="L2143" s="102"/>
      <c r="M2143" s="102"/>
      <c r="N2143" s="102"/>
      <c r="O2143" s="102"/>
      <c r="P2143" s="102"/>
      <c r="Q2143" s="102"/>
      <c r="R2143" s="102"/>
    </row>
    <row r="2144" spans="1:18" ht="35.1" customHeight="1" x14ac:dyDescent="0.2">
      <c r="A2144" s="99"/>
      <c r="B2144" s="99"/>
      <c r="C2144" s="102"/>
      <c r="D2144" s="102"/>
      <c r="E2144" s="102"/>
      <c r="F2144" s="102"/>
      <c r="G2144" s="102"/>
      <c r="H2144" s="102"/>
      <c r="I2144" s="102"/>
      <c r="J2144" s="102"/>
      <c r="K2144" s="102"/>
      <c r="L2144" s="102"/>
      <c r="M2144" s="102"/>
      <c r="N2144" s="102"/>
      <c r="O2144" s="102"/>
      <c r="P2144" s="102"/>
      <c r="Q2144" s="102"/>
      <c r="R2144" s="102"/>
    </row>
    <row r="2145" spans="1:18" ht="35.1" customHeight="1" x14ac:dyDescent="0.2">
      <c r="A2145" s="99"/>
      <c r="B2145" s="99"/>
      <c r="C2145" s="102"/>
      <c r="D2145" s="102"/>
      <c r="E2145" s="102"/>
      <c r="F2145" s="102"/>
      <c r="G2145" s="102"/>
      <c r="H2145" s="102"/>
      <c r="I2145" s="102"/>
      <c r="J2145" s="102"/>
      <c r="K2145" s="102"/>
      <c r="L2145" s="102"/>
      <c r="M2145" s="102"/>
      <c r="N2145" s="102"/>
      <c r="O2145" s="102"/>
      <c r="P2145" s="102"/>
      <c r="Q2145" s="102"/>
      <c r="R2145" s="102"/>
    </row>
    <row r="2146" spans="1:18" ht="35.1" customHeight="1" x14ac:dyDescent="0.2">
      <c r="A2146" s="99"/>
      <c r="B2146" s="99"/>
      <c r="C2146" s="102"/>
      <c r="D2146" s="102"/>
      <c r="E2146" s="102"/>
      <c r="F2146" s="102"/>
      <c r="G2146" s="102"/>
      <c r="H2146" s="102"/>
      <c r="I2146" s="102"/>
      <c r="J2146" s="102"/>
      <c r="K2146" s="102"/>
      <c r="L2146" s="102"/>
      <c r="M2146" s="102"/>
      <c r="N2146" s="102"/>
      <c r="O2146" s="102"/>
      <c r="P2146" s="102"/>
      <c r="Q2146" s="102"/>
      <c r="R2146" s="102"/>
    </row>
    <row r="2147" spans="1:18" ht="35.1" customHeight="1" x14ac:dyDescent="0.2">
      <c r="A2147" s="99"/>
      <c r="B2147" s="99"/>
      <c r="C2147" s="102"/>
      <c r="D2147" s="102"/>
      <c r="E2147" s="102"/>
      <c r="F2147" s="102"/>
      <c r="G2147" s="102"/>
      <c r="H2147" s="102"/>
      <c r="I2147" s="102"/>
      <c r="J2147" s="102"/>
      <c r="K2147" s="102"/>
      <c r="L2147" s="102"/>
      <c r="M2147" s="102"/>
      <c r="N2147" s="102"/>
      <c r="O2147" s="102"/>
      <c r="P2147" s="102"/>
      <c r="Q2147" s="102"/>
      <c r="R2147" s="102"/>
    </row>
    <row r="2148" spans="1:18" ht="35.1" customHeight="1" x14ac:dyDescent="0.2">
      <c r="A2148" s="99"/>
      <c r="B2148" s="99"/>
      <c r="C2148" s="102"/>
      <c r="D2148" s="102"/>
      <c r="E2148" s="102"/>
      <c r="F2148" s="102"/>
      <c r="G2148" s="102"/>
      <c r="H2148" s="102"/>
      <c r="I2148" s="102"/>
      <c r="J2148" s="102"/>
      <c r="K2148" s="102"/>
      <c r="L2148" s="102"/>
      <c r="M2148" s="102"/>
      <c r="N2148" s="102"/>
      <c r="O2148" s="102"/>
      <c r="P2148" s="102"/>
      <c r="Q2148" s="102"/>
      <c r="R2148" s="102"/>
    </row>
    <row r="2149" spans="1:18" ht="35.1" customHeight="1" x14ac:dyDescent="0.2">
      <c r="A2149" s="99"/>
      <c r="B2149" s="99"/>
      <c r="C2149" s="102"/>
      <c r="D2149" s="102"/>
      <c r="E2149" s="102"/>
      <c r="F2149" s="102"/>
      <c r="G2149" s="102"/>
      <c r="H2149" s="102"/>
      <c r="I2149" s="102"/>
      <c r="J2149" s="102"/>
      <c r="K2149" s="102"/>
      <c r="L2149" s="102"/>
      <c r="M2149" s="102"/>
      <c r="N2149" s="102"/>
      <c r="O2149" s="102"/>
      <c r="P2149" s="102"/>
      <c r="Q2149" s="102"/>
      <c r="R2149" s="102"/>
    </row>
    <row r="2150" spans="1:18" ht="35.1" customHeight="1" x14ac:dyDescent="0.2">
      <c r="A2150" s="99"/>
      <c r="B2150" s="99"/>
      <c r="C2150" s="102"/>
      <c r="D2150" s="102"/>
      <c r="E2150" s="102"/>
      <c r="F2150" s="102"/>
      <c r="G2150" s="102"/>
      <c r="H2150" s="102"/>
      <c r="I2150" s="102"/>
      <c r="J2150" s="102"/>
      <c r="K2150" s="102"/>
      <c r="L2150" s="102"/>
      <c r="M2150" s="102"/>
      <c r="N2150" s="102"/>
      <c r="O2150" s="102"/>
      <c r="P2150" s="102"/>
      <c r="Q2150" s="102"/>
      <c r="R2150" s="102"/>
    </row>
    <row r="2151" spans="1:18" ht="35.1" customHeight="1" x14ac:dyDescent="0.2">
      <c r="A2151" s="99"/>
      <c r="B2151" s="99"/>
      <c r="C2151" s="102"/>
      <c r="D2151" s="102"/>
      <c r="E2151" s="102"/>
      <c r="F2151" s="102"/>
      <c r="G2151" s="102"/>
      <c r="H2151" s="102"/>
      <c r="I2151" s="102"/>
      <c r="J2151" s="102"/>
      <c r="K2151" s="102"/>
      <c r="L2151" s="102"/>
      <c r="M2151" s="102"/>
      <c r="N2151" s="102"/>
      <c r="O2151" s="102"/>
      <c r="P2151" s="102"/>
      <c r="Q2151" s="102"/>
      <c r="R2151" s="102"/>
    </row>
    <row r="2152" spans="1:18" ht="35.1" customHeight="1" x14ac:dyDescent="0.2">
      <c r="A2152" s="99"/>
      <c r="B2152" s="99"/>
      <c r="C2152" s="102"/>
      <c r="D2152" s="102"/>
      <c r="E2152" s="102"/>
      <c r="F2152" s="102"/>
      <c r="G2152" s="102"/>
      <c r="H2152" s="102"/>
      <c r="I2152" s="102"/>
      <c r="J2152" s="102"/>
      <c r="K2152" s="102"/>
      <c r="L2152" s="102"/>
      <c r="M2152" s="102"/>
      <c r="N2152" s="102"/>
      <c r="O2152" s="102"/>
      <c r="P2152" s="102"/>
      <c r="Q2152" s="102"/>
      <c r="R2152" s="102"/>
    </row>
    <row r="2153" spans="1:18" ht="35.1" customHeight="1" x14ac:dyDescent="0.2">
      <c r="A2153" s="99"/>
      <c r="B2153" s="99"/>
      <c r="C2153" s="102"/>
      <c r="D2153" s="102"/>
      <c r="E2153" s="102"/>
      <c r="F2153" s="102"/>
      <c r="G2153" s="102"/>
      <c r="H2153" s="102"/>
      <c r="I2153" s="102"/>
      <c r="J2153" s="102"/>
      <c r="K2153" s="102"/>
      <c r="L2153" s="102"/>
      <c r="M2153" s="102"/>
      <c r="N2153" s="102"/>
      <c r="O2153" s="102"/>
      <c r="P2153" s="102"/>
      <c r="Q2153" s="102"/>
      <c r="R2153" s="102"/>
    </row>
    <row r="2154" spans="1:18" ht="35.1" customHeight="1" x14ac:dyDescent="0.2">
      <c r="A2154" s="99"/>
      <c r="B2154" s="99"/>
      <c r="C2154" s="102"/>
      <c r="D2154" s="102"/>
      <c r="E2154" s="102"/>
      <c r="F2154" s="102"/>
      <c r="G2154" s="102"/>
      <c r="H2154" s="102"/>
      <c r="I2154" s="102"/>
      <c r="J2154" s="102"/>
      <c r="K2154" s="102"/>
      <c r="L2154" s="102"/>
      <c r="M2154" s="102"/>
      <c r="N2154" s="102"/>
      <c r="O2154" s="102"/>
      <c r="P2154" s="102"/>
      <c r="Q2154" s="102"/>
      <c r="R2154" s="102"/>
    </row>
    <row r="2155" spans="1:18" ht="35.1" customHeight="1" x14ac:dyDescent="0.2">
      <c r="A2155" s="99"/>
      <c r="B2155" s="99"/>
      <c r="C2155" s="102"/>
      <c r="D2155" s="102"/>
      <c r="E2155" s="102"/>
      <c r="F2155" s="102"/>
      <c r="G2155" s="102"/>
      <c r="H2155" s="102"/>
      <c r="I2155" s="102"/>
      <c r="J2155" s="102"/>
      <c r="K2155" s="102"/>
      <c r="L2155" s="102"/>
      <c r="M2155" s="102"/>
      <c r="N2155" s="102"/>
      <c r="O2155" s="102"/>
      <c r="P2155" s="102"/>
      <c r="Q2155" s="102"/>
      <c r="R2155" s="102"/>
    </row>
    <row r="2156" spans="1:18" ht="35.1" customHeight="1" x14ac:dyDescent="0.2">
      <c r="A2156" s="99"/>
      <c r="B2156" s="99"/>
      <c r="C2156" s="102"/>
      <c r="D2156" s="102"/>
      <c r="E2156" s="102"/>
      <c r="F2156" s="102"/>
      <c r="G2156" s="102"/>
      <c r="H2156" s="102"/>
      <c r="I2156" s="102"/>
      <c r="J2156" s="102"/>
      <c r="K2156" s="102"/>
      <c r="L2156" s="102"/>
      <c r="M2156" s="102"/>
      <c r="N2156" s="102"/>
      <c r="O2156" s="102"/>
      <c r="P2156" s="102"/>
      <c r="Q2156" s="102"/>
      <c r="R2156" s="102"/>
    </row>
    <row r="2157" spans="1:18" ht="35.1" customHeight="1" x14ac:dyDescent="0.2">
      <c r="A2157" s="99"/>
      <c r="B2157" s="99"/>
      <c r="C2157" s="102"/>
      <c r="D2157" s="102"/>
      <c r="E2157" s="102"/>
      <c r="F2157" s="102"/>
      <c r="G2157" s="102"/>
      <c r="H2157" s="102"/>
      <c r="I2157" s="102"/>
      <c r="J2157" s="102"/>
      <c r="K2157" s="102"/>
      <c r="L2157" s="102"/>
      <c r="M2157" s="102"/>
      <c r="N2157" s="102"/>
      <c r="O2157" s="102"/>
      <c r="P2157" s="102"/>
      <c r="Q2157" s="102"/>
      <c r="R2157" s="102"/>
    </row>
    <row r="2158" spans="1:18" ht="35.1" customHeight="1" x14ac:dyDescent="0.2">
      <c r="A2158" s="99"/>
      <c r="B2158" s="99"/>
      <c r="C2158" s="102"/>
      <c r="D2158" s="102"/>
      <c r="E2158" s="102"/>
      <c r="F2158" s="102"/>
      <c r="G2158" s="102"/>
      <c r="H2158" s="102"/>
      <c r="I2158" s="102"/>
      <c r="J2158" s="102"/>
      <c r="K2158" s="102"/>
      <c r="L2158" s="102"/>
      <c r="M2158" s="102"/>
      <c r="N2158" s="102"/>
      <c r="O2158" s="102"/>
      <c r="P2158" s="102"/>
      <c r="Q2158" s="102"/>
      <c r="R2158" s="102"/>
    </row>
    <row r="2159" spans="1:18" ht="35.1" customHeight="1" x14ac:dyDescent="0.2">
      <c r="A2159" s="99"/>
      <c r="B2159" s="99"/>
      <c r="C2159" s="102"/>
      <c r="D2159" s="102"/>
      <c r="E2159" s="102"/>
      <c r="F2159" s="102"/>
      <c r="G2159" s="102"/>
      <c r="H2159" s="102"/>
      <c r="I2159" s="102"/>
      <c r="J2159" s="102"/>
      <c r="K2159" s="102"/>
      <c r="L2159" s="102"/>
      <c r="M2159" s="102"/>
      <c r="N2159" s="102"/>
      <c r="O2159" s="102"/>
      <c r="P2159" s="102"/>
      <c r="Q2159" s="102"/>
      <c r="R2159" s="102"/>
    </row>
    <row r="2160" spans="1:18" ht="35.1" customHeight="1" x14ac:dyDescent="0.2">
      <c r="A2160" s="99"/>
      <c r="B2160" s="99"/>
      <c r="C2160" s="102"/>
      <c r="D2160" s="102"/>
      <c r="E2160" s="102"/>
      <c r="F2160" s="102"/>
      <c r="G2160" s="102"/>
      <c r="H2160" s="102"/>
      <c r="I2160" s="102"/>
      <c r="J2160" s="102"/>
      <c r="K2160" s="102"/>
      <c r="L2160" s="102"/>
      <c r="M2160" s="102"/>
      <c r="N2160" s="102"/>
      <c r="O2160" s="102"/>
      <c r="P2160" s="102"/>
      <c r="Q2160" s="102"/>
      <c r="R2160" s="102"/>
    </row>
    <row r="2161" spans="1:18" ht="35.1" customHeight="1" x14ac:dyDescent="0.2">
      <c r="A2161" s="99"/>
      <c r="B2161" s="99"/>
      <c r="C2161" s="102"/>
      <c r="D2161" s="102"/>
      <c r="E2161" s="102"/>
      <c r="F2161" s="102"/>
      <c r="G2161" s="102"/>
      <c r="H2161" s="102"/>
      <c r="I2161" s="102"/>
      <c r="J2161" s="102"/>
      <c r="K2161" s="102"/>
      <c r="L2161" s="102"/>
      <c r="M2161" s="102"/>
      <c r="N2161" s="102"/>
      <c r="O2161" s="102"/>
      <c r="P2161" s="102"/>
      <c r="Q2161" s="102"/>
      <c r="R2161" s="102"/>
    </row>
    <row r="2162" spans="1:18" ht="35.1" customHeight="1" x14ac:dyDescent="0.2">
      <c r="A2162" s="99"/>
      <c r="B2162" s="99"/>
      <c r="C2162" s="102"/>
      <c r="D2162" s="102"/>
      <c r="E2162" s="102"/>
      <c r="F2162" s="102"/>
      <c r="G2162" s="102"/>
      <c r="H2162" s="102"/>
      <c r="I2162" s="102"/>
      <c r="J2162" s="102"/>
      <c r="K2162" s="102"/>
      <c r="L2162" s="102"/>
      <c r="M2162" s="102"/>
      <c r="N2162" s="102"/>
      <c r="O2162" s="102"/>
      <c r="P2162" s="102"/>
      <c r="Q2162" s="102"/>
      <c r="R2162" s="102"/>
    </row>
    <row r="2163" spans="1:18" ht="35.1" customHeight="1" x14ac:dyDescent="0.2">
      <c r="A2163" s="99"/>
      <c r="B2163" s="99"/>
      <c r="C2163" s="102"/>
      <c r="D2163" s="102"/>
      <c r="E2163" s="102"/>
      <c r="F2163" s="102"/>
      <c r="G2163" s="102"/>
      <c r="H2163" s="102"/>
      <c r="I2163" s="102"/>
      <c r="J2163" s="102"/>
      <c r="K2163" s="102"/>
      <c r="L2163" s="102"/>
      <c r="M2163" s="102"/>
      <c r="N2163" s="102"/>
      <c r="O2163" s="102"/>
      <c r="P2163" s="102"/>
      <c r="Q2163" s="102"/>
      <c r="R2163" s="102"/>
    </row>
    <row r="2164" spans="1:18" ht="35.1" customHeight="1" x14ac:dyDescent="0.2">
      <c r="A2164" s="99"/>
      <c r="B2164" s="99"/>
      <c r="C2164" s="102"/>
      <c r="D2164" s="102"/>
      <c r="E2164" s="102"/>
      <c r="F2164" s="102"/>
      <c r="G2164" s="102"/>
      <c r="H2164" s="102"/>
      <c r="I2164" s="102"/>
      <c r="J2164" s="102"/>
      <c r="K2164" s="102"/>
      <c r="L2164" s="102"/>
      <c r="M2164" s="102"/>
      <c r="N2164" s="102"/>
      <c r="O2164" s="102"/>
      <c r="P2164" s="102"/>
      <c r="Q2164" s="102"/>
      <c r="R2164" s="102"/>
    </row>
    <row r="2165" spans="1:18" ht="35.1" customHeight="1" x14ac:dyDescent="0.2">
      <c r="A2165" s="99"/>
      <c r="B2165" s="99"/>
      <c r="C2165" s="102"/>
      <c r="D2165" s="102"/>
      <c r="E2165" s="102"/>
      <c r="F2165" s="102"/>
      <c r="G2165" s="102"/>
      <c r="H2165" s="102"/>
      <c r="I2165" s="102"/>
      <c r="J2165" s="102"/>
      <c r="K2165" s="102"/>
      <c r="L2165" s="102"/>
      <c r="M2165" s="102"/>
      <c r="N2165" s="102"/>
      <c r="O2165" s="102"/>
      <c r="P2165" s="102"/>
      <c r="Q2165" s="102"/>
      <c r="R2165" s="102"/>
    </row>
    <row r="2166" spans="1:18" ht="35.1" customHeight="1" x14ac:dyDescent="0.2">
      <c r="A2166" s="99"/>
      <c r="B2166" s="99"/>
      <c r="C2166" s="102"/>
      <c r="D2166" s="102"/>
      <c r="E2166" s="102"/>
      <c r="F2166" s="102"/>
      <c r="G2166" s="102"/>
      <c r="H2166" s="102"/>
      <c r="I2166" s="102"/>
      <c r="J2166" s="102"/>
      <c r="K2166" s="102"/>
      <c r="L2166" s="102"/>
      <c r="M2166" s="102"/>
      <c r="N2166" s="102"/>
      <c r="O2166" s="102"/>
      <c r="P2166" s="102"/>
      <c r="Q2166" s="102"/>
      <c r="R2166" s="102"/>
    </row>
    <row r="2167" spans="1:18" ht="35.1" customHeight="1" x14ac:dyDescent="0.2">
      <c r="A2167" s="99"/>
      <c r="B2167" s="99"/>
      <c r="C2167" s="102"/>
      <c r="D2167" s="102"/>
      <c r="E2167" s="102"/>
      <c r="F2167" s="102"/>
      <c r="G2167" s="102"/>
      <c r="H2167" s="102"/>
      <c r="I2167" s="102"/>
      <c r="J2167" s="102"/>
      <c r="K2167" s="102"/>
      <c r="L2167" s="102"/>
      <c r="M2167" s="102"/>
      <c r="N2167" s="102"/>
      <c r="O2167" s="102"/>
      <c r="P2167" s="102"/>
      <c r="Q2167" s="102"/>
      <c r="R2167" s="102"/>
    </row>
    <row r="2168" spans="1:18" ht="35.1" customHeight="1" x14ac:dyDescent="0.2">
      <c r="A2168" s="99"/>
      <c r="B2168" s="99"/>
      <c r="C2168" s="102"/>
      <c r="D2168" s="102"/>
      <c r="E2168" s="102"/>
      <c r="F2168" s="102"/>
      <c r="G2168" s="102"/>
      <c r="H2168" s="102"/>
      <c r="I2168" s="102"/>
      <c r="J2168" s="102"/>
      <c r="K2168" s="102"/>
      <c r="L2168" s="102"/>
      <c r="M2168" s="102"/>
      <c r="N2168" s="102"/>
      <c r="O2168" s="102"/>
      <c r="P2168" s="102"/>
      <c r="Q2168" s="102"/>
      <c r="R2168" s="102"/>
    </row>
    <row r="2169" spans="1:18" ht="35.1" customHeight="1" x14ac:dyDescent="0.2">
      <c r="A2169" s="99"/>
      <c r="B2169" s="99"/>
      <c r="C2169" s="102"/>
      <c r="D2169" s="102"/>
      <c r="E2169" s="102"/>
      <c r="F2169" s="102"/>
      <c r="G2169" s="102"/>
      <c r="H2169" s="102"/>
      <c r="I2169" s="102"/>
      <c r="J2169" s="102"/>
      <c r="K2169" s="102"/>
      <c r="L2169" s="102"/>
      <c r="M2169" s="102"/>
      <c r="N2169" s="102"/>
      <c r="O2169" s="102"/>
      <c r="P2169" s="102"/>
      <c r="Q2169" s="102"/>
      <c r="R2169" s="102"/>
    </row>
    <row r="2170" spans="1:18" ht="35.1" customHeight="1" x14ac:dyDescent="0.2">
      <c r="A2170" s="99"/>
      <c r="B2170" s="99"/>
      <c r="C2170" s="102"/>
      <c r="D2170" s="102"/>
      <c r="E2170" s="102"/>
      <c r="F2170" s="102"/>
      <c r="G2170" s="102"/>
      <c r="H2170" s="102"/>
      <c r="I2170" s="102"/>
      <c r="J2170" s="102"/>
      <c r="K2170" s="102"/>
      <c r="L2170" s="102"/>
      <c r="M2170" s="102"/>
      <c r="N2170" s="102"/>
      <c r="O2170" s="102"/>
      <c r="P2170" s="102"/>
      <c r="Q2170" s="102"/>
      <c r="R2170" s="102"/>
    </row>
    <row r="2171" spans="1:18" ht="35.1" customHeight="1" x14ac:dyDescent="0.2">
      <c r="A2171" s="99"/>
      <c r="B2171" s="99"/>
      <c r="C2171" s="102"/>
      <c r="D2171" s="102"/>
      <c r="E2171" s="102"/>
      <c r="F2171" s="102"/>
      <c r="G2171" s="102"/>
      <c r="H2171" s="102"/>
      <c r="I2171" s="102"/>
      <c r="J2171" s="102"/>
      <c r="K2171" s="102"/>
      <c r="L2171" s="102"/>
      <c r="M2171" s="102"/>
      <c r="N2171" s="102"/>
      <c r="O2171" s="102"/>
      <c r="P2171" s="102"/>
      <c r="Q2171" s="102"/>
      <c r="R2171" s="102"/>
    </row>
    <row r="2172" spans="1:18" ht="35.1" customHeight="1" x14ac:dyDescent="0.2">
      <c r="A2172" s="99"/>
      <c r="B2172" s="99"/>
      <c r="C2172" s="102"/>
      <c r="D2172" s="102"/>
      <c r="E2172" s="102"/>
      <c r="F2172" s="102"/>
      <c r="G2172" s="102"/>
      <c r="H2172" s="102"/>
      <c r="I2172" s="102"/>
      <c r="J2172" s="102"/>
      <c r="K2172" s="102"/>
      <c r="L2172" s="102"/>
      <c r="M2172" s="102"/>
      <c r="N2172" s="102"/>
      <c r="O2172" s="102"/>
      <c r="P2172" s="102"/>
      <c r="Q2172" s="102"/>
      <c r="R2172" s="102"/>
    </row>
    <row r="2173" spans="1:18" ht="35.1" customHeight="1" x14ac:dyDescent="0.2">
      <c r="A2173" s="99"/>
      <c r="B2173" s="99"/>
      <c r="C2173" s="102"/>
      <c r="D2173" s="102"/>
      <c r="E2173" s="102"/>
      <c r="F2173" s="102"/>
      <c r="G2173" s="102"/>
      <c r="H2173" s="102"/>
      <c r="I2173" s="102"/>
      <c r="J2173" s="102"/>
      <c r="K2173" s="102"/>
      <c r="L2173" s="102"/>
      <c r="M2173" s="102"/>
      <c r="N2173" s="102"/>
      <c r="O2173" s="102"/>
      <c r="P2173" s="102"/>
      <c r="Q2173" s="102"/>
      <c r="R2173" s="102"/>
    </row>
    <row r="2174" spans="1:18" ht="35.1" customHeight="1" x14ac:dyDescent="0.2">
      <c r="A2174" s="99"/>
      <c r="B2174" s="99"/>
      <c r="C2174" s="102"/>
      <c r="D2174" s="102"/>
      <c r="E2174" s="102"/>
      <c r="F2174" s="102"/>
      <c r="G2174" s="102"/>
      <c r="H2174" s="102"/>
      <c r="I2174" s="102"/>
      <c r="J2174" s="102"/>
      <c r="K2174" s="102"/>
      <c r="L2174" s="102"/>
      <c r="M2174" s="102"/>
      <c r="N2174" s="102"/>
      <c r="O2174" s="102"/>
      <c r="P2174" s="102"/>
      <c r="Q2174" s="102"/>
      <c r="R2174" s="102"/>
    </row>
    <row r="2175" spans="1:18" ht="35.1" customHeight="1" x14ac:dyDescent="0.2">
      <c r="A2175" s="99"/>
      <c r="B2175" s="99"/>
      <c r="C2175" s="102"/>
      <c r="D2175" s="102"/>
      <c r="E2175" s="102"/>
      <c r="F2175" s="102"/>
      <c r="G2175" s="102"/>
      <c r="H2175" s="102"/>
      <c r="I2175" s="102"/>
      <c r="J2175" s="102"/>
      <c r="K2175" s="102"/>
      <c r="L2175" s="102"/>
      <c r="M2175" s="102"/>
      <c r="N2175" s="102"/>
      <c r="O2175" s="102"/>
      <c r="P2175" s="102"/>
      <c r="Q2175" s="102"/>
      <c r="R2175" s="102"/>
    </row>
    <row r="2176" spans="1:18" ht="35.1" customHeight="1" x14ac:dyDescent="0.2">
      <c r="A2176" s="99"/>
      <c r="B2176" s="99"/>
      <c r="C2176" s="102"/>
      <c r="D2176" s="102"/>
      <c r="E2176" s="102"/>
      <c r="F2176" s="102"/>
      <c r="G2176" s="102"/>
      <c r="H2176" s="102"/>
      <c r="I2176" s="102"/>
      <c r="J2176" s="102"/>
      <c r="K2176" s="102"/>
      <c r="L2176" s="102"/>
      <c r="M2176" s="102"/>
      <c r="N2176" s="102"/>
      <c r="O2176" s="102"/>
      <c r="P2176" s="102"/>
      <c r="Q2176" s="102"/>
      <c r="R2176" s="102"/>
    </row>
    <row r="2177" spans="1:18" ht="35.1" customHeight="1" x14ac:dyDescent="0.2">
      <c r="A2177" s="99"/>
      <c r="B2177" s="99"/>
      <c r="C2177" s="102"/>
      <c r="D2177" s="102"/>
      <c r="E2177" s="102"/>
      <c r="F2177" s="102"/>
      <c r="G2177" s="102"/>
      <c r="H2177" s="102"/>
      <c r="I2177" s="102"/>
      <c r="J2177" s="102"/>
      <c r="K2177" s="102"/>
      <c r="L2177" s="102"/>
      <c r="M2177" s="102"/>
      <c r="N2177" s="102"/>
      <c r="O2177" s="102"/>
      <c r="P2177" s="102"/>
      <c r="Q2177" s="102"/>
      <c r="R2177" s="102"/>
    </row>
    <row r="2178" spans="1:18" ht="35.1" customHeight="1" x14ac:dyDescent="0.2">
      <c r="A2178" s="99"/>
      <c r="B2178" s="99"/>
      <c r="C2178" s="102"/>
      <c r="D2178" s="102"/>
      <c r="E2178" s="102"/>
      <c r="F2178" s="102"/>
      <c r="G2178" s="102"/>
      <c r="H2178" s="102"/>
      <c r="I2178" s="102"/>
      <c r="J2178" s="102"/>
      <c r="K2178" s="102"/>
      <c r="L2178" s="102"/>
      <c r="M2178" s="102"/>
      <c r="N2178" s="102"/>
      <c r="O2178" s="102"/>
      <c r="P2178" s="102"/>
      <c r="Q2178" s="102"/>
      <c r="R2178" s="102"/>
    </row>
    <row r="2179" spans="1:18" ht="35.1" customHeight="1" x14ac:dyDescent="0.2">
      <c r="A2179" s="99"/>
      <c r="B2179" s="99"/>
      <c r="C2179" s="102"/>
      <c r="D2179" s="102"/>
      <c r="E2179" s="102"/>
      <c r="F2179" s="102"/>
      <c r="G2179" s="102"/>
      <c r="H2179" s="102"/>
      <c r="I2179" s="102"/>
      <c r="J2179" s="102"/>
      <c r="K2179" s="102"/>
      <c r="L2179" s="102"/>
      <c r="M2179" s="102"/>
      <c r="N2179" s="102"/>
      <c r="O2179" s="102"/>
      <c r="P2179" s="102"/>
      <c r="Q2179" s="102"/>
      <c r="R2179" s="102"/>
    </row>
    <row r="2180" spans="1:18" ht="35.1" customHeight="1" x14ac:dyDescent="0.2">
      <c r="A2180" s="99"/>
      <c r="B2180" s="99"/>
      <c r="C2180" s="102"/>
      <c r="D2180" s="102"/>
      <c r="E2180" s="102"/>
      <c r="F2180" s="102"/>
      <c r="G2180" s="102"/>
      <c r="H2180" s="102"/>
      <c r="I2180" s="102"/>
      <c r="J2180" s="102"/>
      <c r="K2180" s="102"/>
      <c r="L2180" s="102"/>
      <c r="M2180" s="102"/>
      <c r="N2180" s="102"/>
      <c r="O2180" s="102"/>
      <c r="P2180" s="102"/>
      <c r="Q2180" s="102"/>
      <c r="R2180" s="102"/>
    </row>
    <row r="2181" spans="1:18" ht="35.1" customHeight="1" x14ac:dyDescent="0.2">
      <c r="A2181" s="99"/>
      <c r="B2181" s="99"/>
      <c r="C2181" s="102"/>
      <c r="D2181" s="102"/>
      <c r="E2181" s="102"/>
      <c r="F2181" s="102"/>
      <c r="G2181" s="102"/>
      <c r="H2181" s="102"/>
      <c r="I2181" s="102"/>
      <c r="J2181" s="102"/>
      <c r="K2181" s="102"/>
      <c r="L2181" s="102"/>
      <c r="M2181" s="102"/>
      <c r="N2181" s="102"/>
      <c r="O2181" s="102"/>
      <c r="P2181" s="102"/>
      <c r="Q2181" s="102"/>
      <c r="R2181" s="102"/>
    </row>
    <row r="2182" spans="1:18" ht="35.1" customHeight="1" x14ac:dyDescent="0.2">
      <c r="A2182" s="99"/>
      <c r="B2182" s="99"/>
      <c r="C2182" s="102"/>
      <c r="D2182" s="102"/>
      <c r="E2182" s="102"/>
      <c r="F2182" s="102"/>
      <c r="G2182" s="102"/>
      <c r="H2182" s="102"/>
      <c r="I2182" s="102"/>
      <c r="J2182" s="102"/>
      <c r="K2182" s="102"/>
      <c r="L2182" s="102"/>
      <c r="M2182" s="102"/>
      <c r="N2182" s="102"/>
      <c r="O2182" s="102"/>
      <c r="P2182" s="102"/>
      <c r="Q2182" s="102"/>
      <c r="R2182" s="102"/>
    </row>
    <row r="2183" spans="1:18" ht="35.1" customHeight="1" x14ac:dyDescent="0.2">
      <c r="A2183" s="99"/>
      <c r="B2183" s="99"/>
      <c r="C2183" s="102"/>
      <c r="D2183" s="102"/>
      <c r="E2183" s="102"/>
      <c r="F2183" s="102"/>
      <c r="G2183" s="102"/>
      <c r="H2183" s="102"/>
      <c r="I2183" s="102"/>
      <c r="J2183" s="102"/>
      <c r="K2183" s="102"/>
      <c r="L2183" s="102"/>
      <c r="M2183" s="102"/>
      <c r="N2183" s="102"/>
      <c r="O2183" s="102"/>
      <c r="P2183" s="102"/>
      <c r="Q2183" s="102"/>
      <c r="R2183" s="102"/>
    </row>
    <row r="2184" spans="1:18" ht="35.1" customHeight="1" x14ac:dyDescent="0.2">
      <c r="A2184" s="99"/>
      <c r="B2184" s="99"/>
      <c r="C2184" s="102"/>
      <c r="D2184" s="102"/>
      <c r="E2184" s="102"/>
      <c r="F2184" s="102"/>
      <c r="G2184" s="102"/>
      <c r="H2184" s="102"/>
      <c r="I2184" s="102"/>
      <c r="J2184" s="102"/>
      <c r="K2184" s="102"/>
      <c r="L2184" s="102"/>
      <c r="M2184" s="102"/>
      <c r="N2184" s="102"/>
      <c r="O2184" s="102"/>
      <c r="P2184" s="102"/>
      <c r="Q2184" s="102"/>
      <c r="R2184" s="102"/>
    </row>
    <row r="2185" spans="1:18" ht="35.1" customHeight="1" x14ac:dyDescent="0.2">
      <c r="A2185" s="99"/>
      <c r="B2185" s="99"/>
      <c r="C2185" s="102"/>
      <c r="D2185" s="102"/>
      <c r="E2185" s="102"/>
      <c r="F2185" s="102"/>
      <c r="G2185" s="102"/>
      <c r="H2185" s="102"/>
      <c r="I2185" s="102"/>
      <c r="J2185" s="102"/>
      <c r="K2185" s="102"/>
      <c r="L2185" s="102"/>
      <c r="M2185" s="102"/>
      <c r="N2185" s="102"/>
      <c r="O2185" s="102"/>
      <c r="P2185" s="102"/>
      <c r="Q2185" s="102"/>
      <c r="R2185" s="102"/>
    </row>
    <row r="2186" spans="1:18" ht="35.1" customHeight="1" x14ac:dyDescent="0.2">
      <c r="A2186" s="99"/>
      <c r="B2186" s="99"/>
      <c r="C2186" s="102"/>
      <c r="D2186" s="102"/>
      <c r="E2186" s="102"/>
      <c r="F2186" s="102"/>
      <c r="G2186" s="102"/>
      <c r="H2186" s="102"/>
      <c r="I2186" s="102"/>
      <c r="J2186" s="102"/>
      <c r="K2186" s="102"/>
      <c r="L2186" s="102"/>
      <c r="M2186" s="102"/>
      <c r="N2186" s="102"/>
      <c r="O2186" s="102"/>
      <c r="P2186" s="102"/>
      <c r="Q2186" s="102"/>
      <c r="R2186" s="102"/>
    </row>
    <row r="2187" spans="1:18" ht="35.1" customHeight="1" x14ac:dyDescent="0.2">
      <c r="A2187" s="99"/>
      <c r="B2187" s="99"/>
      <c r="C2187" s="102"/>
      <c r="D2187" s="102"/>
      <c r="E2187" s="102"/>
      <c r="F2187" s="102"/>
      <c r="G2187" s="102"/>
      <c r="H2187" s="102"/>
      <c r="I2187" s="102"/>
      <c r="J2187" s="102"/>
      <c r="K2187" s="102"/>
      <c r="L2187" s="102"/>
      <c r="M2187" s="102"/>
      <c r="N2187" s="102"/>
      <c r="O2187" s="102"/>
      <c r="P2187" s="102"/>
      <c r="Q2187" s="102"/>
      <c r="R2187" s="102"/>
    </row>
    <row r="2188" spans="1:18" ht="35.1" customHeight="1" x14ac:dyDescent="0.2">
      <c r="A2188" s="99"/>
      <c r="B2188" s="99"/>
      <c r="C2188" s="102"/>
      <c r="D2188" s="102"/>
      <c r="E2188" s="102"/>
      <c r="F2188" s="102"/>
      <c r="G2188" s="102"/>
      <c r="H2188" s="102"/>
      <c r="I2188" s="102"/>
      <c r="J2188" s="102"/>
      <c r="K2188" s="102"/>
      <c r="L2188" s="102"/>
      <c r="M2188" s="102"/>
      <c r="N2188" s="102"/>
      <c r="O2188" s="102"/>
      <c r="P2188" s="102"/>
      <c r="Q2188" s="102"/>
      <c r="R2188" s="102"/>
    </row>
    <row r="2189" spans="1:18" ht="35.1" customHeight="1" x14ac:dyDescent="0.2">
      <c r="A2189" s="99"/>
      <c r="B2189" s="99"/>
      <c r="C2189" s="102"/>
      <c r="D2189" s="102"/>
      <c r="E2189" s="102"/>
      <c r="F2189" s="102"/>
      <c r="G2189" s="102"/>
      <c r="H2189" s="102"/>
      <c r="I2189" s="102"/>
      <c r="J2189" s="102"/>
      <c r="K2189" s="102"/>
      <c r="L2189" s="102"/>
      <c r="M2189" s="102"/>
      <c r="N2189" s="102"/>
      <c r="O2189" s="102"/>
      <c r="P2189" s="102"/>
      <c r="Q2189" s="102"/>
      <c r="R2189" s="102"/>
    </row>
    <row r="2190" spans="1:18" ht="35.1" customHeight="1" x14ac:dyDescent="0.2">
      <c r="A2190" s="99"/>
      <c r="B2190" s="99"/>
      <c r="C2190" s="102"/>
      <c r="D2190" s="102"/>
      <c r="E2190" s="102"/>
      <c r="F2190" s="102"/>
      <c r="G2190" s="102"/>
      <c r="H2190" s="102"/>
      <c r="I2190" s="102"/>
      <c r="J2190" s="102"/>
      <c r="K2190" s="102"/>
      <c r="L2190" s="102"/>
      <c r="M2190" s="102"/>
      <c r="N2190" s="102"/>
      <c r="O2190" s="102"/>
      <c r="P2190" s="102"/>
      <c r="Q2190" s="102"/>
      <c r="R2190" s="102"/>
    </row>
    <row r="2191" spans="1:18" ht="35.1" customHeight="1" x14ac:dyDescent="0.2">
      <c r="A2191" s="99"/>
      <c r="B2191" s="99"/>
      <c r="C2191" s="102"/>
      <c r="D2191" s="102"/>
      <c r="E2191" s="102"/>
      <c r="F2191" s="102"/>
      <c r="G2191" s="102"/>
      <c r="H2191" s="102"/>
      <c r="I2191" s="102"/>
      <c r="J2191" s="102"/>
      <c r="K2191" s="102"/>
      <c r="L2191" s="102"/>
      <c r="M2191" s="102"/>
      <c r="N2191" s="102"/>
      <c r="O2191" s="102"/>
      <c r="P2191" s="102"/>
      <c r="Q2191" s="102"/>
      <c r="R2191" s="102"/>
    </row>
    <row r="2192" spans="1:18" ht="35.1" customHeight="1" x14ac:dyDescent="0.2">
      <c r="A2192" s="99"/>
      <c r="B2192" s="99"/>
      <c r="C2192" s="102"/>
      <c r="D2192" s="102"/>
      <c r="E2192" s="102"/>
      <c r="F2192" s="102"/>
      <c r="G2192" s="102"/>
      <c r="H2192" s="102"/>
      <c r="I2192" s="102"/>
      <c r="J2192" s="102"/>
      <c r="K2192" s="102"/>
      <c r="L2192" s="102"/>
      <c r="M2192" s="102"/>
      <c r="N2192" s="102"/>
      <c r="O2192" s="102"/>
      <c r="P2192" s="102"/>
      <c r="Q2192" s="102"/>
      <c r="R2192" s="102"/>
    </row>
    <row r="2193" spans="1:18" ht="35.1" customHeight="1" x14ac:dyDescent="0.2">
      <c r="A2193" s="99"/>
      <c r="B2193" s="99"/>
      <c r="C2193" s="102"/>
      <c r="D2193" s="102"/>
      <c r="E2193" s="102"/>
      <c r="F2193" s="102"/>
      <c r="G2193" s="102"/>
      <c r="H2193" s="102"/>
      <c r="I2193" s="102"/>
      <c r="J2193" s="102"/>
      <c r="K2193" s="102"/>
      <c r="L2193" s="102"/>
      <c r="M2193" s="102"/>
      <c r="N2193" s="102"/>
      <c r="O2193" s="102"/>
      <c r="P2193" s="102"/>
      <c r="Q2193" s="102"/>
      <c r="R2193" s="102"/>
    </row>
    <row r="2194" spans="1:18" ht="35.1" customHeight="1" x14ac:dyDescent="0.2">
      <c r="A2194" s="99"/>
      <c r="B2194" s="99"/>
      <c r="C2194" s="102"/>
      <c r="D2194" s="102"/>
      <c r="E2194" s="102"/>
      <c r="F2194" s="102"/>
      <c r="G2194" s="102"/>
      <c r="H2194" s="102"/>
      <c r="I2194" s="102"/>
      <c r="J2194" s="102"/>
      <c r="K2194" s="102"/>
      <c r="L2194" s="102"/>
      <c r="M2194" s="102"/>
      <c r="N2194" s="102"/>
      <c r="O2194" s="102"/>
      <c r="P2194" s="102"/>
      <c r="Q2194" s="102"/>
      <c r="R2194" s="102"/>
    </row>
    <row r="2195" spans="1:18" ht="35.1" customHeight="1" x14ac:dyDescent="0.2">
      <c r="A2195" s="99"/>
      <c r="B2195" s="99"/>
      <c r="C2195" s="102"/>
      <c r="D2195" s="102"/>
      <c r="E2195" s="102"/>
      <c r="F2195" s="102"/>
      <c r="G2195" s="102"/>
      <c r="H2195" s="102"/>
      <c r="I2195" s="102"/>
      <c r="J2195" s="102"/>
      <c r="K2195" s="102"/>
      <c r="L2195" s="102"/>
      <c r="M2195" s="102"/>
      <c r="N2195" s="102"/>
      <c r="O2195" s="102"/>
      <c r="P2195" s="102"/>
      <c r="Q2195" s="102"/>
      <c r="R2195" s="102"/>
    </row>
    <row r="2196" spans="1:18" ht="35.1" customHeight="1" x14ac:dyDescent="0.2">
      <c r="A2196" s="99"/>
      <c r="B2196" s="99"/>
      <c r="C2196" s="102"/>
      <c r="D2196" s="102"/>
      <c r="E2196" s="102"/>
      <c r="F2196" s="102"/>
      <c r="G2196" s="102"/>
      <c r="H2196" s="102"/>
      <c r="I2196" s="102"/>
      <c r="J2196" s="102"/>
      <c r="K2196" s="102"/>
      <c r="L2196" s="102"/>
      <c r="M2196" s="102"/>
      <c r="N2196" s="102"/>
      <c r="O2196" s="102"/>
      <c r="P2196" s="102"/>
      <c r="Q2196" s="102"/>
      <c r="R2196" s="102"/>
    </row>
    <row r="2197" spans="1:18" ht="35.1" customHeight="1" x14ac:dyDescent="0.2">
      <c r="A2197" s="99"/>
      <c r="B2197" s="99"/>
      <c r="C2197" s="102"/>
      <c r="D2197" s="102"/>
      <c r="E2197" s="102"/>
      <c r="F2197" s="102"/>
      <c r="G2197" s="102"/>
      <c r="H2197" s="102"/>
      <c r="I2197" s="102"/>
      <c r="J2197" s="102"/>
      <c r="K2197" s="102"/>
      <c r="L2197" s="102"/>
      <c r="M2197" s="102"/>
      <c r="N2197" s="102"/>
      <c r="O2197" s="102"/>
      <c r="P2197" s="102"/>
      <c r="Q2197" s="102"/>
      <c r="R2197" s="102"/>
    </row>
    <row r="2198" spans="1:18" ht="35.1" customHeight="1" x14ac:dyDescent="0.2">
      <c r="A2198" s="99"/>
      <c r="B2198" s="99"/>
      <c r="C2198" s="102"/>
      <c r="D2198" s="102"/>
      <c r="E2198" s="102"/>
      <c r="F2198" s="102"/>
      <c r="G2198" s="102"/>
      <c r="H2198" s="102"/>
      <c r="I2198" s="102"/>
      <c r="J2198" s="102"/>
      <c r="K2198" s="102"/>
      <c r="L2198" s="102"/>
      <c r="M2198" s="102"/>
      <c r="N2198" s="102"/>
      <c r="O2198" s="102"/>
      <c r="P2198" s="102"/>
      <c r="Q2198" s="102"/>
      <c r="R2198" s="102"/>
    </row>
    <row r="2199" spans="1:18" ht="35.1" customHeight="1" x14ac:dyDescent="0.2">
      <c r="A2199" s="99"/>
      <c r="B2199" s="99"/>
      <c r="C2199" s="102"/>
      <c r="D2199" s="102"/>
      <c r="E2199" s="102"/>
      <c r="F2199" s="102"/>
      <c r="G2199" s="102"/>
      <c r="H2199" s="102"/>
      <c r="I2199" s="102"/>
      <c r="J2199" s="102"/>
      <c r="K2199" s="102"/>
      <c r="L2199" s="102"/>
      <c r="M2199" s="102"/>
      <c r="N2199" s="102"/>
      <c r="O2199" s="102"/>
      <c r="P2199" s="102"/>
      <c r="Q2199" s="102"/>
      <c r="R2199" s="102"/>
    </row>
    <row r="2200" spans="1:18" ht="35.1" customHeight="1" x14ac:dyDescent="0.2">
      <c r="A2200" s="99"/>
      <c r="B2200" s="99"/>
      <c r="C2200" s="102"/>
      <c r="D2200" s="102"/>
      <c r="E2200" s="102"/>
      <c r="F2200" s="102"/>
      <c r="G2200" s="102"/>
      <c r="H2200" s="102"/>
      <c r="I2200" s="102"/>
      <c r="J2200" s="102"/>
      <c r="K2200" s="102"/>
      <c r="L2200" s="102"/>
      <c r="M2200" s="102"/>
      <c r="N2200" s="102"/>
      <c r="O2200" s="102"/>
      <c r="P2200" s="102"/>
      <c r="Q2200" s="102"/>
      <c r="R2200" s="102"/>
    </row>
    <row r="2201" spans="1:18" ht="35.1" customHeight="1" x14ac:dyDescent="0.2">
      <c r="A2201" s="99"/>
      <c r="B2201" s="99"/>
      <c r="C2201" s="102"/>
      <c r="D2201" s="102"/>
      <c r="E2201" s="102"/>
      <c r="F2201" s="102"/>
      <c r="G2201" s="102"/>
      <c r="H2201" s="102"/>
      <c r="I2201" s="102"/>
      <c r="J2201" s="102"/>
      <c r="K2201" s="102"/>
      <c r="L2201" s="102"/>
      <c r="M2201" s="102"/>
      <c r="N2201" s="102"/>
      <c r="O2201" s="102"/>
      <c r="P2201" s="102"/>
      <c r="Q2201" s="102"/>
      <c r="R2201" s="102"/>
    </row>
    <row r="2202" spans="1:18" ht="35.1" customHeight="1" x14ac:dyDescent="0.2">
      <c r="A2202" s="99"/>
      <c r="B2202" s="99"/>
      <c r="C2202" s="102"/>
      <c r="D2202" s="102"/>
      <c r="E2202" s="102"/>
      <c r="F2202" s="102"/>
      <c r="G2202" s="102"/>
      <c r="H2202" s="102"/>
      <c r="I2202" s="102"/>
      <c r="J2202" s="102"/>
      <c r="K2202" s="102"/>
      <c r="L2202" s="102"/>
      <c r="M2202" s="102"/>
      <c r="N2202" s="102"/>
      <c r="O2202" s="102"/>
      <c r="P2202" s="102"/>
      <c r="Q2202" s="102"/>
      <c r="R2202" s="102"/>
    </row>
    <row r="2203" spans="1:18" ht="35.1" customHeight="1" x14ac:dyDescent="0.2">
      <c r="A2203" s="99"/>
      <c r="B2203" s="99"/>
      <c r="C2203" s="102"/>
      <c r="D2203" s="102"/>
      <c r="E2203" s="102"/>
      <c r="F2203" s="102"/>
      <c r="G2203" s="102"/>
      <c r="H2203" s="102"/>
      <c r="I2203" s="102"/>
      <c r="J2203" s="102"/>
      <c r="K2203" s="102"/>
      <c r="L2203" s="102"/>
      <c r="M2203" s="102"/>
      <c r="N2203" s="102"/>
      <c r="O2203" s="102"/>
      <c r="P2203" s="102"/>
      <c r="Q2203" s="102"/>
      <c r="R2203" s="102"/>
    </row>
    <row r="2204" spans="1:18" ht="35.1" customHeight="1" x14ac:dyDescent="0.2">
      <c r="A2204" s="99"/>
      <c r="B2204" s="99"/>
      <c r="C2204" s="102"/>
      <c r="D2204" s="102"/>
      <c r="E2204" s="102"/>
      <c r="F2204" s="102"/>
      <c r="G2204" s="102"/>
      <c r="H2204" s="102"/>
      <c r="I2204" s="102"/>
      <c r="J2204" s="102"/>
      <c r="K2204" s="102"/>
      <c r="L2204" s="102"/>
      <c r="M2204" s="102"/>
      <c r="N2204" s="102"/>
      <c r="O2204" s="102"/>
      <c r="P2204" s="102"/>
      <c r="Q2204" s="102"/>
      <c r="R2204" s="102"/>
    </row>
    <row r="2205" spans="1:18" ht="35.1" customHeight="1" x14ac:dyDescent="0.2">
      <c r="A2205" s="99"/>
      <c r="B2205" s="99"/>
      <c r="C2205" s="102"/>
      <c r="D2205" s="102"/>
      <c r="E2205" s="102"/>
      <c r="F2205" s="102"/>
      <c r="G2205" s="102"/>
      <c r="H2205" s="102"/>
      <c r="I2205" s="102"/>
      <c r="J2205" s="102"/>
      <c r="K2205" s="102"/>
      <c r="L2205" s="102"/>
      <c r="M2205" s="102"/>
      <c r="N2205" s="102"/>
      <c r="O2205" s="102"/>
      <c r="P2205" s="102"/>
      <c r="Q2205" s="102"/>
      <c r="R2205" s="102"/>
    </row>
    <row r="2206" spans="1:18" ht="35.1" customHeight="1" x14ac:dyDescent="0.2">
      <c r="A2206" s="99"/>
      <c r="B2206" s="99"/>
      <c r="C2206" s="102"/>
      <c r="D2206" s="102"/>
      <c r="E2206" s="102"/>
      <c r="F2206" s="102"/>
      <c r="G2206" s="102"/>
      <c r="H2206" s="102"/>
      <c r="I2206" s="102"/>
      <c r="J2206" s="102"/>
      <c r="K2206" s="102"/>
      <c r="L2206" s="102"/>
      <c r="M2206" s="102"/>
      <c r="N2206" s="102"/>
      <c r="O2206" s="102"/>
      <c r="P2206" s="102"/>
      <c r="Q2206" s="102"/>
      <c r="R2206" s="102"/>
    </row>
    <row r="2207" spans="1:18" ht="35.1" customHeight="1" x14ac:dyDescent="0.2">
      <c r="A2207" s="99"/>
      <c r="B2207" s="99"/>
      <c r="C2207" s="102"/>
      <c r="D2207" s="102"/>
      <c r="E2207" s="102"/>
      <c r="F2207" s="102"/>
      <c r="G2207" s="102"/>
      <c r="H2207" s="102"/>
      <c r="I2207" s="102"/>
      <c r="J2207" s="102"/>
      <c r="K2207" s="102"/>
      <c r="L2207" s="102"/>
      <c r="M2207" s="102"/>
      <c r="N2207" s="102"/>
      <c r="O2207" s="102"/>
      <c r="P2207" s="102"/>
      <c r="Q2207" s="102"/>
      <c r="R2207" s="102"/>
    </row>
    <row r="2208" spans="1:18" ht="35.1" customHeight="1" x14ac:dyDescent="0.2">
      <c r="A2208" s="99"/>
      <c r="B2208" s="99"/>
      <c r="C2208" s="102"/>
      <c r="D2208" s="102"/>
      <c r="E2208" s="102"/>
      <c r="F2208" s="102"/>
      <c r="G2208" s="102"/>
      <c r="H2208" s="102"/>
      <c r="I2208" s="102"/>
      <c r="J2208" s="102"/>
      <c r="K2208" s="102"/>
      <c r="L2208" s="102"/>
      <c r="M2208" s="102"/>
      <c r="N2208" s="102"/>
      <c r="O2208" s="102"/>
      <c r="P2208" s="102"/>
      <c r="Q2208" s="102"/>
      <c r="R2208" s="102"/>
    </row>
    <row r="2209" spans="1:18" ht="35.1" customHeight="1" x14ac:dyDescent="0.2">
      <c r="A2209" s="99"/>
      <c r="B2209" s="99"/>
      <c r="C2209" s="102"/>
      <c r="D2209" s="102"/>
      <c r="E2209" s="102"/>
      <c r="F2209" s="102"/>
      <c r="G2209" s="102"/>
      <c r="H2209" s="102"/>
      <c r="I2209" s="102"/>
      <c r="J2209" s="102"/>
      <c r="K2209" s="102"/>
      <c r="L2209" s="102"/>
      <c r="M2209" s="102"/>
      <c r="N2209" s="102"/>
      <c r="O2209" s="102"/>
      <c r="P2209" s="102"/>
      <c r="Q2209" s="102"/>
      <c r="R2209" s="102"/>
    </row>
    <row r="2210" spans="1:18" ht="35.1" customHeight="1" x14ac:dyDescent="0.2">
      <c r="A2210" s="99"/>
      <c r="B2210" s="99"/>
      <c r="C2210" s="102"/>
      <c r="D2210" s="102"/>
      <c r="E2210" s="102"/>
      <c r="F2210" s="102"/>
      <c r="G2210" s="102"/>
      <c r="H2210" s="102"/>
      <c r="I2210" s="102"/>
      <c r="J2210" s="102"/>
      <c r="K2210" s="102"/>
      <c r="L2210" s="102"/>
      <c r="M2210" s="102"/>
      <c r="N2210" s="102"/>
      <c r="O2210" s="102"/>
      <c r="P2210" s="102"/>
      <c r="Q2210" s="102"/>
      <c r="R2210" s="102"/>
    </row>
    <row r="2211" spans="1:18" ht="35.1" customHeight="1" x14ac:dyDescent="0.2">
      <c r="A2211" s="99"/>
      <c r="B2211" s="99"/>
      <c r="C2211" s="102"/>
      <c r="D2211" s="102"/>
      <c r="E2211" s="102"/>
      <c r="F2211" s="102"/>
      <c r="G2211" s="102"/>
      <c r="H2211" s="102"/>
      <c r="I2211" s="102"/>
      <c r="J2211" s="102"/>
      <c r="K2211" s="102"/>
      <c r="L2211" s="102"/>
      <c r="M2211" s="102"/>
      <c r="N2211" s="102"/>
      <c r="O2211" s="102"/>
      <c r="P2211" s="102"/>
      <c r="Q2211" s="102"/>
      <c r="R2211" s="102"/>
    </row>
    <row r="2212" spans="1:18" ht="35.1" customHeight="1" x14ac:dyDescent="0.2">
      <c r="A2212" s="99"/>
      <c r="B2212" s="99"/>
      <c r="C2212" s="102"/>
      <c r="D2212" s="102"/>
      <c r="E2212" s="102"/>
      <c r="F2212" s="102"/>
      <c r="G2212" s="102"/>
      <c r="H2212" s="102"/>
      <c r="I2212" s="102"/>
      <c r="J2212" s="102"/>
      <c r="K2212" s="102"/>
      <c r="L2212" s="102"/>
      <c r="M2212" s="102"/>
      <c r="N2212" s="102"/>
      <c r="O2212" s="102"/>
      <c r="P2212" s="102"/>
      <c r="Q2212" s="102"/>
      <c r="R2212" s="102"/>
    </row>
    <row r="2213" spans="1:18" ht="35.1" customHeight="1" x14ac:dyDescent="0.2">
      <c r="A2213" s="99"/>
      <c r="B2213" s="99"/>
      <c r="C2213" s="102"/>
      <c r="D2213" s="102"/>
      <c r="E2213" s="102"/>
      <c r="F2213" s="102"/>
      <c r="G2213" s="102"/>
      <c r="H2213" s="102"/>
      <c r="I2213" s="102"/>
      <c r="J2213" s="102"/>
      <c r="K2213" s="102"/>
      <c r="L2213" s="102"/>
      <c r="M2213" s="102"/>
      <c r="N2213" s="102"/>
      <c r="O2213" s="102"/>
      <c r="P2213" s="102"/>
      <c r="Q2213" s="102"/>
      <c r="R2213" s="102"/>
    </row>
    <row r="2214" spans="1:18" ht="35.1" customHeight="1" x14ac:dyDescent="0.2">
      <c r="A2214" s="99"/>
      <c r="B2214" s="99"/>
      <c r="C2214" s="102"/>
      <c r="D2214" s="102"/>
      <c r="E2214" s="102"/>
      <c r="F2214" s="102"/>
      <c r="G2214" s="102"/>
      <c r="H2214" s="102"/>
      <c r="I2214" s="102"/>
      <c r="J2214" s="102"/>
      <c r="K2214" s="102"/>
      <c r="L2214" s="102"/>
      <c r="M2214" s="102"/>
      <c r="N2214" s="102"/>
      <c r="O2214" s="102"/>
      <c r="P2214" s="102"/>
      <c r="Q2214" s="102"/>
      <c r="R2214" s="102"/>
    </row>
    <row r="2215" spans="1:18" ht="35.1" customHeight="1" x14ac:dyDescent="0.2">
      <c r="A2215" s="99"/>
      <c r="B2215" s="99"/>
      <c r="C2215" s="102"/>
      <c r="D2215" s="102"/>
      <c r="E2215" s="102"/>
      <c r="F2215" s="102"/>
      <c r="G2215" s="102"/>
      <c r="H2215" s="102"/>
      <c r="I2215" s="102"/>
      <c r="J2215" s="102"/>
      <c r="K2215" s="102"/>
      <c r="L2215" s="102"/>
      <c r="M2215" s="102"/>
      <c r="N2215" s="102"/>
      <c r="O2215" s="102"/>
      <c r="P2215" s="102"/>
      <c r="Q2215" s="102"/>
      <c r="R2215" s="102"/>
    </row>
    <row r="2216" spans="1:18" ht="35.1" customHeight="1" x14ac:dyDescent="0.2">
      <c r="A2216" s="99"/>
      <c r="B2216" s="99"/>
      <c r="C2216" s="102"/>
      <c r="D2216" s="102"/>
      <c r="E2216" s="102"/>
      <c r="F2216" s="102"/>
      <c r="G2216" s="102"/>
      <c r="H2216" s="102"/>
      <c r="I2216" s="102"/>
      <c r="J2216" s="102"/>
      <c r="K2216" s="102"/>
      <c r="L2216" s="102"/>
      <c r="M2216" s="102"/>
      <c r="N2216" s="102"/>
      <c r="O2216" s="102"/>
      <c r="P2216" s="102"/>
      <c r="Q2216" s="102"/>
      <c r="R2216" s="102"/>
    </row>
    <row r="2217" spans="1:18" ht="35.1" customHeight="1" x14ac:dyDescent="0.2">
      <c r="A2217" s="99"/>
      <c r="B2217" s="99"/>
      <c r="C2217" s="102"/>
      <c r="D2217" s="102"/>
      <c r="E2217" s="102"/>
      <c r="F2217" s="102"/>
      <c r="G2217" s="102"/>
      <c r="H2217" s="102"/>
      <c r="I2217" s="102"/>
      <c r="J2217" s="102"/>
      <c r="K2217" s="102"/>
      <c r="L2217" s="102"/>
      <c r="M2217" s="102"/>
      <c r="N2217" s="102"/>
      <c r="O2217" s="102"/>
      <c r="P2217" s="102"/>
      <c r="Q2217" s="102"/>
      <c r="R2217" s="102"/>
    </row>
    <row r="2218" spans="1:18" ht="35.1" customHeight="1" x14ac:dyDescent="0.2">
      <c r="A2218" s="99"/>
      <c r="B2218" s="99"/>
      <c r="C2218" s="102"/>
      <c r="D2218" s="102"/>
      <c r="E2218" s="102"/>
      <c r="F2218" s="102"/>
      <c r="G2218" s="102"/>
      <c r="H2218" s="102"/>
      <c r="I2218" s="102"/>
      <c r="J2218" s="102"/>
      <c r="K2218" s="102"/>
      <c r="L2218" s="102"/>
      <c r="M2218" s="102"/>
      <c r="N2218" s="102"/>
      <c r="O2218" s="102"/>
      <c r="P2218" s="102"/>
      <c r="Q2218" s="102"/>
      <c r="R2218" s="102"/>
    </row>
    <row r="2219" spans="1:18" ht="35.1" customHeight="1" x14ac:dyDescent="0.2">
      <c r="A2219" s="99"/>
      <c r="B2219" s="99"/>
      <c r="C2219" s="102"/>
      <c r="D2219" s="102"/>
      <c r="E2219" s="102"/>
      <c r="F2219" s="102"/>
      <c r="G2219" s="102"/>
      <c r="H2219" s="102"/>
      <c r="I2219" s="102"/>
      <c r="J2219" s="102"/>
      <c r="K2219" s="102"/>
      <c r="L2219" s="102"/>
      <c r="M2219" s="102"/>
      <c r="N2219" s="102"/>
      <c r="O2219" s="102"/>
      <c r="P2219" s="102"/>
      <c r="Q2219" s="102"/>
      <c r="R2219" s="102"/>
    </row>
    <row r="2220" spans="1:18" ht="35.1" customHeight="1" x14ac:dyDescent="0.2">
      <c r="A2220" s="99"/>
      <c r="B2220" s="99"/>
      <c r="C2220" s="102"/>
      <c r="D2220" s="102"/>
      <c r="E2220" s="102"/>
      <c r="F2220" s="102"/>
      <c r="G2220" s="102"/>
      <c r="H2220" s="102"/>
      <c r="I2220" s="102"/>
      <c r="J2220" s="102"/>
      <c r="K2220" s="102"/>
      <c r="L2220" s="102"/>
      <c r="M2220" s="102"/>
      <c r="N2220" s="102"/>
      <c r="O2220" s="102"/>
      <c r="P2220" s="102"/>
      <c r="Q2220" s="102"/>
      <c r="R2220" s="102"/>
    </row>
    <row r="2221" spans="1:18" ht="35.1" customHeight="1" x14ac:dyDescent="0.2">
      <c r="A2221" s="99"/>
      <c r="B2221" s="99"/>
      <c r="C2221" s="102"/>
      <c r="D2221" s="102"/>
      <c r="E2221" s="102"/>
      <c r="F2221" s="102"/>
      <c r="G2221" s="102"/>
      <c r="H2221" s="102"/>
      <c r="I2221" s="102"/>
      <c r="J2221" s="102"/>
      <c r="K2221" s="102"/>
      <c r="L2221" s="102"/>
      <c r="M2221" s="102"/>
      <c r="N2221" s="102"/>
      <c r="O2221" s="102"/>
      <c r="P2221" s="102"/>
      <c r="Q2221" s="102"/>
      <c r="R2221" s="102"/>
    </row>
    <row r="2222" spans="1:18" ht="35.1" customHeight="1" x14ac:dyDescent="0.2">
      <c r="A2222" s="99"/>
      <c r="B2222" s="99"/>
      <c r="C2222" s="102"/>
      <c r="D2222" s="102"/>
      <c r="E2222" s="102"/>
      <c r="F2222" s="102"/>
      <c r="G2222" s="102"/>
      <c r="H2222" s="102"/>
      <c r="I2222" s="102"/>
      <c r="J2222" s="102"/>
      <c r="K2222" s="102"/>
      <c r="L2222" s="102"/>
      <c r="M2222" s="102"/>
      <c r="N2222" s="102"/>
      <c r="O2222" s="102"/>
      <c r="P2222" s="102"/>
      <c r="Q2222" s="102"/>
      <c r="R2222" s="102"/>
    </row>
    <row r="2223" spans="1:18" ht="35.1" customHeight="1" x14ac:dyDescent="0.2">
      <c r="A2223" s="99"/>
      <c r="B2223" s="99"/>
      <c r="C2223" s="102"/>
      <c r="D2223" s="102"/>
      <c r="E2223" s="102"/>
      <c r="F2223" s="102"/>
      <c r="G2223" s="102"/>
      <c r="H2223" s="102"/>
      <c r="I2223" s="102"/>
      <c r="J2223" s="102"/>
      <c r="K2223" s="102"/>
      <c r="L2223" s="102"/>
      <c r="M2223" s="102"/>
      <c r="N2223" s="102"/>
      <c r="O2223" s="102"/>
      <c r="P2223" s="102"/>
      <c r="Q2223" s="102"/>
      <c r="R2223" s="102"/>
    </row>
    <row r="2224" spans="1:18" ht="35.1" customHeight="1" x14ac:dyDescent="0.2">
      <c r="A2224" s="99"/>
      <c r="B2224" s="99"/>
      <c r="C2224" s="102"/>
      <c r="D2224" s="102"/>
      <c r="E2224" s="102"/>
      <c r="F2224" s="102"/>
      <c r="G2224" s="102"/>
      <c r="H2224" s="102"/>
      <c r="I2224" s="102"/>
      <c r="J2224" s="102"/>
      <c r="K2224" s="102"/>
      <c r="L2224" s="102"/>
      <c r="M2224" s="102"/>
      <c r="N2224" s="102"/>
      <c r="O2224" s="102"/>
      <c r="P2224" s="102"/>
      <c r="Q2224" s="102"/>
      <c r="R2224" s="102"/>
    </row>
    <row r="2225" spans="1:18" ht="35.1" customHeight="1" x14ac:dyDescent="0.2">
      <c r="A2225" s="99"/>
      <c r="B2225" s="99"/>
      <c r="C2225" s="102"/>
      <c r="D2225" s="102"/>
      <c r="E2225" s="102"/>
      <c r="F2225" s="102"/>
      <c r="G2225" s="102"/>
      <c r="H2225" s="102"/>
      <c r="I2225" s="102"/>
      <c r="J2225" s="102"/>
      <c r="K2225" s="102"/>
      <c r="L2225" s="102"/>
      <c r="M2225" s="102"/>
      <c r="N2225" s="102"/>
      <c r="O2225" s="102"/>
      <c r="P2225" s="102"/>
      <c r="Q2225" s="102"/>
      <c r="R2225" s="102"/>
    </row>
    <row r="2226" spans="1:18" ht="35.1" customHeight="1" x14ac:dyDescent="0.2">
      <c r="A2226" s="99"/>
      <c r="B2226" s="99"/>
      <c r="C2226" s="102"/>
      <c r="D2226" s="102"/>
      <c r="E2226" s="102"/>
      <c r="F2226" s="102"/>
      <c r="G2226" s="102"/>
      <c r="H2226" s="102"/>
      <c r="I2226" s="102"/>
      <c r="J2226" s="102"/>
      <c r="K2226" s="102"/>
      <c r="L2226" s="102"/>
      <c r="M2226" s="102"/>
      <c r="N2226" s="102"/>
      <c r="O2226" s="102"/>
      <c r="P2226" s="102"/>
      <c r="Q2226" s="102"/>
      <c r="R2226" s="102"/>
    </row>
    <row r="2227" spans="1:18" ht="35.1" customHeight="1" x14ac:dyDescent="0.2">
      <c r="A2227" s="99"/>
      <c r="B2227" s="99"/>
      <c r="C2227" s="102"/>
      <c r="D2227" s="102"/>
      <c r="E2227" s="102"/>
      <c r="F2227" s="102"/>
      <c r="G2227" s="102"/>
      <c r="H2227" s="102"/>
      <c r="I2227" s="102"/>
      <c r="J2227" s="102"/>
      <c r="K2227" s="102"/>
      <c r="L2227" s="102"/>
      <c r="M2227" s="102"/>
      <c r="N2227" s="102"/>
      <c r="O2227" s="102"/>
      <c r="P2227" s="102"/>
      <c r="Q2227" s="102"/>
      <c r="R2227" s="102"/>
    </row>
    <row r="2228" spans="1:18" ht="35.1" customHeight="1" x14ac:dyDescent="0.2">
      <c r="A2228" s="99"/>
      <c r="B2228" s="99"/>
      <c r="C2228" s="102"/>
      <c r="D2228" s="102"/>
      <c r="E2228" s="102"/>
      <c r="F2228" s="102"/>
      <c r="G2228" s="102"/>
      <c r="H2228" s="102"/>
      <c r="I2228" s="102"/>
      <c r="J2228" s="102"/>
      <c r="K2228" s="102"/>
      <c r="L2228" s="102"/>
      <c r="M2228" s="102"/>
      <c r="N2228" s="102"/>
      <c r="O2228" s="102"/>
      <c r="P2228" s="102"/>
      <c r="Q2228" s="102"/>
      <c r="R2228" s="102"/>
    </row>
    <row r="2229" spans="1:18" ht="35.1" customHeight="1" x14ac:dyDescent="0.2">
      <c r="A2229" s="99"/>
      <c r="B2229" s="99"/>
      <c r="C2229" s="102"/>
      <c r="D2229" s="102"/>
      <c r="E2229" s="102"/>
      <c r="F2229" s="102"/>
      <c r="G2229" s="102"/>
      <c r="H2229" s="102"/>
      <c r="I2229" s="102"/>
      <c r="J2229" s="102"/>
      <c r="K2229" s="102"/>
      <c r="L2229" s="102"/>
      <c r="M2229" s="102"/>
      <c r="N2229" s="102"/>
      <c r="O2229" s="102"/>
      <c r="P2229" s="102"/>
      <c r="Q2229" s="102"/>
      <c r="R2229" s="102"/>
    </row>
    <row r="2230" spans="1:18" ht="35.1" customHeight="1" x14ac:dyDescent="0.2">
      <c r="A2230" s="99"/>
      <c r="B2230" s="99"/>
      <c r="C2230" s="102"/>
      <c r="D2230" s="102"/>
      <c r="E2230" s="102"/>
      <c r="F2230" s="102"/>
      <c r="G2230" s="102"/>
      <c r="H2230" s="102"/>
      <c r="I2230" s="102"/>
      <c r="J2230" s="102"/>
      <c r="K2230" s="102"/>
      <c r="L2230" s="102"/>
      <c r="M2230" s="102"/>
      <c r="N2230" s="102"/>
      <c r="O2230" s="102"/>
      <c r="P2230" s="102"/>
      <c r="Q2230" s="102"/>
      <c r="R2230" s="102"/>
    </row>
    <row r="2231" spans="1:18" ht="35.1" customHeight="1" x14ac:dyDescent="0.2">
      <c r="A2231" s="99"/>
      <c r="B2231" s="99"/>
      <c r="C2231" s="102"/>
      <c r="D2231" s="102"/>
      <c r="E2231" s="102"/>
      <c r="F2231" s="102"/>
      <c r="G2231" s="102"/>
      <c r="H2231" s="102"/>
      <c r="I2231" s="102"/>
      <c r="J2231" s="102"/>
      <c r="K2231" s="102"/>
      <c r="L2231" s="102"/>
      <c r="M2231" s="102"/>
      <c r="N2231" s="102"/>
      <c r="O2231" s="102"/>
      <c r="P2231" s="102"/>
      <c r="Q2231" s="102"/>
      <c r="R2231" s="102"/>
    </row>
    <row r="2232" spans="1:18" ht="35.1" customHeight="1" x14ac:dyDescent="0.2">
      <c r="A2232" s="99"/>
      <c r="B2232" s="99"/>
      <c r="C2232" s="102"/>
      <c r="D2232" s="102"/>
      <c r="E2232" s="102"/>
      <c r="F2232" s="102"/>
      <c r="G2232" s="102"/>
      <c r="H2232" s="102"/>
      <c r="I2232" s="102"/>
      <c r="J2232" s="102"/>
      <c r="K2232" s="102"/>
      <c r="L2232" s="102"/>
      <c r="M2232" s="102"/>
      <c r="N2232" s="102"/>
      <c r="O2232" s="102"/>
      <c r="P2232" s="102"/>
      <c r="Q2232" s="102"/>
      <c r="R2232" s="102"/>
    </row>
    <row r="2233" spans="1:18" ht="35.1" customHeight="1" x14ac:dyDescent="0.2">
      <c r="A2233" s="99"/>
      <c r="B2233" s="99"/>
      <c r="C2233" s="102"/>
      <c r="D2233" s="102"/>
      <c r="E2233" s="102"/>
      <c r="F2233" s="102"/>
      <c r="G2233" s="102"/>
      <c r="H2233" s="102"/>
      <c r="I2233" s="102"/>
      <c r="J2233" s="102"/>
      <c r="K2233" s="102"/>
      <c r="L2233" s="102"/>
      <c r="M2233" s="102"/>
      <c r="N2233" s="102"/>
      <c r="O2233" s="102"/>
      <c r="P2233" s="102"/>
      <c r="Q2233" s="102"/>
      <c r="R2233" s="102"/>
    </row>
    <row r="2234" spans="1:18" ht="35.1" customHeight="1" x14ac:dyDescent="0.2">
      <c r="A2234" s="99"/>
      <c r="B2234" s="99"/>
      <c r="C2234" s="102"/>
      <c r="D2234" s="102"/>
      <c r="E2234" s="102"/>
      <c r="F2234" s="102"/>
      <c r="G2234" s="102"/>
      <c r="H2234" s="102"/>
      <c r="I2234" s="102"/>
      <c r="J2234" s="102"/>
      <c r="K2234" s="102"/>
      <c r="L2234" s="102"/>
      <c r="M2234" s="102"/>
      <c r="N2234" s="102"/>
      <c r="O2234" s="102"/>
      <c r="P2234" s="102"/>
      <c r="Q2234" s="102"/>
      <c r="R2234" s="102"/>
    </row>
    <row r="2235" spans="1:18" ht="35.1" customHeight="1" x14ac:dyDescent="0.2">
      <c r="A2235" s="99"/>
      <c r="B2235" s="99"/>
      <c r="C2235" s="102"/>
      <c r="D2235" s="102"/>
      <c r="E2235" s="102"/>
      <c r="F2235" s="102"/>
      <c r="G2235" s="102"/>
      <c r="H2235" s="102"/>
      <c r="I2235" s="102"/>
      <c r="J2235" s="102"/>
      <c r="K2235" s="102"/>
      <c r="L2235" s="102"/>
      <c r="M2235" s="102"/>
      <c r="N2235" s="102"/>
      <c r="O2235" s="102"/>
      <c r="P2235" s="102"/>
      <c r="Q2235" s="102"/>
      <c r="R2235" s="102"/>
    </row>
    <row r="2236" spans="1:18" ht="35.1" customHeight="1" x14ac:dyDescent="0.2">
      <c r="A2236" s="99"/>
      <c r="B2236" s="99"/>
      <c r="C2236" s="102"/>
      <c r="D2236" s="102"/>
      <c r="E2236" s="102"/>
      <c r="F2236" s="102"/>
      <c r="G2236" s="102"/>
      <c r="H2236" s="102"/>
      <c r="I2236" s="102"/>
      <c r="J2236" s="102"/>
      <c r="K2236" s="102"/>
      <c r="L2236" s="102"/>
      <c r="M2236" s="102"/>
      <c r="N2236" s="102"/>
      <c r="O2236" s="102"/>
      <c r="P2236" s="102"/>
      <c r="Q2236" s="102"/>
      <c r="R2236" s="102"/>
    </row>
    <row r="2237" spans="1:18" ht="35.1" customHeight="1" x14ac:dyDescent="0.2">
      <c r="A2237" s="99"/>
      <c r="B2237" s="99"/>
      <c r="C2237" s="102"/>
      <c r="D2237" s="102"/>
      <c r="E2237" s="102"/>
      <c r="F2237" s="102"/>
      <c r="G2237" s="102"/>
      <c r="H2237" s="102"/>
      <c r="I2237" s="102"/>
      <c r="J2237" s="102"/>
      <c r="K2237" s="102"/>
      <c r="L2237" s="102"/>
      <c r="M2237" s="102"/>
      <c r="N2237" s="102"/>
      <c r="O2237" s="102"/>
      <c r="P2237" s="102"/>
      <c r="Q2237" s="102"/>
      <c r="R2237" s="102"/>
    </row>
    <row r="2238" spans="1:18" ht="35.1" customHeight="1" x14ac:dyDescent="0.2">
      <c r="A2238" s="99"/>
      <c r="B2238" s="99"/>
      <c r="C2238" s="102"/>
      <c r="D2238" s="102"/>
      <c r="E2238" s="102"/>
      <c r="F2238" s="102"/>
      <c r="G2238" s="102"/>
      <c r="H2238" s="102"/>
      <c r="I2238" s="102"/>
      <c r="J2238" s="102"/>
      <c r="K2238" s="102"/>
      <c r="L2238" s="102"/>
      <c r="M2238" s="102"/>
      <c r="N2238" s="102"/>
      <c r="O2238" s="102"/>
      <c r="P2238" s="102"/>
      <c r="Q2238" s="102"/>
      <c r="R2238" s="102"/>
    </row>
    <row r="2239" spans="1:18" ht="35.1" customHeight="1" x14ac:dyDescent="0.2">
      <c r="A2239" s="99"/>
      <c r="B2239" s="99"/>
      <c r="C2239" s="102"/>
      <c r="D2239" s="102"/>
      <c r="E2239" s="102"/>
      <c r="F2239" s="102"/>
      <c r="G2239" s="102"/>
      <c r="H2239" s="102"/>
      <c r="I2239" s="102"/>
      <c r="J2239" s="102"/>
      <c r="K2239" s="102"/>
      <c r="L2239" s="102"/>
      <c r="M2239" s="102"/>
      <c r="N2239" s="102"/>
      <c r="O2239" s="102"/>
      <c r="P2239" s="102"/>
      <c r="Q2239" s="102"/>
      <c r="R2239" s="102"/>
    </row>
    <row r="2240" spans="1:18" ht="35.1" customHeight="1" x14ac:dyDescent="0.2">
      <c r="A2240" s="99"/>
      <c r="B2240" s="99"/>
      <c r="C2240" s="102"/>
      <c r="D2240" s="102"/>
      <c r="E2240" s="102"/>
      <c r="F2240" s="102"/>
      <c r="G2240" s="102"/>
      <c r="H2240" s="102"/>
      <c r="I2240" s="102"/>
      <c r="J2240" s="102"/>
      <c r="K2240" s="102"/>
      <c r="L2240" s="102"/>
      <c r="M2240" s="102"/>
      <c r="N2240" s="102"/>
      <c r="O2240" s="102"/>
      <c r="P2240" s="102"/>
      <c r="Q2240" s="102"/>
      <c r="R2240" s="102"/>
    </row>
    <row r="2241" spans="1:18" ht="35.1" customHeight="1" x14ac:dyDescent="0.2">
      <c r="A2241" s="99"/>
      <c r="B2241" s="99"/>
      <c r="C2241" s="102"/>
      <c r="D2241" s="102"/>
      <c r="E2241" s="102"/>
      <c r="F2241" s="102"/>
      <c r="G2241" s="102"/>
      <c r="H2241" s="102"/>
      <c r="I2241" s="102"/>
      <c r="J2241" s="102"/>
      <c r="K2241" s="102"/>
      <c r="L2241" s="102"/>
      <c r="M2241" s="102"/>
      <c r="N2241" s="102"/>
      <c r="O2241" s="102"/>
      <c r="P2241" s="102"/>
      <c r="Q2241" s="102"/>
      <c r="R2241" s="102"/>
    </row>
    <row r="2242" spans="1:18" ht="35.1" customHeight="1" x14ac:dyDescent="0.2">
      <c r="A2242" s="99"/>
      <c r="B2242" s="99"/>
      <c r="C2242" s="102"/>
      <c r="D2242" s="102"/>
      <c r="E2242" s="102"/>
      <c r="F2242" s="102"/>
      <c r="G2242" s="102"/>
      <c r="H2242" s="102"/>
      <c r="I2242" s="102"/>
      <c r="J2242" s="102"/>
      <c r="K2242" s="102"/>
      <c r="L2242" s="102"/>
      <c r="M2242" s="102"/>
      <c r="N2242" s="102"/>
      <c r="O2242" s="102"/>
      <c r="P2242" s="102"/>
      <c r="Q2242" s="102"/>
      <c r="R2242" s="102"/>
    </row>
    <row r="2243" spans="1:18" ht="35.1" customHeight="1" x14ac:dyDescent="0.2">
      <c r="A2243" s="99"/>
      <c r="B2243" s="99"/>
      <c r="C2243" s="102"/>
      <c r="D2243" s="102"/>
      <c r="E2243" s="102"/>
      <c r="F2243" s="102"/>
      <c r="G2243" s="102"/>
      <c r="H2243" s="102"/>
      <c r="I2243" s="102"/>
      <c r="J2243" s="102"/>
      <c r="K2243" s="102"/>
      <c r="L2243" s="102"/>
      <c r="M2243" s="102"/>
      <c r="N2243" s="102"/>
      <c r="O2243" s="102"/>
      <c r="P2243" s="102"/>
      <c r="Q2243" s="102"/>
      <c r="R2243" s="102"/>
    </row>
    <row r="2244" spans="1:18" ht="35.1" customHeight="1" x14ac:dyDescent="0.2">
      <c r="A2244" s="99"/>
      <c r="B2244" s="99"/>
      <c r="C2244" s="102"/>
      <c r="D2244" s="102"/>
      <c r="E2244" s="102"/>
      <c r="F2244" s="102"/>
      <c r="G2244" s="102"/>
      <c r="H2244" s="102"/>
      <c r="I2244" s="102"/>
      <c r="J2244" s="102"/>
      <c r="K2244" s="102"/>
      <c r="L2244" s="102"/>
      <c r="M2244" s="102"/>
      <c r="N2244" s="102"/>
      <c r="O2244" s="102"/>
      <c r="P2244" s="102"/>
      <c r="Q2244" s="102"/>
      <c r="R2244" s="102"/>
    </row>
    <row r="2245" spans="1:18" ht="35.1" customHeight="1" x14ac:dyDescent="0.2">
      <c r="A2245" s="99"/>
      <c r="B2245" s="99"/>
      <c r="C2245" s="102"/>
      <c r="D2245" s="102"/>
      <c r="E2245" s="102"/>
      <c r="F2245" s="102"/>
      <c r="G2245" s="102"/>
      <c r="H2245" s="102"/>
      <c r="I2245" s="102"/>
      <c r="J2245" s="102"/>
      <c r="K2245" s="102"/>
      <c r="L2245" s="102"/>
      <c r="M2245" s="102"/>
      <c r="N2245" s="102"/>
      <c r="O2245" s="102"/>
      <c r="P2245" s="102"/>
      <c r="Q2245" s="102"/>
      <c r="R2245" s="102"/>
    </row>
    <row r="2246" spans="1:18" ht="35.1" customHeight="1" x14ac:dyDescent="0.2">
      <c r="A2246" s="99"/>
      <c r="B2246" s="99"/>
      <c r="C2246" s="102"/>
      <c r="D2246" s="102"/>
      <c r="E2246" s="102"/>
      <c r="F2246" s="102"/>
      <c r="G2246" s="102"/>
      <c r="H2246" s="102"/>
      <c r="I2246" s="102"/>
      <c r="J2246" s="102"/>
      <c r="K2246" s="102"/>
      <c r="L2246" s="102"/>
      <c r="M2246" s="102"/>
      <c r="N2246" s="102"/>
      <c r="O2246" s="102"/>
      <c r="P2246" s="102"/>
      <c r="Q2246" s="102"/>
      <c r="R2246" s="102"/>
    </row>
    <row r="2247" spans="1:18" ht="35.1" customHeight="1" x14ac:dyDescent="0.2">
      <c r="A2247" s="99"/>
      <c r="B2247" s="99"/>
      <c r="C2247" s="102"/>
      <c r="D2247" s="102"/>
      <c r="E2247" s="102"/>
      <c r="F2247" s="102"/>
      <c r="G2247" s="102"/>
      <c r="H2247" s="102"/>
      <c r="I2247" s="102"/>
      <c r="J2247" s="102"/>
      <c r="K2247" s="102"/>
      <c r="L2247" s="102"/>
      <c r="M2247" s="102"/>
      <c r="N2247" s="102"/>
      <c r="O2247" s="102"/>
      <c r="P2247" s="102"/>
      <c r="Q2247" s="102"/>
      <c r="R2247" s="102"/>
    </row>
    <row r="2248" spans="1:18" ht="35.1" customHeight="1" x14ac:dyDescent="0.2">
      <c r="A2248" s="99"/>
      <c r="B2248" s="99"/>
      <c r="C2248" s="102"/>
      <c r="D2248" s="102"/>
      <c r="E2248" s="102"/>
      <c r="F2248" s="102"/>
      <c r="G2248" s="102"/>
      <c r="H2248" s="102"/>
      <c r="I2248" s="102"/>
      <c r="J2248" s="102"/>
      <c r="K2248" s="102"/>
      <c r="L2248" s="102"/>
      <c r="M2248" s="102"/>
      <c r="N2248" s="102"/>
      <c r="O2248" s="102"/>
      <c r="P2248" s="102"/>
      <c r="Q2248" s="102"/>
      <c r="R2248" s="102"/>
    </row>
    <row r="2249" spans="1:18" ht="35.1" customHeight="1" x14ac:dyDescent="0.2">
      <c r="A2249" s="99"/>
      <c r="B2249" s="99"/>
      <c r="C2249" s="102"/>
      <c r="D2249" s="102"/>
      <c r="E2249" s="102"/>
      <c r="F2249" s="102"/>
      <c r="G2249" s="102"/>
      <c r="H2249" s="102"/>
      <c r="I2249" s="102"/>
      <c r="J2249" s="102"/>
      <c r="K2249" s="102"/>
      <c r="L2249" s="102"/>
      <c r="M2249" s="102"/>
      <c r="N2249" s="102"/>
      <c r="O2249" s="102"/>
      <c r="P2249" s="102"/>
      <c r="Q2249" s="102"/>
      <c r="R2249" s="102"/>
    </row>
    <row r="2250" spans="1:18" ht="35.1" customHeight="1" x14ac:dyDescent="0.2">
      <c r="A2250" s="99"/>
      <c r="B2250" s="99"/>
      <c r="C2250" s="102"/>
      <c r="D2250" s="102"/>
      <c r="E2250" s="102"/>
      <c r="F2250" s="102"/>
      <c r="G2250" s="102"/>
      <c r="H2250" s="102"/>
      <c r="I2250" s="102"/>
      <c r="J2250" s="102"/>
      <c r="K2250" s="102"/>
      <c r="L2250" s="102"/>
      <c r="M2250" s="102"/>
      <c r="N2250" s="102"/>
      <c r="O2250" s="102"/>
      <c r="P2250" s="102"/>
      <c r="Q2250" s="102"/>
      <c r="R2250" s="102"/>
    </row>
    <row r="2251" spans="1:18" ht="35.1" customHeight="1" x14ac:dyDescent="0.2">
      <c r="A2251" s="99"/>
      <c r="B2251" s="99"/>
      <c r="C2251" s="102"/>
      <c r="D2251" s="102"/>
      <c r="E2251" s="102"/>
      <c r="F2251" s="102"/>
      <c r="G2251" s="102"/>
      <c r="H2251" s="102"/>
      <c r="I2251" s="102"/>
      <c r="J2251" s="102"/>
      <c r="K2251" s="102"/>
      <c r="L2251" s="102"/>
      <c r="M2251" s="102"/>
      <c r="N2251" s="102"/>
      <c r="O2251" s="102"/>
      <c r="P2251" s="102"/>
      <c r="Q2251" s="102"/>
      <c r="R2251" s="102"/>
    </row>
    <row r="2252" spans="1:18" ht="35.1" customHeight="1" x14ac:dyDescent="0.2">
      <c r="A2252" s="99"/>
      <c r="B2252" s="99"/>
      <c r="C2252" s="102"/>
      <c r="D2252" s="102"/>
      <c r="E2252" s="102"/>
      <c r="F2252" s="102"/>
      <c r="G2252" s="102"/>
      <c r="H2252" s="102"/>
      <c r="I2252" s="102"/>
      <c r="J2252" s="102"/>
      <c r="K2252" s="102"/>
      <c r="L2252" s="102"/>
      <c r="M2252" s="102"/>
      <c r="N2252" s="102"/>
      <c r="O2252" s="102"/>
      <c r="P2252" s="102"/>
      <c r="Q2252" s="102"/>
      <c r="R2252" s="102"/>
    </row>
    <row r="2253" spans="1:18" ht="35.1" customHeight="1" x14ac:dyDescent="0.2">
      <c r="A2253" s="99"/>
      <c r="B2253" s="99"/>
      <c r="C2253" s="102"/>
      <c r="D2253" s="102"/>
      <c r="E2253" s="102"/>
      <c r="F2253" s="102"/>
      <c r="G2253" s="102"/>
      <c r="H2253" s="102"/>
      <c r="I2253" s="102"/>
      <c r="J2253" s="102"/>
      <c r="K2253" s="102"/>
      <c r="L2253" s="102"/>
      <c r="M2253" s="102"/>
      <c r="N2253" s="102"/>
      <c r="O2253" s="102"/>
      <c r="P2253" s="102"/>
      <c r="Q2253" s="102"/>
      <c r="R2253" s="102"/>
    </row>
    <row r="2254" spans="1:18" ht="35.1" customHeight="1" x14ac:dyDescent="0.2">
      <c r="A2254" s="99"/>
      <c r="B2254" s="99"/>
      <c r="C2254" s="102"/>
      <c r="D2254" s="102"/>
      <c r="E2254" s="102"/>
      <c r="F2254" s="102"/>
      <c r="G2254" s="102"/>
      <c r="H2254" s="102"/>
      <c r="I2254" s="102"/>
      <c r="J2254" s="102"/>
      <c r="K2254" s="102"/>
      <c r="L2254" s="102"/>
      <c r="M2254" s="102"/>
      <c r="N2254" s="102"/>
      <c r="O2254" s="102"/>
      <c r="P2254" s="102"/>
      <c r="Q2254" s="102"/>
      <c r="R2254" s="102"/>
    </row>
    <row r="2255" spans="1:18" ht="35.1" customHeight="1" x14ac:dyDescent="0.2">
      <c r="A2255" s="99"/>
      <c r="B2255" s="99"/>
      <c r="C2255" s="102"/>
      <c r="D2255" s="102"/>
      <c r="E2255" s="102"/>
      <c r="F2255" s="102"/>
      <c r="G2255" s="102"/>
      <c r="H2255" s="102"/>
      <c r="I2255" s="102"/>
      <c r="J2255" s="102"/>
      <c r="K2255" s="102"/>
      <c r="L2255" s="102"/>
      <c r="M2255" s="102"/>
      <c r="N2255" s="102"/>
      <c r="O2255" s="102"/>
      <c r="P2255" s="102"/>
      <c r="Q2255" s="102"/>
      <c r="R2255" s="102"/>
    </row>
    <row r="2256" spans="1:18" ht="35.1" customHeight="1" x14ac:dyDescent="0.2">
      <c r="A2256" s="99"/>
      <c r="B2256" s="99"/>
      <c r="C2256" s="102"/>
      <c r="D2256" s="102"/>
      <c r="E2256" s="102"/>
      <c r="F2256" s="102"/>
      <c r="G2256" s="102"/>
      <c r="H2256" s="102"/>
      <c r="I2256" s="102"/>
      <c r="J2256" s="102"/>
      <c r="K2256" s="102"/>
      <c r="L2256" s="102"/>
      <c r="M2256" s="102"/>
      <c r="N2256" s="102"/>
      <c r="O2256" s="102"/>
      <c r="P2256" s="102"/>
      <c r="Q2256" s="102"/>
      <c r="R2256" s="102"/>
    </row>
    <row r="2257" spans="1:18" ht="35.1" customHeight="1" x14ac:dyDescent="0.2">
      <c r="A2257" s="99"/>
      <c r="B2257" s="99"/>
      <c r="C2257" s="102"/>
      <c r="D2257" s="102"/>
      <c r="E2257" s="102"/>
      <c r="F2257" s="102"/>
      <c r="G2257" s="102"/>
      <c r="H2257" s="102"/>
      <c r="I2257" s="102"/>
      <c r="J2257" s="102"/>
      <c r="K2257" s="102"/>
      <c r="L2257" s="102"/>
      <c r="M2257" s="102"/>
      <c r="N2257" s="102"/>
      <c r="O2257" s="102"/>
      <c r="P2257" s="102"/>
      <c r="Q2257" s="102"/>
      <c r="R2257" s="102"/>
    </row>
    <row r="2258" spans="1:18" ht="35.1" customHeight="1" x14ac:dyDescent="0.2">
      <c r="A2258" s="99"/>
      <c r="B2258" s="99"/>
      <c r="C2258" s="102"/>
      <c r="D2258" s="102"/>
      <c r="E2258" s="102"/>
      <c r="F2258" s="102"/>
      <c r="G2258" s="102"/>
      <c r="H2258" s="102"/>
      <c r="I2258" s="102"/>
      <c r="J2258" s="102"/>
      <c r="K2258" s="102"/>
      <c r="L2258" s="102"/>
      <c r="M2258" s="102"/>
      <c r="N2258" s="102"/>
      <c r="O2258" s="102"/>
      <c r="P2258" s="102"/>
      <c r="Q2258" s="102"/>
      <c r="R2258" s="102"/>
    </row>
    <row r="2259" spans="1:18" ht="35.1" customHeight="1" x14ac:dyDescent="0.2">
      <c r="A2259" s="99"/>
      <c r="B2259" s="99"/>
      <c r="C2259" s="102"/>
      <c r="D2259" s="102"/>
      <c r="E2259" s="102"/>
      <c r="F2259" s="102"/>
      <c r="G2259" s="102"/>
      <c r="H2259" s="102"/>
      <c r="I2259" s="102"/>
      <c r="J2259" s="102"/>
      <c r="K2259" s="102"/>
      <c r="L2259" s="102"/>
      <c r="M2259" s="102"/>
      <c r="N2259" s="102"/>
      <c r="O2259" s="102"/>
      <c r="P2259" s="102"/>
      <c r="Q2259" s="102"/>
      <c r="R2259" s="102"/>
    </row>
    <row r="2260" spans="1:18" ht="35.1" customHeight="1" x14ac:dyDescent="0.2">
      <c r="A2260" s="99"/>
      <c r="B2260" s="99"/>
      <c r="C2260" s="102"/>
      <c r="D2260" s="102"/>
      <c r="E2260" s="102"/>
      <c r="F2260" s="102"/>
      <c r="G2260" s="102"/>
      <c r="H2260" s="102"/>
      <c r="I2260" s="102"/>
      <c r="J2260" s="102"/>
      <c r="K2260" s="102"/>
      <c r="L2260" s="102"/>
      <c r="M2260" s="102"/>
      <c r="N2260" s="102"/>
      <c r="O2260" s="102"/>
      <c r="P2260" s="102"/>
      <c r="Q2260" s="102"/>
      <c r="R2260" s="102"/>
    </row>
    <row r="2261" spans="1:18" ht="35.1" customHeight="1" x14ac:dyDescent="0.2">
      <c r="A2261" s="99"/>
      <c r="B2261" s="99"/>
      <c r="C2261" s="102"/>
      <c r="D2261" s="102"/>
      <c r="E2261" s="102"/>
      <c r="F2261" s="102"/>
      <c r="G2261" s="102"/>
      <c r="H2261" s="102"/>
      <c r="I2261" s="102"/>
      <c r="J2261" s="102"/>
      <c r="K2261" s="102"/>
      <c r="L2261" s="102"/>
      <c r="M2261" s="102"/>
      <c r="N2261" s="102"/>
      <c r="O2261" s="102"/>
      <c r="P2261" s="102"/>
      <c r="Q2261" s="102"/>
      <c r="R2261" s="102"/>
    </row>
    <row r="2262" spans="1:18" ht="35.1" customHeight="1" x14ac:dyDescent="0.2">
      <c r="A2262" s="99"/>
      <c r="B2262" s="99"/>
      <c r="C2262" s="102"/>
      <c r="D2262" s="102"/>
      <c r="E2262" s="102"/>
      <c r="F2262" s="102"/>
      <c r="G2262" s="102"/>
      <c r="H2262" s="102"/>
      <c r="I2262" s="102"/>
      <c r="J2262" s="102"/>
      <c r="K2262" s="102"/>
      <c r="L2262" s="102"/>
      <c r="M2262" s="102"/>
      <c r="N2262" s="102"/>
      <c r="O2262" s="102"/>
      <c r="P2262" s="102"/>
      <c r="Q2262" s="102"/>
      <c r="R2262" s="102"/>
    </row>
    <row r="2263" spans="1:18" ht="35.1" customHeight="1" x14ac:dyDescent="0.2">
      <c r="A2263" s="99"/>
      <c r="B2263" s="99"/>
      <c r="C2263" s="102"/>
      <c r="D2263" s="102"/>
      <c r="E2263" s="102"/>
      <c r="F2263" s="102"/>
      <c r="G2263" s="102"/>
      <c r="H2263" s="102"/>
      <c r="I2263" s="102"/>
      <c r="J2263" s="102"/>
      <c r="K2263" s="102"/>
      <c r="L2263" s="102"/>
      <c r="M2263" s="102"/>
      <c r="N2263" s="102"/>
      <c r="O2263" s="102"/>
      <c r="P2263" s="102"/>
      <c r="Q2263" s="102"/>
      <c r="R2263" s="102"/>
    </row>
    <row r="2264" spans="1:18" ht="35.1" customHeight="1" x14ac:dyDescent="0.2">
      <c r="A2264" s="99"/>
      <c r="B2264" s="99"/>
      <c r="C2264" s="102"/>
      <c r="D2264" s="102"/>
      <c r="E2264" s="102"/>
      <c r="F2264" s="102"/>
      <c r="G2264" s="102"/>
      <c r="H2264" s="102"/>
      <c r="I2264" s="102"/>
      <c r="J2264" s="102"/>
      <c r="K2264" s="102"/>
      <c r="L2264" s="102"/>
      <c r="M2264" s="102"/>
      <c r="N2264" s="102"/>
      <c r="O2264" s="102"/>
      <c r="P2264" s="102"/>
      <c r="Q2264" s="102"/>
      <c r="R2264" s="102"/>
    </row>
    <row r="2265" spans="1:18" ht="35.1" customHeight="1" x14ac:dyDescent="0.2">
      <c r="A2265" s="99"/>
      <c r="B2265" s="99"/>
      <c r="C2265" s="102"/>
      <c r="D2265" s="102"/>
      <c r="E2265" s="102"/>
      <c r="F2265" s="102"/>
      <c r="G2265" s="102"/>
      <c r="H2265" s="102"/>
      <c r="I2265" s="102"/>
      <c r="J2265" s="102"/>
      <c r="K2265" s="102"/>
      <c r="L2265" s="102"/>
      <c r="M2265" s="102"/>
      <c r="N2265" s="102"/>
      <c r="O2265" s="102"/>
      <c r="P2265" s="102"/>
      <c r="Q2265" s="102"/>
      <c r="R2265" s="102"/>
    </row>
    <row r="2266" spans="1:18" ht="35.1" customHeight="1" x14ac:dyDescent="0.2">
      <c r="A2266" s="99"/>
      <c r="B2266" s="99"/>
      <c r="C2266" s="102"/>
      <c r="D2266" s="102"/>
      <c r="E2266" s="102"/>
      <c r="F2266" s="102"/>
      <c r="G2266" s="102"/>
      <c r="H2266" s="102"/>
      <c r="I2266" s="102"/>
      <c r="J2266" s="102"/>
      <c r="K2266" s="102"/>
      <c r="L2266" s="102"/>
      <c r="M2266" s="102"/>
      <c r="N2266" s="102"/>
      <c r="O2266" s="102"/>
      <c r="P2266" s="102"/>
      <c r="Q2266" s="102"/>
      <c r="R2266" s="102"/>
    </row>
    <row r="2267" spans="1:18" ht="35.1" customHeight="1" x14ac:dyDescent="0.2">
      <c r="A2267" s="99"/>
      <c r="B2267" s="99"/>
      <c r="C2267" s="102"/>
      <c r="D2267" s="102"/>
      <c r="E2267" s="102"/>
      <c r="F2267" s="102"/>
      <c r="G2267" s="102"/>
      <c r="H2267" s="102"/>
      <c r="I2267" s="102"/>
      <c r="J2267" s="102"/>
      <c r="K2267" s="102"/>
      <c r="L2267" s="102"/>
      <c r="M2267" s="102"/>
      <c r="N2267" s="102"/>
      <c r="O2267" s="102"/>
      <c r="P2267" s="102"/>
      <c r="Q2267" s="102"/>
      <c r="R2267" s="102"/>
    </row>
    <row r="2268" spans="1:18" ht="35.1" customHeight="1" x14ac:dyDescent="0.2">
      <c r="A2268" s="99"/>
      <c r="B2268" s="99"/>
      <c r="C2268" s="102"/>
      <c r="D2268" s="102"/>
      <c r="E2268" s="102"/>
      <c r="F2268" s="102"/>
      <c r="G2268" s="102"/>
      <c r="H2268" s="102"/>
      <c r="I2268" s="102"/>
      <c r="J2268" s="102"/>
      <c r="K2268" s="102"/>
      <c r="L2268" s="102"/>
      <c r="M2268" s="102"/>
      <c r="N2268" s="102"/>
      <c r="O2268" s="102"/>
      <c r="P2268" s="102"/>
      <c r="Q2268" s="102"/>
      <c r="R2268" s="102"/>
    </row>
    <row r="2269" spans="1:18" ht="35.1" customHeight="1" x14ac:dyDescent="0.2">
      <c r="A2269" s="99"/>
      <c r="B2269" s="99"/>
      <c r="C2269" s="102"/>
      <c r="D2269" s="102"/>
      <c r="E2269" s="102"/>
      <c r="F2269" s="102"/>
      <c r="G2269" s="102"/>
      <c r="H2269" s="102"/>
      <c r="I2269" s="102"/>
      <c r="J2269" s="102"/>
      <c r="K2269" s="102"/>
      <c r="L2269" s="102"/>
      <c r="M2269" s="102"/>
      <c r="N2269" s="102"/>
      <c r="O2269" s="102"/>
      <c r="P2269" s="102"/>
      <c r="Q2269" s="102"/>
      <c r="R2269" s="102"/>
    </row>
    <row r="2270" spans="1:18" ht="35.1" customHeight="1" x14ac:dyDescent="0.2">
      <c r="A2270" s="99"/>
      <c r="B2270" s="99"/>
      <c r="C2270" s="102"/>
      <c r="D2270" s="102"/>
      <c r="E2270" s="102"/>
      <c r="F2270" s="102"/>
      <c r="G2270" s="102"/>
      <c r="H2270" s="102"/>
      <c r="I2270" s="102"/>
      <c r="J2270" s="102"/>
      <c r="K2270" s="102"/>
      <c r="L2270" s="102"/>
      <c r="M2270" s="102"/>
      <c r="N2270" s="102"/>
      <c r="O2270" s="102"/>
      <c r="P2270" s="102"/>
      <c r="Q2270" s="102"/>
      <c r="R2270" s="102"/>
    </row>
    <row r="2271" spans="1:18" ht="35.1" customHeight="1" x14ac:dyDescent="0.2">
      <c r="A2271" s="99"/>
      <c r="B2271" s="99"/>
      <c r="C2271" s="102"/>
      <c r="D2271" s="102"/>
      <c r="E2271" s="102"/>
      <c r="F2271" s="102"/>
      <c r="G2271" s="102"/>
      <c r="H2271" s="102"/>
      <c r="I2271" s="102"/>
      <c r="J2271" s="102"/>
      <c r="K2271" s="102"/>
      <c r="L2271" s="102"/>
      <c r="M2271" s="102"/>
      <c r="N2271" s="102"/>
      <c r="O2271" s="102"/>
      <c r="P2271" s="102"/>
      <c r="Q2271" s="102"/>
      <c r="R2271" s="102"/>
    </row>
    <row r="2272" spans="1:18" ht="35.1" customHeight="1" x14ac:dyDescent="0.2">
      <c r="A2272" s="99"/>
      <c r="B2272" s="99"/>
      <c r="C2272" s="102"/>
      <c r="D2272" s="102"/>
      <c r="E2272" s="102"/>
      <c r="F2272" s="102"/>
      <c r="G2272" s="102"/>
      <c r="H2272" s="102"/>
      <c r="I2272" s="102"/>
      <c r="J2272" s="102"/>
      <c r="K2272" s="102"/>
      <c r="L2272" s="102"/>
      <c r="M2272" s="102"/>
      <c r="N2272" s="102"/>
      <c r="O2272" s="102"/>
      <c r="P2272" s="102"/>
      <c r="Q2272" s="102"/>
      <c r="R2272" s="102"/>
    </row>
    <row r="2273" spans="1:18" ht="35.1" customHeight="1" x14ac:dyDescent="0.2">
      <c r="A2273" s="99"/>
      <c r="B2273" s="99"/>
      <c r="C2273" s="102"/>
      <c r="D2273" s="102"/>
      <c r="E2273" s="102"/>
      <c r="F2273" s="102"/>
      <c r="G2273" s="102"/>
      <c r="H2273" s="102"/>
      <c r="I2273" s="102"/>
      <c r="J2273" s="102"/>
      <c r="K2273" s="102"/>
      <c r="L2273" s="102"/>
      <c r="M2273" s="102"/>
      <c r="N2273" s="102"/>
      <c r="O2273" s="102"/>
      <c r="P2273" s="102"/>
      <c r="Q2273" s="102"/>
      <c r="R2273" s="102"/>
    </row>
    <row r="2274" spans="1:18" ht="35.1" customHeight="1" x14ac:dyDescent="0.2">
      <c r="A2274" s="99"/>
      <c r="B2274" s="99"/>
      <c r="C2274" s="102"/>
      <c r="D2274" s="102"/>
      <c r="E2274" s="102"/>
      <c r="F2274" s="102"/>
      <c r="G2274" s="102"/>
      <c r="H2274" s="102"/>
      <c r="I2274" s="102"/>
      <c r="J2274" s="102"/>
      <c r="K2274" s="102"/>
      <c r="L2274" s="102"/>
      <c r="M2274" s="102"/>
      <c r="N2274" s="102"/>
      <c r="O2274" s="102"/>
      <c r="P2274" s="102"/>
      <c r="Q2274" s="102"/>
      <c r="R2274" s="102"/>
    </row>
    <row r="2275" spans="1:18" ht="35.1" customHeight="1" x14ac:dyDescent="0.2">
      <c r="A2275" s="99"/>
      <c r="B2275" s="99"/>
      <c r="C2275" s="102"/>
      <c r="D2275" s="102"/>
      <c r="E2275" s="102"/>
      <c r="F2275" s="102"/>
      <c r="G2275" s="102"/>
      <c r="H2275" s="102"/>
      <c r="I2275" s="102"/>
      <c r="J2275" s="102"/>
      <c r="K2275" s="102"/>
      <c r="L2275" s="102"/>
      <c r="M2275" s="102"/>
      <c r="N2275" s="102"/>
      <c r="O2275" s="102"/>
      <c r="P2275" s="102"/>
      <c r="Q2275" s="102"/>
      <c r="R2275" s="102"/>
    </row>
    <row r="2276" spans="1:18" ht="35.1" customHeight="1" x14ac:dyDescent="0.2">
      <c r="A2276" s="99"/>
      <c r="B2276" s="99"/>
      <c r="C2276" s="102"/>
      <c r="D2276" s="102"/>
      <c r="E2276" s="102"/>
      <c r="F2276" s="102"/>
      <c r="G2276" s="102"/>
      <c r="H2276" s="102"/>
      <c r="I2276" s="102"/>
      <c r="J2276" s="102"/>
      <c r="K2276" s="102"/>
      <c r="L2276" s="102"/>
      <c r="M2276" s="102"/>
      <c r="N2276" s="102"/>
      <c r="O2276" s="102"/>
      <c r="P2276" s="102"/>
      <c r="Q2276" s="102"/>
      <c r="R2276" s="102"/>
    </row>
    <row r="2277" spans="1:18" ht="35.1" customHeight="1" x14ac:dyDescent="0.2">
      <c r="A2277" s="99"/>
      <c r="B2277" s="99"/>
      <c r="C2277" s="102"/>
      <c r="D2277" s="102"/>
      <c r="E2277" s="102"/>
      <c r="F2277" s="102"/>
      <c r="G2277" s="102"/>
      <c r="H2277" s="102"/>
      <c r="I2277" s="102"/>
      <c r="J2277" s="102"/>
      <c r="K2277" s="102"/>
      <c r="L2277" s="102"/>
      <c r="M2277" s="102"/>
      <c r="N2277" s="102"/>
      <c r="O2277" s="102"/>
      <c r="P2277" s="102"/>
      <c r="Q2277" s="102"/>
      <c r="R2277" s="102"/>
    </row>
    <row r="2278" spans="1:18" ht="35.1" customHeight="1" x14ac:dyDescent="0.2">
      <c r="A2278" s="99"/>
      <c r="B2278" s="99"/>
      <c r="C2278" s="102"/>
      <c r="D2278" s="102"/>
      <c r="E2278" s="102"/>
      <c r="F2278" s="102"/>
      <c r="G2278" s="102"/>
      <c r="H2278" s="102"/>
      <c r="I2278" s="102"/>
      <c r="J2278" s="102"/>
      <c r="K2278" s="102"/>
      <c r="L2278" s="102"/>
      <c r="M2278" s="102"/>
      <c r="N2278" s="102"/>
      <c r="O2278" s="102"/>
      <c r="P2278" s="102"/>
      <c r="Q2278" s="102"/>
      <c r="R2278" s="102"/>
    </row>
    <row r="2279" spans="1:18" ht="35.1" customHeight="1" x14ac:dyDescent="0.2">
      <c r="A2279" s="99"/>
      <c r="B2279" s="99"/>
      <c r="C2279" s="102"/>
      <c r="D2279" s="102"/>
      <c r="E2279" s="102"/>
      <c r="F2279" s="102"/>
      <c r="G2279" s="102"/>
      <c r="H2279" s="102"/>
      <c r="I2279" s="102"/>
      <c r="J2279" s="102"/>
      <c r="K2279" s="102"/>
      <c r="L2279" s="102"/>
      <c r="M2279" s="102"/>
      <c r="N2279" s="102"/>
      <c r="O2279" s="102"/>
      <c r="P2279" s="102"/>
      <c r="Q2279" s="102"/>
      <c r="R2279" s="102"/>
    </row>
    <row r="2280" spans="1:18" ht="35.1" customHeight="1" x14ac:dyDescent="0.2">
      <c r="A2280" s="99"/>
      <c r="B2280" s="99"/>
      <c r="C2280" s="102"/>
      <c r="D2280" s="102"/>
      <c r="E2280" s="102"/>
      <c r="F2280" s="102"/>
      <c r="G2280" s="102"/>
      <c r="H2280" s="102"/>
      <c r="I2280" s="102"/>
      <c r="J2280" s="102"/>
      <c r="K2280" s="102"/>
      <c r="L2280" s="102"/>
      <c r="M2280" s="102"/>
      <c r="N2280" s="102"/>
      <c r="O2280" s="102"/>
      <c r="P2280" s="102"/>
      <c r="Q2280" s="102"/>
      <c r="R2280" s="102"/>
    </row>
    <row r="2281" spans="1:18" ht="35.1" customHeight="1" x14ac:dyDescent="0.2">
      <c r="A2281" s="99"/>
      <c r="B2281" s="99"/>
      <c r="C2281" s="102"/>
      <c r="D2281" s="102"/>
      <c r="E2281" s="102"/>
      <c r="F2281" s="102"/>
      <c r="G2281" s="102"/>
      <c r="H2281" s="102"/>
      <c r="I2281" s="102"/>
      <c r="J2281" s="102"/>
      <c r="K2281" s="102"/>
      <c r="L2281" s="102"/>
      <c r="M2281" s="102"/>
      <c r="N2281" s="102"/>
      <c r="O2281" s="102"/>
      <c r="P2281" s="102"/>
      <c r="Q2281" s="102"/>
      <c r="R2281" s="102"/>
    </row>
    <row r="2282" spans="1:18" ht="35.1" customHeight="1" x14ac:dyDescent="0.2">
      <c r="A2282" s="99"/>
      <c r="B2282" s="99"/>
      <c r="C2282" s="102"/>
      <c r="D2282" s="102"/>
      <c r="E2282" s="102"/>
      <c r="F2282" s="102"/>
      <c r="G2282" s="102"/>
      <c r="H2282" s="102"/>
      <c r="I2282" s="102"/>
      <c r="J2282" s="102"/>
      <c r="K2282" s="102"/>
      <c r="L2282" s="102"/>
      <c r="M2282" s="102"/>
      <c r="N2282" s="102"/>
      <c r="O2282" s="102"/>
      <c r="P2282" s="102"/>
      <c r="Q2282" s="102"/>
      <c r="R2282" s="102"/>
    </row>
    <row r="2283" spans="1:18" ht="35.1" customHeight="1" x14ac:dyDescent="0.2">
      <c r="A2283" s="99"/>
      <c r="B2283" s="99"/>
      <c r="C2283" s="102"/>
      <c r="D2283" s="102"/>
      <c r="E2283" s="102"/>
      <c r="F2283" s="102"/>
      <c r="G2283" s="102"/>
      <c r="H2283" s="102"/>
      <c r="I2283" s="102"/>
      <c r="J2283" s="102"/>
      <c r="K2283" s="102"/>
      <c r="L2283" s="102"/>
      <c r="M2283" s="102"/>
      <c r="N2283" s="102"/>
      <c r="O2283" s="102"/>
      <c r="P2283" s="102"/>
      <c r="Q2283" s="102"/>
      <c r="R2283" s="102"/>
    </row>
    <row r="2284" spans="1:18" ht="35.1" customHeight="1" x14ac:dyDescent="0.2">
      <c r="A2284" s="99"/>
      <c r="B2284" s="99"/>
      <c r="C2284" s="102"/>
      <c r="D2284" s="102"/>
      <c r="E2284" s="102"/>
      <c r="F2284" s="102"/>
      <c r="G2284" s="102"/>
      <c r="H2284" s="102"/>
      <c r="I2284" s="102"/>
      <c r="J2284" s="102"/>
      <c r="K2284" s="102"/>
      <c r="L2284" s="102"/>
      <c r="M2284" s="102"/>
      <c r="N2284" s="102"/>
      <c r="O2284" s="102"/>
      <c r="P2284" s="102"/>
      <c r="Q2284" s="102"/>
      <c r="R2284" s="102"/>
    </row>
    <row r="2285" spans="1:18" ht="35.1" customHeight="1" x14ac:dyDescent="0.2">
      <c r="A2285" s="99"/>
      <c r="B2285" s="99"/>
      <c r="C2285" s="102"/>
      <c r="D2285" s="102"/>
      <c r="E2285" s="102"/>
      <c r="F2285" s="102"/>
      <c r="G2285" s="102"/>
      <c r="H2285" s="102"/>
      <c r="I2285" s="102"/>
      <c r="J2285" s="102"/>
      <c r="K2285" s="102"/>
      <c r="L2285" s="102"/>
      <c r="M2285" s="102"/>
      <c r="N2285" s="102"/>
      <c r="O2285" s="102"/>
      <c r="P2285" s="102"/>
      <c r="Q2285" s="102"/>
      <c r="R2285" s="102"/>
    </row>
    <row r="2286" spans="1:18" ht="35.1" customHeight="1" x14ac:dyDescent="0.2">
      <c r="A2286" s="99"/>
      <c r="B2286" s="99"/>
      <c r="C2286" s="102"/>
      <c r="D2286" s="102"/>
      <c r="E2286" s="102"/>
      <c r="F2286" s="102"/>
      <c r="G2286" s="102"/>
      <c r="H2286" s="102"/>
      <c r="I2286" s="102"/>
      <c r="J2286" s="102"/>
      <c r="K2286" s="102"/>
      <c r="L2286" s="102"/>
      <c r="M2286" s="102"/>
      <c r="N2286" s="102"/>
      <c r="O2286" s="102"/>
      <c r="P2286" s="102"/>
      <c r="Q2286" s="102"/>
      <c r="R2286" s="102"/>
    </row>
    <row r="2287" spans="1:18" ht="35.1" customHeight="1" x14ac:dyDescent="0.2">
      <c r="A2287" s="99"/>
      <c r="B2287" s="99"/>
      <c r="C2287" s="102"/>
      <c r="D2287" s="102"/>
      <c r="E2287" s="102"/>
      <c r="F2287" s="102"/>
      <c r="G2287" s="102"/>
      <c r="H2287" s="102"/>
      <c r="I2287" s="102"/>
      <c r="J2287" s="102"/>
      <c r="K2287" s="102"/>
      <c r="L2287" s="102"/>
      <c r="M2287" s="102"/>
      <c r="N2287" s="102"/>
      <c r="O2287" s="102"/>
      <c r="P2287" s="102"/>
      <c r="Q2287" s="102"/>
      <c r="R2287" s="102"/>
    </row>
    <row r="2288" spans="1:18" ht="35.1" customHeight="1" x14ac:dyDescent="0.2">
      <c r="A2288" s="99"/>
      <c r="B2288" s="99"/>
      <c r="C2288" s="102"/>
      <c r="D2288" s="102"/>
      <c r="E2288" s="102"/>
      <c r="F2288" s="102"/>
      <c r="G2288" s="102"/>
      <c r="H2288" s="102"/>
      <c r="I2288" s="102"/>
      <c r="J2288" s="102"/>
      <c r="K2288" s="102"/>
      <c r="L2288" s="102"/>
      <c r="M2288" s="102"/>
      <c r="N2288" s="102"/>
      <c r="O2288" s="102"/>
      <c r="P2288" s="102"/>
      <c r="Q2288" s="102"/>
      <c r="R2288" s="102"/>
    </row>
    <row r="2289" spans="1:18" ht="35.1" customHeight="1" x14ac:dyDescent="0.2">
      <c r="A2289" s="99"/>
      <c r="B2289" s="99"/>
      <c r="C2289" s="102"/>
      <c r="D2289" s="102"/>
      <c r="E2289" s="102"/>
      <c r="F2289" s="102"/>
      <c r="G2289" s="102"/>
      <c r="H2289" s="102"/>
      <c r="I2289" s="102"/>
      <c r="J2289" s="102"/>
      <c r="K2289" s="102"/>
      <c r="L2289" s="102"/>
      <c r="M2289" s="102"/>
      <c r="N2289" s="102"/>
      <c r="O2289" s="102"/>
      <c r="P2289" s="102"/>
      <c r="Q2289" s="102"/>
      <c r="R2289" s="102"/>
    </row>
    <row r="2290" spans="1:18" ht="35.1" customHeight="1" x14ac:dyDescent="0.2">
      <c r="A2290" s="99"/>
      <c r="B2290" s="99"/>
      <c r="C2290" s="102"/>
      <c r="D2290" s="102"/>
      <c r="E2290" s="102"/>
      <c r="F2290" s="102"/>
      <c r="G2290" s="102"/>
      <c r="H2290" s="102"/>
      <c r="I2290" s="102"/>
      <c r="J2290" s="102"/>
      <c r="K2290" s="102"/>
      <c r="L2290" s="102"/>
      <c r="M2290" s="102"/>
      <c r="N2290" s="102"/>
      <c r="O2290" s="102"/>
      <c r="P2290" s="102"/>
      <c r="Q2290" s="102"/>
      <c r="R2290" s="102"/>
    </row>
    <row r="2291" spans="1:18" ht="35.1" customHeight="1" x14ac:dyDescent="0.2">
      <c r="A2291" s="99"/>
      <c r="B2291" s="99"/>
      <c r="C2291" s="102"/>
      <c r="D2291" s="102"/>
      <c r="E2291" s="102"/>
      <c r="F2291" s="102"/>
      <c r="G2291" s="102"/>
      <c r="H2291" s="102"/>
      <c r="I2291" s="102"/>
      <c r="J2291" s="102"/>
      <c r="K2291" s="102"/>
      <c r="L2291" s="102"/>
      <c r="M2291" s="102"/>
      <c r="N2291" s="102"/>
      <c r="O2291" s="102"/>
      <c r="P2291" s="102"/>
      <c r="Q2291" s="102"/>
      <c r="R2291" s="102"/>
    </row>
    <row r="2292" spans="1:18" ht="35.1" customHeight="1" x14ac:dyDescent="0.2">
      <c r="A2292" s="99"/>
      <c r="B2292" s="99"/>
      <c r="C2292" s="102"/>
      <c r="D2292" s="102"/>
      <c r="E2292" s="102"/>
      <c r="F2292" s="102"/>
      <c r="G2292" s="102"/>
      <c r="H2292" s="102"/>
      <c r="I2292" s="102"/>
      <c r="J2292" s="102"/>
      <c r="K2292" s="102"/>
      <c r="L2292" s="102"/>
      <c r="M2292" s="102"/>
      <c r="N2292" s="102"/>
      <c r="O2292" s="102"/>
      <c r="P2292" s="102"/>
      <c r="Q2292" s="102"/>
      <c r="R2292" s="102"/>
    </row>
    <row r="2293" spans="1:18" ht="35.1" customHeight="1" x14ac:dyDescent="0.2">
      <c r="A2293" s="99"/>
      <c r="B2293" s="99"/>
      <c r="C2293" s="102"/>
      <c r="D2293" s="102"/>
      <c r="E2293" s="102"/>
      <c r="F2293" s="102"/>
      <c r="G2293" s="102"/>
      <c r="H2293" s="102"/>
      <c r="I2293" s="102"/>
      <c r="J2293" s="102"/>
      <c r="K2293" s="102"/>
      <c r="L2293" s="102"/>
      <c r="M2293" s="102"/>
      <c r="N2293" s="102"/>
      <c r="O2293" s="102"/>
      <c r="P2293" s="102"/>
      <c r="Q2293" s="102"/>
      <c r="R2293" s="102"/>
    </row>
    <row r="2294" spans="1:18" ht="35.1" customHeight="1" x14ac:dyDescent="0.2">
      <c r="A2294" s="99"/>
      <c r="B2294" s="99"/>
      <c r="C2294" s="102"/>
      <c r="D2294" s="102"/>
      <c r="E2294" s="102"/>
      <c r="F2294" s="102"/>
      <c r="G2294" s="102"/>
      <c r="H2294" s="102"/>
      <c r="I2294" s="102"/>
      <c r="J2294" s="102"/>
      <c r="K2294" s="102"/>
      <c r="L2294" s="102"/>
      <c r="M2294" s="102"/>
      <c r="N2294" s="102"/>
      <c r="O2294" s="102"/>
      <c r="P2294" s="102"/>
      <c r="Q2294" s="102"/>
      <c r="R2294" s="102"/>
    </row>
    <row r="2295" spans="1:18" ht="35.1" customHeight="1" x14ac:dyDescent="0.2">
      <c r="A2295" s="99"/>
      <c r="B2295" s="99"/>
      <c r="C2295" s="102"/>
      <c r="D2295" s="102"/>
      <c r="E2295" s="102"/>
      <c r="F2295" s="102"/>
      <c r="G2295" s="102"/>
      <c r="H2295" s="102"/>
      <c r="I2295" s="102"/>
      <c r="J2295" s="102"/>
      <c r="K2295" s="102"/>
      <c r="L2295" s="102"/>
      <c r="M2295" s="102"/>
      <c r="N2295" s="102"/>
      <c r="O2295" s="102"/>
      <c r="P2295" s="102"/>
      <c r="Q2295" s="102"/>
      <c r="R2295" s="102"/>
    </row>
    <row r="2296" spans="1:18" ht="35.1" customHeight="1" x14ac:dyDescent="0.2">
      <c r="A2296" s="99"/>
      <c r="B2296" s="99"/>
      <c r="C2296" s="102"/>
      <c r="D2296" s="102"/>
      <c r="E2296" s="102"/>
      <c r="F2296" s="102"/>
      <c r="G2296" s="102"/>
      <c r="H2296" s="102"/>
      <c r="I2296" s="102"/>
      <c r="J2296" s="102"/>
      <c r="K2296" s="102"/>
      <c r="L2296" s="102"/>
      <c r="M2296" s="102"/>
      <c r="N2296" s="102"/>
      <c r="O2296" s="102"/>
      <c r="P2296" s="102"/>
      <c r="Q2296" s="102"/>
      <c r="R2296" s="102"/>
    </row>
    <row r="2297" spans="1:18" ht="35.1" customHeight="1" x14ac:dyDescent="0.2">
      <c r="A2297" s="99"/>
      <c r="B2297" s="99"/>
      <c r="C2297" s="102"/>
      <c r="D2297" s="102"/>
      <c r="E2297" s="102"/>
      <c r="F2297" s="102"/>
      <c r="G2297" s="102"/>
      <c r="H2297" s="102"/>
      <c r="I2297" s="102"/>
      <c r="J2297" s="102"/>
      <c r="K2297" s="102"/>
      <c r="L2297" s="102"/>
      <c r="M2297" s="102"/>
      <c r="N2297" s="102"/>
      <c r="O2297" s="102"/>
      <c r="P2297" s="102"/>
      <c r="Q2297" s="102"/>
      <c r="R2297" s="102"/>
    </row>
    <row r="2298" spans="1:18" ht="35.1" customHeight="1" x14ac:dyDescent="0.2">
      <c r="A2298" s="99"/>
      <c r="B2298" s="99"/>
      <c r="C2298" s="102"/>
      <c r="D2298" s="102"/>
      <c r="E2298" s="102"/>
      <c r="F2298" s="102"/>
      <c r="G2298" s="102"/>
      <c r="H2298" s="102"/>
      <c r="I2298" s="102"/>
      <c r="J2298" s="102"/>
      <c r="K2298" s="102"/>
      <c r="L2298" s="102"/>
      <c r="M2298" s="102"/>
      <c r="N2298" s="102"/>
      <c r="O2298" s="102"/>
      <c r="P2298" s="102"/>
      <c r="Q2298" s="102"/>
      <c r="R2298" s="102"/>
    </row>
    <row r="2299" spans="1:18" ht="35.1" customHeight="1" x14ac:dyDescent="0.2">
      <c r="A2299" s="99"/>
      <c r="B2299" s="99"/>
      <c r="C2299" s="102"/>
      <c r="D2299" s="102"/>
      <c r="E2299" s="102"/>
      <c r="F2299" s="102"/>
      <c r="G2299" s="102"/>
      <c r="H2299" s="102"/>
      <c r="I2299" s="102"/>
      <c r="J2299" s="102"/>
      <c r="K2299" s="102"/>
      <c r="L2299" s="102"/>
      <c r="M2299" s="102"/>
      <c r="N2299" s="102"/>
      <c r="O2299" s="102"/>
      <c r="P2299" s="102"/>
      <c r="Q2299" s="102"/>
      <c r="R2299" s="102"/>
    </row>
    <row r="2300" spans="1:18" ht="35.1" customHeight="1" x14ac:dyDescent="0.2">
      <c r="A2300" s="99"/>
      <c r="B2300" s="99"/>
      <c r="C2300" s="102"/>
      <c r="D2300" s="102"/>
      <c r="E2300" s="102"/>
      <c r="F2300" s="102"/>
      <c r="G2300" s="102"/>
      <c r="H2300" s="102"/>
      <c r="I2300" s="102"/>
      <c r="J2300" s="102"/>
      <c r="K2300" s="102"/>
      <c r="L2300" s="102"/>
      <c r="M2300" s="102"/>
      <c r="N2300" s="102"/>
      <c r="O2300" s="102"/>
      <c r="P2300" s="102"/>
      <c r="Q2300" s="102"/>
      <c r="R2300" s="102"/>
    </row>
    <row r="2301" spans="1:18" ht="35.1" customHeight="1" x14ac:dyDescent="0.2">
      <c r="A2301" s="99"/>
      <c r="B2301" s="99"/>
      <c r="C2301" s="102"/>
      <c r="D2301" s="102"/>
      <c r="E2301" s="102"/>
      <c r="F2301" s="102"/>
      <c r="G2301" s="102"/>
      <c r="H2301" s="102"/>
      <c r="I2301" s="102"/>
      <c r="J2301" s="102"/>
      <c r="K2301" s="102"/>
      <c r="L2301" s="102"/>
      <c r="M2301" s="102"/>
      <c r="N2301" s="102"/>
      <c r="O2301" s="102"/>
      <c r="P2301" s="102"/>
      <c r="Q2301" s="102"/>
      <c r="R2301" s="102"/>
    </row>
    <row r="2302" spans="1:18" ht="35.1" customHeight="1" x14ac:dyDescent="0.2">
      <c r="A2302" s="99"/>
      <c r="B2302" s="99"/>
      <c r="C2302" s="102"/>
      <c r="D2302" s="102"/>
      <c r="E2302" s="102"/>
      <c r="F2302" s="102"/>
      <c r="G2302" s="102"/>
      <c r="H2302" s="102"/>
      <c r="I2302" s="102"/>
      <c r="J2302" s="102"/>
      <c r="K2302" s="102"/>
      <c r="L2302" s="102"/>
      <c r="M2302" s="102"/>
      <c r="N2302" s="102"/>
      <c r="O2302" s="102"/>
      <c r="P2302" s="102"/>
      <c r="Q2302" s="102"/>
      <c r="R2302" s="102"/>
    </row>
    <row r="2303" spans="1:18" ht="35.1" customHeight="1" x14ac:dyDescent="0.2">
      <c r="A2303" s="99"/>
      <c r="B2303" s="99"/>
      <c r="C2303" s="102"/>
      <c r="D2303" s="102"/>
      <c r="E2303" s="102"/>
      <c r="F2303" s="102"/>
      <c r="G2303" s="102"/>
      <c r="H2303" s="102"/>
      <c r="I2303" s="102"/>
      <c r="J2303" s="102"/>
      <c r="K2303" s="102"/>
      <c r="L2303" s="102"/>
      <c r="M2303" s="102"/>
      <c r="N2303" s="102"/>
      <c r="O2303" s="102"/>
      <c r="P2303" s="102"/>
      <c r="Q2303" s="102"/>
      <c r="R2303" s="102"/>
    </row>
    <row r="2304" spans="1:18" ht="35.1" customHeight="1" x14ac:dyDescent="0.2">
      <c r="A2304" s="99"/>
      <c r="B2304" s="99"/>
      <c r="C2304" s="102"/>
      <c r="D2304" s="102"/>
      <c r="E2304" s="102"/>
      <c r="F2304" s="102"/>
      <c r="G2304" s="102"/>
      <c r="H2304" s="102"/>
      <c r="I2304" s="102"/>
      <c r="J2304" s="102"/>
      <c r="K2304" s="102"/>
      <c r="L2304" s="102"/>
      <c r="M2304" s="102"/>
      <c r="N2304" s="102"/>
      <c r="O2304" s="102"/>
      <c r="P2304" s="102"/>
      <c r="Q2304" s="102"/>
      <c r="R2304" s="102"/>
    </row>
    <row r="2305" spans="1:18" ht="35.1" customHeight="1" x14ac:dyDescent="0.2">
      <c r="A2305" s="99"/>
      <c r="B2305" s="99"/>
      <c r="C2305" s="102"/>
      <c r="D2305" s="102"/>
      <c r="E2305" s="102"/>
      <c r="F2305" s="102"/>
      <c r="G2305" s="102"/>
      <c r="H2305" s="102"/>
      <c r="I2305" s="102"/>
      <c r="J2305" s="102"/>
      <c r="K2305" s="102"/>
      <c r="L2305" s="102"/>
      <c r="M2305" s="102"/>
      <c r="N2305" s="102"/>
      <c r="O2305" s="102"/>
      <c r="P2305" s="102"/>
      <c r="Q2305" s="102"/>
      <c r="R2305" s="102"/>
    </row>
    <row r="2306" spans="1:18" ht="35.1" customHeight="1" x14ac:dyDescent="0.2">
      <c r="A2306" s="99"/>
      <c r="B2306" s="99"/>
      <c r="C2306" s="102"/>
      <c r="D2306" s="102"/>
      <c r="E2306" s="102"/>
      <c r="F2306" s="102"/>
      <c r="G2306" s="102"/>
      <c r="H2306" s="102"/>
      <c r="I2306" s="102"/>
      <c r="J2306" s="102"/>
      <c r="K2306" s="102"/>
      <c r="L2306" s="102"/>
      <c r="M2306" s="102"/>
      <c r="N2306" s="102"/>
      <c r="O2306" s="102"/>
      <c r="P2306" s="102"/>
      <c r="Q2306" s="102"/>
      <c r="R2306" s="102"/>
    </row>
    <row r="2307" spans="1:18" ht="35.1" customHeight="1" x14ac:dyDescent="0.2">
      <c r="A2307" s="99"/>
      <c r="B2307" s="99"/>
      <c r="C2307" s="102"/>
      <c r="D2307" s="102"/>
      <c r="E2307" s="102"/>
      <c r="F2307" s="102"/>
      <c r="G2307" s="102"/>
      <c r="H2307" s="102"/>
      <c r="I2307" s="102"/>
      <c r="J2307" s="102"/>
      <c r="K2307" s="102"/>
      <c r="L2307" s="102"/>
      <c r="M2307" s="102"/>
      <c r="N2307" s="102"/>
      <c r="O2307" s="102"/>
      <c r="P2307" s="102"/>
      <c r="Q2307" s="102"/>
      <c r="R2307" s="102"/>
    </row>
    <row r="2308" spans="1:18" ht="35.1" customHeight="1" x14ac:dyDescent="0.2">
      <c r="A2308" s="99"/>
      <c r="B2308" s="99"/>
      <c r="C2308" s="102"/>
      <c r="D2308" s="102"/>
      <c r="E2308" s="102"/>
      <c r="F2308" s="102"/>
      <c r="G2308" s="102"/>
      <c r="H2308" s="102"/>
      <c r="I2308" s="102"/>
      <c r="J2308" s="102"/>
      <c r="K2308" s="102"/>
      <c r="L2308" s="102"/>
      <c r="M2308" s="102"/>
      <c r="N2308" s="102"/>
      <c r="O2308" s="102"/>
      <c r="P2308" s="102"/>
      <c r="Q2308" s="102"/>
      <c r="R2308" s="102"/>
    </row>
    <row r="2309" spans="1:18" ht="35.1" customHeight="1" x14ac:dyDescent="0.2">
      <c r="A2309" s="99"/>
      <c r="B2309" s="99"/>
      <c r="C2309" s="102"/>
      <c r="D2309" s="102"/>
      <c r="E2309" s="102"/>
      <c r="F2309" s="102"/>
      <c r="G2309" s="102"/>
      <c r="H2309" s="102"/>
      <c r="I2309" s="102"/>
      <c r="J2309" s="102"/>
      <c r="K2309" s="102"/>
      <c r="L2309" s="102"/>
      <c r="M2309" s="102"/>
      <c r="N2309" s="102"/>
      <c r="O2309" s="102"/>
      <c r="P2309" s="102"/>
      <c r="Q2309" s="102"/>
      <c r="R2309" s="102"/>
    </row>
    <row r="2310" spans="1:18" ht="35.1" customHeight="1" x14ac:dyDescent="0.2">
      <c r="A2310" s="99"/>
      <c r="B2310" s="99"/>
      <c r="C2310" s="102"/>
      <c r="D2310" s="102"/>
      <c r="E2310" s="102"/>
      <c r="F2310" s="102"/>
      <c r="G2310" s="102"/>
      <c r="H2310" s="102"/>
      <c r="I2310" s="102"/>
      <c r="J2310" s="102"/>
      <c r="K2310" s="102"/>
      <c r="L2310" s="102"/>
      <c r="M2310" s="102"/>
      <c r="N2310" s="102"/>
      <c r="O2310" s="102"/>
      <c r="P2310" s="102"/>
      <c r="Q2310" s="102"/>
      <c r="R2310" s="102"/>
    </row>
    <row r="2311" spans="1:18" ht="35.1" customHeight="1" x14ac:dyDescent="0.2">
      <c r="A2311" s="99"/>
      <c r="B2311" s="99"/>
      <c r="C2311" s="102"/>
      <c r="D2311" s="102"/>
      <c r="E2311" s="102"/>
      <c r="F2311" s="102"/>
      <c r="G2311" s="102"/>
      <c r="H2311" s="102"/>
      <c r="I2311" s="102"/>
      <c r="J2311" s="102"/>
      <c r="K2311" s="102"/>
      <c r="L2311" s="102"/>
      <c r="M2311" s="102"/>
      <c r="N2311" s="102"/>
      <c r="O2311" s="102"/>
      <c r="P2311" s="102"/>
      <c r="Q2311" s="102"/>
      <c r="R2311" s="102"/>
    </row>
    <row r="2312" spans="1:18" ht="35.1" customHeight="1" x14ac:dyDescent="0.2">
      <c r="A2312" s="99"/>
      <c r="B2312" s="99"/>
      <c r="C2312" s="102"/>
      <c r="D2312" s="102"/>
      <c r="E2312" s="102"/>
      <c r="F2312" s="102"/>
      <c r="G2312" s="102"/>
      <c r="H2312" s="102"/>
      <c r="I2312" s="102"/>
      <c r="J2312" s="102"/>
      <c r="K2312" s="102"/>
      <c r="L2312" s="102"/>
      <c r="M2312" s="102"/>
      <c r="N2312" s="102"/>
      <c r="O2312" s="102"/>
      <c r="P2312" s="102"/>
      <c r="Q2312" s="102"/>
      <c r="R2312" s="102"/>
    </row>
    <row r="2313" spans="1:18" ht="35.1" customHeight="1" x14ac:dyDescent="0.2">
      <c r="A2313" s="99"/>
      <c r="B2313" s="99"/>
      <c r="C2313" s="102"/>
      <c r="D2313" s="102"/>
      <c r="E2313" s="102"/>
      <c r="F2313" s="102"/>
      <c r="G2313" s="102"/>
      <c r="H2313" s="102"/>
      <c r="I2313" s="102"/>
      <c r="J2313" s="102"/>
      <c r="K2313" s="102"/>
      <c r="L2313" s="102"/>
      <c r="M2313" s="102"/>
      <c r="N2313" s="102"/>
      <c r="O2313" s="102"/>
      <c r="P2313" s="102"/>
      <c r="Q2313" s="102"/>
      <c r="R2313" s="102"/>
    </row>
    <row r="2314" spans="1:18" ht="35.1" customHeight="1" x14ac:dyDescent="0.2">
      <c r="A2314" s="99"/>
      <c r="B2314" s="99"/>
      <c r="C2314" s="102"/>
      <c r="D2314" s="102"/>
      <c r="E2314" s="102"/>
      <c r="F2314" s="102"/>
      <c r="G2314" s="102"/>
      <c r="H2314" s="102"/>
      <c r="I2314" s="102"/>
      <c r="J2314" s="102"/>
      <c r="K2314" s="102"/>
      <c r="L2314" s="102"/>
      <c r="M2314" s="102"/>
      <c r="N2314" s="102"/>
      <c r="O2314" s="102"/>
      <c r="P2314" s="102"/>
      <c r="Q2314" s="102"/>
      <c r="R2314" s="102"/>
    </row>
    <row r="2315" spans="1:18" ht="35.1" customHeight="1" x14ac:dyDescent="0.2">
      <c r="A2315" s="99"/>
      <c r="B2315" s="99"/>
      <c r="C2315" s="102"/>
      <c r="D2315" s="102"/>
      <c r="E2315" s="102"/>
      <c r="F2315" s="102"/>
      <c r="G2315" s="102"/>
      <c r="H2315" s="102"/>
      <c r="I2315" s="102"/>
      <c r="J2315" s="102"/>
      <c r="K2315" s="102"/>
      <c r="L2315" s="102"/>
      <c r="M2315" s="102"/>
      <c r="N2315" s="102"/>
      <c r="O2315" s="102"/>
      <c r="P2315" s="102"/>
      <c r="Q2315" s="102"/>
      <c r="R2315" s="102"/>
    </row>
    <row r="2316" spans="1:18" ht="35.1" customHeight="1" x14ac:dyDescent="0.2">
      <c r="A2316" s="99"/>
      <c r="B2316" s="99"/>
      <c r="C2316" s="102"/>
      <c r="D2316" s="102"/>
      <c r="E2316" s="102"/>
      <c r="F2316" s="102"/>
      <c r="G2316" s="102"/>
      <c r="H2316" s="102"/>
      <c r="I2316" s="102"/>
      <c r="J2316" s="102"/>
      <c r="K2316" s="102"/>
      <c r="L2316" s="102"/>
      <c r="M2316" s="102"/>
      <c r="N2316" s="102"/>
      <c r="O2316" s="102"/>
      <c r="P2316" s="102"/>
      <c r="Q2316" s="102"/>
      <c r="R2316" s="102"/>
    </row>
    <row r="2317" spans="1:18" ht="35.1" customHeight="1" x14ac:dyDescent="0.2">
      <c r="A2317" s="99"/>
      <c r="B2317" s="99"/>
      <c r="C2317" s="102"/>
      <c r="D2317" s="102"/>
      <c r="E2317" s="102"/>
      <c r="F2317" s="102"/>
      <c r="G2317" s="102"/>
      <c r="H2317" s="102"/>
      <c r="I2317" s="102"/>
      <c r="J2317" s="102"/>
      <c r="K2317" s="102"/>
      <c r="L2317" s="102"/>
      <c r="M2317" s="102"/>
      <c r="N2317" s="102"/>
      <c r="O2317" s="102"/>
      <c r="P2317" s="102"/>
      <c r="Q2317" s="102"/>
      <c r="R2317" s="102"/>
    </row>
    <row r="2318" spans="1:18" ht="35.1" customHeight="1" x14ac:dyDescent="0.2">
      <c r="A2318" s="99"/>
      <c r="B2318" s="99"/>
      <c r="C2318" s="102"/>
      <c r="D2318" s="102"/>
      <c r="E2318" s="102"/>
      <c r="F2318" s="102"/>
      <c r="G2318" s="102"/>
      <c r="H2318" s="102"/>
      <c r="I2318" s="102"/>
      <c r="J2318" s="102"/>
      <c r="K2318" s="102"/>
      <c r="L2318" s="102"/>
      <c r="M2318" s="102"/>
      <c r="N2318" s="102"/>
      <c r="O2318" s="102"/>
      <c r="P2318" s="102"/>
      <c r="Q2318" s="102"/>
      <c r="R2318" s="102"/>
    </row>
    <row r="2319" spans="1:18" ht="35.1" customHeight="1" x14ac:dyDescent="0.2">
      <c r="A2319" s="99"/>
      <c r="B2319" s="99"/>
      <c r="C2319" s="102"/>
      <c r="D2319" s="102"/>
      <c r="E2319" s="102"/>
      <c r="F2319" s="102"/>
      <c r="G2319" s="102"/>
      <c r="H2319" s="102"/>
      <c r="I2319" s="102"/>
      <c r="J2319" s="102"/>
      <c r="K2319" s="102"/>
      <c r="L2319" s="102"/>
      <c r="M2319" s="102"/>
      <c r="N2319" s="102"/>
      <c r="O2319" s="102"/>
      <c r="P2319" s="102"/>
      <c r="Q2319" s="102"/>
      <c r="R2319" s="102"/>
    </row>
    <row r="2320" spans="1:18" ht="35.1" customHeight="1" x14ac:dyDescent="0.2">
      <c r="A2320" s="99"/>
      <c r="B2320" s="99"/>
      <c r="C2320" s="102"/>
      <c r="D2320" s="102"/>
      <c r="E2320" s="102"/>
      <c r="F2320" s="102"/>
      <c r="G2320" s="102"/>
      <c r="H2320" s="102"/>
      <c r="I2320" s="102"/>
      <c r="J2320" s="102"/>
      <c r="K2320" s="102"/>
      <c r="L2320" s="102"/>
      <c r="M2320" s="102"/>
      <c r="N2320" s="102"/>
      <c r="O2320" s="102"/>
      <c r="P2320" s="102"/>
      <c r="Q2320" s="102"/>
      <c r="R2320" s="102"/>
    </row>
    <row r="2321" spans="1:18" ht="35.1" customHeight="1" x14ac:dyDescent="0.2">
      <c r="A2321" s="99"/>
      <c r="B2321" s="99"/>
      <c r="C2321" s="102"/>
      <c r="D2321" s="102"/>
      <c r="E2321" s="102"/>
      <c r="F2321" s="102"/>
      <c r="G2321" s="102"/>
      <c r="H2321" s="102"/>
      <c r="I2321" s="102"/>
      <c r="J2321" s="102"/>
      <c r="K2321" s="102"/>
      <c r="L2321" s="102"/>
      <c r="M2321" s="102"/>
      <c r="N2321" s="102"/>
      <c r="O2321" s="102"/>
      <c r="P2321" s="102"/>
      <c r="Q2321" s="102"/>
      <c r="R2321" s="102"/>
    </row>
    <row r="2322" spans="1:18" ht="35.1" customHeight="1" x14ac:dyDescent="0.2">
      <c r="A2322" s="99"/>
      <c r="B2322" s="99"/>
      <c r="C2322" s="102"/>
      <c r="D2322" s="102"/>
      <c r="E2322" s="102"/>
      <c r="F2322" s="102"/>
      <c r="G2322" s="102"/>
      <c r="H2322" s="102"/>
      <c r="I2322" s="102"/>
      <c r="J2322" s="102"/>
      <c r="K2322" s="102"/>
      <c r="L2322" s="102"/>
      <c r="M2322" s="102"/>
      <c r="N2322" s="102"/>
      <c r="O2322" s="102"/>
      <c r="P2322" s="102"/>
      <c r="Q2322" s="102"/>
      <c r="R2322" s="102"/>
    </row>
    <row r="2323" spans="1:18" ht="35.1" customHeight="1" x14ac:dyDescent="0.2">
      <c r="A2323" s="99"/>
      <c r="B2323" s="99"/>
      <c r="C2323" s="102"/>
      <c r="D2323" s="102"/>
      <c r="E2323" s="102"/>
      <c r="F2323" s="102"/>
      <c r="G2323" s="102"/>
      <c r="H2323" s="102"/>
      <c r="I2323" s="102"/>
      <c r="J2323" s="102"/>
      <c r="K2323" s="102"/>
      <c r="L2323" s="102"/>
      <c r="M2323" s="102"/>
      <c r="N2323" s="102"/>
      <c r="O2323" s="102"/>
      <c r="P2323" s="102"/>
      <c r="Q2323" s="102"/>
      <c r="R2323" s="102"/>
    </row>
    <row r="2324" spans="1:18" ht="35.1" customHeight="1" x14ac:dyDescent="0.2">
      <c r="A2324" s="99"/>
      <c r="B2324" s="99"/>
      <c r="C2324" s="102"/>
      <c r="D2324" s="102"/>
      <c r="E2324" s="102"/>
      <c r="F2324" s="102"/>
      <c r="G2324" s="102"/>
      <c r="H2324" s="102"/>
      <c r="I2324" s="102"/>
      <c r="J2324" s="102"/>
      <c r="K2324" s="102"/>
      <c r="L2324" s="102"/>
      <c r="M2324" s="102"/>
      <c r="N2324" s="102"/>
      <c r="O2324" s="102"/>
      <c r="P2324" s="102"/>
      <c r="Q2324" s="102"/>
      <c r="R2324" s="102"/>
    </row>
    <row r="2325" spans="1:18" ht="35.1" customHeight="1" x14ac:dyDescent="0.2">
      <c r="A2325" s="99"/>
      <c r="B2325" s="99"/>
      <c r="C2325" s="102"/>
      <c r="D2325" s="102"/>
      <c r="E2325" s="102"/>
      <c r="F2325" s="102"/>
      <c r="G2325" s="102"/>
      <c r="H2325" s="102"/>
      <c r="I2325" s="102"/>
      <c r="J2325" s="102"/>
      <c r="K2325" s="102"/>
      <c r="L2325" s="102"/>
      <c r="M2325" s="102"/>
      <c r="N2325" s="102"/>
      <c r="O2325" s="102"/>
      <c r="P2325" s="102"/>
      <c r="Q2325" s="102"/>
      <c r="R2325" s="102"/>
    </row>
    <row r="2326" spans="1:18" ht="35.1" customHeight="1" x14ac:dyDescent="0.2">
      <c r="A2326" s="99"/>
      <c r="B2326" s="99"/>
      <c r="C2326" s="102"/>
      <c r="D2326" s="102"/>
      <c r="E2326" s="102"/>
      <c r="F2326" s="102"/>
      <c r="G2326" s="102"/>
      <c r="H2326" s="102"/>
      <c r="I2326" s="102"/>
      <c r="J2326" s="102"/>
      <c r="K2326" s="102"/>
      <c r="L2326" s="102"/>
      <c r="M2326" s="102"/>
      <c r="N2326" s="102"/>
      <c r="O2326" s="102"/>
      <c r="P2326" s="102"/>
      <c r="Q2326" s="102"/>
      <c r="R2326" s="102"/>
    </row>
    <row r="2327" spans="1:18" ht="35.1" customHeight="1" x14ac:dyDescent="0.2">
      <c r="A2327" s="99"/>
      <c r="B2327" s="99"/>
      <c r="C2327" s="102"/>
      <c r="D2327" s="102"/>
      <c r="E2327" s="102"/>
      <c r="F2327" s="102"/>
      <c r="G2327" s="102"/>
      <c r="H2327" s="102"/>
      <c r="I2327" s="102"/>
      <c r="J2327" s="102"/>
      <c r="K2327" s="102"/>
      <c r="L2327" s="102"/>
      <c r="M2327" s="102"/>
      <c r="N2327" s="102"/>
      <c r="O2327" s="102"/>
      <c r="P2327" s="102"/>
      <c r="Q2327" s="102"/>
      <c r="R2327" s="102"/>
    </row>
    <row r="2328" spans="1:18" ht="35.1" customHeight="1" x14ac:dyDescent="0.2">
      <c r="A2328" s="99"/>
      <c r="B2328" s="99"/>
      <c r="C2328" s="102"/>
      <c r="D2328" s="102"/>
      <c r="E2328" s="102"/>
      <c r="F2328" s="102"/>
      <c r="G2328" s="102"/>
      <c r="H2328" s="102"/>
      <c r="I2328" s="102"/>
      <c r="J2328" s="102"/>
      <c r="K2328" s="102"/>
      <c r="L2328" s="102"/>
      <c r="M2328" s="102"/>
      <c r="N2328" s="102"/>
      <c r="O2328" s="102"/>
      <c r="P2328" s="102"/>
      <c r="Q2328" s="102"/>
      <c r="R2328" s="102"/>
    </row>
    <row r="2329" spans="1:18" ht="35.1" customHeight="1" x14ac:dyDescent="0.2">
      <c r="A2329" s="99"/>
      <c r="B2329" s="99"/>
      <c r="C2329" s="102"/>
      <c r="D2329" s="102"/>
      <c r="E2329" s="102"/>
      <c r="F2329" s="102"/>
      <c r="G2329" s="102"/>
      <c r="H2329" s="102"/>
      <c r="I2329" s="102"/>
      <c r="J2329" s="102"/>
      <c r="K2329" s="102"/>
      <c r="L2329" s="102"/>
      <c r="M2329" s="102"/>
      <c r="N2329" s="102"/>
      <c r="O2329" s="102"/>
      <c r="P2329" s="102"/>
      <c r="Q2329" s="102"/>
      <c r="R2329" s="102"/>
    </row>
    <row r="2330" spans="1:18" ht="35.1" customHeight="1" x14ac:dyDescent="0.2">
      <c r="A2330" s="99"/>
      <c r="B2330" s="99"/>
      <c r="C2330" s="102"/>
      <c r="D2330" s="102"/>
      <c r="E2330" s="102"/>
      <c r="F2330" s="102"/>
      <c r="G2330" s="102"/>
      <c r="H2330" s="102"/>
      <c r="I2330" s="102"/>
      <c r="J2330" s="102"/>
      <c r="K2330" s="102"/>
      <c r="L2330" s="102"/>
      <c r="M2330" s="102"/>
      <c r="N2330" s="102"/>
      <c r="O2330" s="102"/>
      <c r="P2330" s="102"/>
      <c r="Q2330" s="102"/>
      <c r="R2330" s="102"/>
    </row>
    <row r="2331" spans="1:18" ht="35.1" customHeight="1" x14ac:dyDescent="0.2">
      <c r="A2331" s="99"/>
      <c r="B2331" s="99"/>
      <c r="C2331" s="102"/>
      <c r="D2331" s="102"/>
      <c r="E2331" s="102"/>
      <c r="F2331" s="102"/>
      <c r="G2331" s="102"/>
      <c r="H2331" s="102"/>
      <c r="I2331" s="102"/>
      <c r="J2331" s="102"/>
      <c r="K2331" s="102"/>
      <c r="L2331" s="102"/>
      <c r="M2331" s="102"/>
      <c r="N2331" s="102"/>
      <c r="O2331" s="102"/>
      <c r="P2331" s="102"/>
      <c r="Q2331" s="102"/>
      <c r="R2331" s="102"/>
    </row>
    <row r="2332" spans="1:18" ht="35.1" customHeight="1" x14ac:dyDescent="0.2">
      <c r="A2332" s="99"/>
      <c r="B2332" s="99"/>
      <c r="C2332" s="102"/>
      <c r="D2332" s="102"/>
      <c r="E2332" s="102"/>
      <c r="F2332" s="102"/>
      <c r="G2332" s="102"/>
      <c r="H2332" s="102"/>
      <c r="I2332" s="102"/>
      <c r="J2332" s="102"/>
      <c r="K2332" s="102"/>
      <c r="L2332" s="102"/>
      <c r="M2332" s="102"/>
      <c r="N2332" s="102"/>
      <c r="O2332" s="102"/>
      <c r="P2332" s="102"/>
      <c r="Q2332" s="102"/>
      <c r="R2332" s="102"/>
    </row>
    <row r="2333" spans="1:18" ht="35.1" customHeight="1" x14ac:dyDescent="0.2">
      <c r="A2333" s="99"/>
      <c r="B2333" s="99"/>
      <c r="C2333" s="102"/>
      <c r="D2333" s="102"/>
      <c r="E2333" s="102"/>
      <c r="F2333" s="102"/>
      <c r="G2333" s="102"/>
      <c r="H2333" s="102"/>
      <c r="I2333" s="102"/>
      <c r="J2333" s="102"/>
      <c r="K2333" s="102"/>
      <c r="L2333" s="102"/>
      <c r="M2333" s="102"/>
      <c r="N2333" s="102"/>
      <c r="O2333" s="102"/>
      <c r="P2333" s="102"/>
      <c r="Q2333" s="102"/>
      <c r="R2333" s="102"/>
    </row>
    <row r="2334" spans="1:18" ht="35.1" customHeight="1" x14ac:dyDescent="0.2">
      <c r="A2334" s="99"/>
      <c r="B2334" s="99"/>
      <c r="C2334" s="102"/>
      <c r="D2334" s="102"/>
      <c r="E2334" s="102"/>
      <c r="F2334" s="102"/>
      <c r="G2334" s="102"/>
      <c r="H2334" s="102"/>
      <c r="I2334" s="102"/>
      <c r="J2334" s="102"/>
      <c r="K2334" s="102"/>
      <c r="L2334" s="102"/>
      <c r="M2334" s="102"/>
      <c r="N2334" s="102"/>
      <c r="O2334" s="102"/>
      <c r="P2334" s="102"/>
      <c r="Q2334" s="102"/>
      <c r="R2334" s="102"/>
    </row>
    <row r="2335" spans="1:18" ht="35.1" customHeight="1" x14ac:dyDescent="0.2">
      <c r="A2335" s="99"/>
      <c r="B2335" s="99"/>
      <c r="C2335" s="102"/>
      <c r="D2335" s="102"/>
      <c r="E2335" s="102"/>
      <c r="F2335" s="102"/>
      <c r="G2335" s="102"/>
      <c r="H2335" s="102"/>
      <c r="I2335" s="102"/>
      <c r="J2335" s="102"/>
      <c r="K2335" s="102"/>
      <c r="L2335" s="102"/>
      <c r="M2335" s="102"/>
      <c r="N2335" s="102"/>
      <c r="O2335" s="102"/>
      <c r="P2335" s="102"/>
      <c r="Q2335" s="102"/>
      <c r="R2335" s="102"/>
    </row>
    <row r="2336" spans="1:18" ht="35.1" customHeight="1" x14ac:dyDescent="0.2">
      <c r="A2336" s="99"/>
      <c r="B2336" s="99"/>
      <c r="C2336" s="102"/>
      <c r="D2336" s="102"/>
      <c r="E2336" s="102"/>
      <c r="F2336" s="102"/>
      <c r="G2336" s="102"/>
      <c r="H2336" s="102"/>
      <c r="I2336" s="102"/>
      <c r="J2336" s="102"/>
      <c r="K2336" s="102"/>
      <c r="L2336" s="102"/>
      <c r="M2336" s="102"/>
      <c r="N2336" s="102"/>
      <c r="O2336" s="102"/>
      <c r="P2336" s="102"/>
      <c r="Q2336" s="102"/>
      <c r="R2336" s="102"/>
    </row>
    <row r="2337" spans="1:18" ht="35.1" customHeight="1" x14ac:dyDescent="0.2">
      <c r="A2337" s="99"/>
      <c r="B2337" s="99"/>
      <c r="C2337" s="102"/>
      <c r="D2337" s="102"/>
      <c r="E2337" s="102"/>
      <c r="F2337" s="102"/>
      <c r="G2337" s="102"/>
      <c r="H2337" s="102"/>
      <c r="I2337" s="102"/>
      <c r="J2337" s="102"/>
      <c r="K2337" s="102"/>
      <c r="L2337" s="102"/>
      <c r="M2337" s="102"/>
      <c r="N2337" s="102"/>
      <c r="O2337" s="102"/>
      <c r="P2337" s="102"/>
      <c r="Q2337" s="102"/>
      <c r="R2337" s="102"/>
    </row>
    <row r="2338" spans="1:18" ht="35.1" customHeight="1" x14ac:dyDescent="0.2">
      <c r="A2338" s="99"/>
      <c r="B2338" s="99"/>
      <c r="C2338" s="102"/>
      <c r="D2338" s="102"/>
      <c r="E2338" s="102"/>
      <c r="F2338" s="102"/>
      <c r="G2338" s="102"/>
      <c r="H2338" s="102"/>
      <c r="I2338" s="102"/>
      <c r="J2338" s="102"/>
      <c r="K2338" s="102"/>
      <c r="L2338" s="102"/>
      <c r="M2338" s="102"/>
      <c r="N2338" s="102"/>
      <c r="O2338" s="102"/>
      <c r="P2338" s="102"/>
      <c r="Q2338" s="102"/>
      <c r="R2338" s="102"/>
    </row>
    <row r="2339" spans="1:18" ht="35.1" customHeight="1" x14ac:dyDescent="0.2">
      <c r="A2339" s="99"/>
      <c r="B2339" s="99"/>
      <c r="C2339" s="102"/>
      <c r="D2339" s="102"/>
      <c r="E2339" s="102"/>
      <c r="F2339" s="102"/>
      <c r="G2339" s="102"/>
      <c r="H2339" s="102"/>
      <c r="I2339" s="102"/>
      <c r="J2339" s="102"/>
      <c r="K2339" s="102"/>
      <c r="L2339" s="102"/>
      <c r="M2339" s="102"/>
      <c r="N2339" s="102"/>
      <c r="O2339" s="102"/>
      <c r="P2339" s="102"/>
      <c r="Q2339" s="102"/>
      <c r="R2339" s="102"/>
    </row>
    <row r="2340" spans="1:18" ht="35.1" customHeight="1" x14ac:dyDescent="0.2">
      <c r="A2340" s="99"/>
      <c r="B2340" s="99"/>
      <c r="C2340" s="102"/>
      <c r="D2340" s="102"/>
      <c r="E2340" s="102"/>
      <c r="F2340" s="102"/>
      <c r="G2340" s="102"/>
      <c r="H2340" s="102"/>
      <c r="I2340" s="102"/>
      <c r="J2340" s="102"/>
      <c r="K2340" s="102"/>
      <c r="L2340" s="102"/>
      <c r="M2340" s="102"/>
      <c r="N2340" s="102"/>
      <c r="O2340" s="102"/>
      <c r="P2340" s="102"/>
      <c r="Q2340" s="102"/>
      <c r="R2340" s="102"/>
    </row>
    <row r="2341" spans="1:18" ht="35.1" customHeight="1" x14ac:dyDescent="0.2">
      <c r="A2341" s="99"/>
      <c r="B2341" s="99"/>
      <c r="C2341" s="102"/>
      <c r="D2341" s="102"/>
      <c r="E2341" s="102"/>
      <c r="F2341" s="102"/>
      <c r="G2341" s="102"/>
      <c r="H2341" s="102"/>
      <c r="I2341" s="102"/>
      <c r="J2341" s="102"/>
      <c r="K2341" s="102"/>
      <c r="L2341" s="102"/>
      <c r="M2341" s="102"/>
      <c r="N2341" s="102"/>
      <c r="O2341" s="102"/>
      <c r="P2341" s="102"/>
      <c r="Q2341" s="102"/>
      <c r="R2341" s="102"/>
    </row>
    <row r="2342" spans="1:18" ht="35.1" customHeight="1" x14ac:dyDescent="0.2">
      <c r="A2342" s="99"/>
      <c r="B2342" s="99"/>
      <c r="C2342" s="102"/>
      <c r="D2342" s="102"/>
      <c r="E2342" s="102"/>
      <c r="F2342" s="102"/>
      <c r="G2342" s="102"/>
      <c r="H2342" s="102"/>
      <c r="I2342" s="102"/>
      <c r="J2342" s="102"/>
      <c r="K2342" s="102"/>
      <c r="L2342" s="102"/>
      <c r="M2342" s="102"/>
      <c r="N2342" s="102"/>
      <c r="O2342" s="102"/>
      <c r="P2342" s="102"/>
      <c r="Q2342" s="102"/>
      <c r="R2342" s="102"/>
    </row>
    <row r="2343" spans="1:18" ht="35.1" customHeight="1" x14ac:dyDescent="0.2">
      <c r="A2343" s="99"/>
      <c r="B2343" s="99"/>
      <c r="C2343" s="102"/>
      <c r="D2343" s="102"/>
      <c r="E2343" s="102"/>
      <c r="F2343" s="102"/>
      <c r="G2343" s="102"/>
      <c r="H2343" s="102"/>
      <c r="I2343" s="102"/>
      <c r="J2343" s="102"/>
      <c r="K2343" s="102"/>
      <c r="L2343" s="102"/>
      <c r="M2343" s="102"/>
      <c r="N2343" s="102"/>
      <c r="O2343" s="102"/>
      <c r="P2343" s="102"/>
      <c r="Q2343" s="102"/>
      <c r="R2343" s="102"/>
    </row>
    <row r="2344" spans="1:18" ht="35.1" customHeight="1" x14ac:dyDescent="0.2">
      <c r="A2344" s="99"/>
      <c r="B2344" s="99"/>
      <c r="C2344" s="102"/>
      <c r="D2344" s="102"/>
      <c r="E2344" s="102"/>
      <c r="F2344" s="102"/>
      <c r="G2344" s="102"/>
      <c r="H2344" s="102"/>
      <c r="I2344" s="102"/>
      <c r="J2344" s="102"/>
      <c r="K2344" s="102"/>
      <c r="L2344" s="102"/>
      <c r="M2344" s="102"/>
      <c r="N2344" s="102"/>
      <c r="O2344" s="102"/>
      <c r="P2344" s="102"/>
      <c r="Q2344" s="102"/>
      <c r="R2344" s="102"/>
    </row>
    <row r="2345" spans="1:18" ht="35.1" customHeight="1" x14ac:dyDescent="0.2">
      <c r="A2345" s="99"/>
      <c r="B2345" s="99"/>
      <c r="C2345" s="102"/>
      <c r="D2345" s="102"/>
      <c r="E2345" s="102"/>
      <c r="F2345" s="102"/>
      <c r="G2345" s="102"/>
      <c r="H2345" s="102"/>
      <c r="I2345" s="102"/>
      <c r="J2345" s="102"/>
      <c r="K2345" s="102"/>
      <c r="L2345" s="102"/>
      <c r="M2345" s="102"/>
      <c r="N2345" s="102"/>
      <c r="O2345" s="102"/>
      <c r="P2345" s="102"/>
      <c r="Q2345" s="102"/>
      <c r="R2345" s="102"/>
    </row>
    <row r="2346" spans="1:18" ht="35.1" customHeight="1" x14ac:dyDescent="0.2">
      <c r="A2346" s="99"/>
      <c r="B2346" s="99"/>
      <c r="C2346" s="102"/>
      <c r="D2346" s="102"/>
      <c r="E2346" s="102"/>
      <c r="F2346" s="102"/>
      <c r="G2346" s="102"/>
      <c r="H2346" s="102"/>
      <c r="I2346" s="102"/>
      <c r="J2346" s="102"/>
      <c r="K2346" s="102"/>
      <c r="L2346" s="102"/>
      <c r="M2346" s="102"/>
      <c r="N2346" s="102"/>
      <c r="O2346" s="102"/>
      <c r="P2346" s="102"/>
      <c r="Q2346" s="102"/>
      <c r="R2346" s="102"/>
    </row>
    <row r="2347" spans="1:18" ht="35.1" customHeight="1" x14ac:dyDescent="0.2">
      <c r="A2347" s="99"/>
      <c r="B2347" s="99"/>
      <c r="C2347" s="102"/>
      <c r="D2347" s="102"/>
      <c r="E2347" s="102"/>
      <c r="F2347" s="102"/>
      <c r="G2347" s="102"/>
      <c r="H2347" s="102"/>
      <c r="I2347" s="102"/>
      <c r="J2347" s="102"/>
      <c r="K2347" s="102"/>
      <c r="L2347" s="102"/>
      <c r="M2347" s="102"/>
      <c r="N2347" s="102"/>
      <c r="O2347" s="102"/>
      <c r="P2347" s="102"/>
      <c r="Q2347" s="102"/>
      <c r="R2347" s="102"/>
    </row>
    <row r="2348" spans="1:18" ht="35.1" customHeight="1" x14ac:dyDescent="0.2">
      <c r="A2348" s="99"/>
      <c r="B2348" s="99"/>
      <c r="C2348" s="102"/>
      <c r="D2348" s="102"/>
      <c r="E2348" s="102"/>
      <c r="F2348" s="102"/>
      <c r="G2348" s="102"/>
      <c r="H2348" s="102"/>
      <c r="I2348" s="102"/>
      <c r="J2348" s="102"/>
      <c r="K2348" s="102"/>
      <c r="L2348" s="102"/>
      <c r="M2348" s="102"/>
      <c r="N2348" s="102"/>
      <c r="O2348" s="102"/>
      <c r="P2348" s="102"/>
      <c r="Q2348" s="102"/>
      <c r="R2348" s="102"/>
    </row>
    <row r="2349" spans="1:18" ht="35.1" customHeight="1" x14ac:dyDescent="0.2">
      <c r="A2349" s="99"/>
      <c r="B2349" s="99"/>
      <c r="C2349" s="102"/>
      <c r="D2349" s="102"/>
      <c r="E2349" s="102"/>
      <c r="F2349" s="102"/>
      <c r="G2349" s="102"/>
      <c r="H2349" s="102"/>
      <c r="I2349" s="102"/>
      <c r="J2349" s="102"/>
      <c r="K2349" s="102"/>
      <c r="L2349" s="102"/>
      <c r="M2349" s="102"/>
      <c r="N2349" s="102"/>
      <c r="O2349" s="102"/>
      <c r="P2349" s="102"/>
      <c r="Q2349" s="102"/>
      <c r="R2349" s="102"/>
    </row>
    <row r="2350" spans="1:18" ht="35.1" customHeight="1" x14ac:dyDescent="0.2">
      <c r="A2350" s="99"/>
      <c r="B2350" s="99"/>
      <c r="C2350" s="102"/>
      <c r="D2350" s="102"/>
      <c r="E2350" s="102"/>
      <c r="F2350" s="102"/>
      <c r="G2350" s="102"/>
      <c r="H2350" s="102"/>
      <c r="I2350" s="102"/>
      <c r="J2350" s="102"/>
      <c r="K2350" s="102"/>
      <c r="L2350" s="102"/>
      <c r="M2350" s="102"/>
      <c r="N2350" s="102"/>
      <c r="O2350" s="102"/>
      <c r="P2350" s="102"/>
      <c r="Q2350" s="102"/>
      <c r="R2350" s="102"/>
    </row>
    <row r="2351" spans="1:18" ht="35.1" customHeight="1" x14ac:dyDescent="0.2">
      <c r="A2351" s="99"/>
      <c r="B2351" s="99"/>
      <c r="C2351" s="102"/>
      <c r="D2351" s="102"/>
      <c r="E2351" s="102"/>
      <c r="F2351" s="102"/>
      <c r="G2351" s="102"/>
      <c r="H2351" s="102"/>
      <c r="I2351" s="102"/>
      <c r="J2351" s="102"/>
      <c r="K2351" s="102"/>
      <c r="L2351" s="102"/>
      <c r="M2351" s="102"/>
      <c r="N2351" s="102"/>
      <c r="O2351" s="102"/>
      <c r="P2351" s="102"/>
      <c r="Q2351" s="102"/>
      <c r="R2351" s="102"/>
    </row>
    <row r="2352" spans="1:18" ht="35.1" customHeight="1" x14ac:dyDescent="0.2">
      <c r="A2352" s="99"/>
      <c r="B2352" s="99"/>
      <c r="C2352" s="102"/>
      <c r="D2352" s="102"/>
      <c r="E2352" s="102"/>
      <c r="F2352" s="102"/>
      <c r="G2352" s="102"/>
      <c r="H2352" s="102"/>
      <c r="I2352" s="102"/>
      <c r="J2352" s="102"/>
      <c r="K2352" s="102"/>
      <c r="L2352" s="102"/>
      <c r="M2352" s="102"/>
      <c r="N2352" s="102"/>
      <c r="O2352" s="102"/>
      <c r="P2352" s="102"/>
      <c r="Q2352" s="102"/>
      <c r="R2352" s="102"/>
    </row>
    <row r="2353" spans="1:18" ht="35.1" customHeight="1" x14ac:dyDescent="0.2">
      <c r="A2353" s="99"/>
      <c r="B2353" s="99"/>
      <c r="C2353" s="102"/>
      <c r="D2353" s="102"/>
      <c r="E2353" s="102"/>
      <c r="F2353" s="102"/>
      <c r="G2353" s="102"/>
      <c r="H2353" s="102"/>
      <c r="I2353" s="102"/>
      <c r="J2353" s="102"/>
      <c r="K2353" s="102"/>
      <c r="L2353" s="102"/>
      <c r="M2353" s="102"/>
      <c r="N2353" s="102"/>
      <c r="O2353" s="102"/>
      <c r="P2353" s="102"/>
      <c r="Q2353" s="102"/>
      <c r="R2353" s="102"/>
    </row>
    <row r="2354" spans="1:18" ht="35.1" customHeight="1" x14ac:dyDescent="0.2">
      <c r="A2354" s="99"/>
      <c r="B2354" s="99"/>
      <c r="C2354" s="102"/>
      <c r="D2354" s="102"/>
      <c r="E2354" s="102"/>
      <c r="F2354" s="102"/>
      <c r="G2354" s="102"/>
      <c r="H2354" s="102"/>
      <c r="I2354" s="102"/>
      <c r="J2354" s="102"/>
      <c r="K2354" s="102"/>
      <c r="L2354" s="102"/>
      <c r="M2354" s="102"/>
      <c r="N2354" s="102"/>
      <c r="O2354" s="102"/>
      <c r="P2354" s="102"/>
      <c r="Q2354" s="102"/>
      <c r="R2354" s="102"/>
    </row>
    <row r="2355" spans="1:18" ht="35.1" customHeight="1" x14ac:dyDescent="0.2">
      <c r="A2355" s="99"/>
      <c r="B2355" s="99"/>
      <c r="C2355" s="102"/>
      <c r="D2355" s="102"/>
      <c r="E2355" s="102"/>
      <c r="F2355" s="102"/>
      <c r="G2355" s="102"/>
      <c r="H2355" s="102"/>
      <c r="I2355" s="102"/>
      <c r="J2355" s="102"/>
      <c r="K2355" s="102"/>
      <c r="L2355" s="102"/>
      <c r="M2355" s="102"/>
      <c r="N2355" s="102"/>
      <c r="O2355" s="102"/>
      <c r="P2355" s="102"/>
      <c r="Q2355" s="102"/>
      <c r="R2355" s="102"/>
    </row>
    <row r="2356" spans="1:18" ht="35.1" customHeight="1" x14ac:dyDescent="0.2">
      <c r="A2356" s="99"/>
      <c r="B2356" s="99"/>
      <c r="C2356" s="102"/>
      <c r="D2356" s="102"/>
      <c r="E2356" s="102"/>
      <c r="F2356" s="102"/>
      <c r="G2356" s="102"/>
      <c r="H2356" s="102"/>
      <c r="I2356" s="102"/>
      <c r="J2356" s="102"/>
      <c r="K2356" s="102"/>
      <c r="L2356" s="102"/>
      <c r="M2356" s="102"/>
      <c r="N2356" s="102"/>
      <c r="O2356" s="102"/>
      <c r="P2356" s="102"/>
      <c r="Q2356" s="102"/>
      <c r="R2356" s="102"/>
    </row>
    <row r="2357" spans="1:18" ht="35.1" customHeight="1" x14ac:dyDescent="0.2">
      <c r="A2357" s="99"/>
      <c r="B2357" s="99"/>
      <c r="C2357" s="102"/>
      <c r="D2357" s="102"/>
      <c r="E2357" s="102"/>
      <c r="F2357" s="102"/>
      <c r="G2357" s="102"/>
      <c r="H2357" s="102"/>
      <c r="I2357" s="102"/>
      <c r="J2357" s="102"/>
      <c r="K2357" s="102"/>
      <c r="L2357" s="102"/>
      <c r="M2357" s="102"/>
      <c r="N2357" s="102"/>
      <c r="O2357" s="102"/>
      <c r="P2357" s="102"/>
      <c r="Q2357" s="102"/>
      <c r="R2357" s="102"/>
    </row>
    <row r="2358" spans="1:18" ht="35.1" customHeight="1" x14ac:dyDescent="0.2">
      <c r="A2358" s="99"/>
      <c r="B2358" s="99"/>
      <c r="C2358" s="102"/>
      <c r="D2358" s="102"/>
      <c r="E2358" s="102"/>
      <c r="F2358" s="102"/>
      <c r="G2358" s="102"/>
      <c r="H2358" s="102"/>
      <c r="I2358" s="102"/>
      <c r="J2358" s="102"/>
      <c r="K2358" s="102"/>
      <c r="L2358" s="102"/>
      <c r="M2358" s="102"/>
      <c r="N2358" s="102"/>
      <c r="O2358" s="102"/>
      <c r="P2358" s="102"/>
      <c r="Q2358" s="102"/>
      <c r="R2358" s="102"/>
    </row>
    <row r="2359" spans="1:18" ht="35.1" customHeight="1" x14ac:dyDescent="0.2">
      <c r="A2359" s="99"/>
      <c r="B2359" s="99"/>
      <c r="C2359" s="102"/>
      <c r="D2359" s="102"/>
      <c r="E2359" s="102"/>
      <c r="F2359" s="102"/>
      <c r="G2359" s="102"/>
      <c r="H2359" s="102"/>
      <c r="I2359" s="102"/>
      <c r="J2359" s="102"/>
      <c r="K2359" s="102"/>
      <c r="L2359" s="102"/>
      <c r="M2359" s="102"/>
      <c r="N2359" s="102"/>
      <c r="O2359" s="102"/>
      <c r="P2359" s="102"/>
      <c r="Q2359" s="102"/>
      <c r="R2359" s="102"/>
    </row>
    <row r="2360" spans="1:18" ht="35.1" customHeight="1" x14ac:dyDescent="0.2">
      <c r="A2360" s="99"/>
      <c r="B2360" s="99"/>
      <c r="C2360" s="102"/>
      <c r="D2360" s="102"/>
      <c r="E2360" s="102"/>
      <c r="F2360" s="102"/>
      <c r="G2360" s="102"/>
      <c r="H2360" s="102"/>
      <c r="I2360" s="102"/>
      <c r="J2360" s="102"/>
      <c r="K2360" s="102"/>
      <c r="L2360" s="102"/>
      <c r="M2360" s="102"/>
      <c r="N2360" s="102"/>
      <c r="O2360" s="102"/>
      <c r="P2360" s="102"/>
      <c r="Q2360" s="102"/>
      <c r="R2360" s="102"/>
    </row>
    <row r="2361" spans="1:18" ht="35.1" customHeight="1" x14ac:dyDescent="0.2">
      <c r="A2361" s="99"/>
      <c r="B2361" s="99"/>
      <c r="C2361" s="102"/>
      <c r="D2361" s="102"/>
      <c r="E2361" s="102"/>
      <c r="F2361" s="102"/>
      <c r="G2361" s="102"/>
      <c r="H2361" s="102"/>
      <c r="I2361" s="102"/>
      <c r="J2361" s="102"/>
      <c r="K2361" s="102"/>
      <c r="L2361" s="102"/>
      <c r="M2361" s="102"/>
      <c r="N2361" s="102"/>
      <c r="O2361" s="102"/>
      <c r="P2361" s="102"/>
      <c r="Q2361" s="102"/>
      <c r="R2361" s="102"/>
    </row>
    <row r="2362" spans="1:18" ht="35.1" customHeight="1" x14ac:dyDescent="0.2">
      <c r="A2362" s="99"/>
      <c r="B2362" s="99"/>
      <c r="C2362" s="102"/>
      <c r="D2362" s="102"/>
      <c r="E2362" s="102"/>
      <c r="F2362" s="102"/>
      <c r="G2362" s="102"/>
      <c r="H2362" s="102"/>
      <c r="I2362" s="102"/>
      <c r="J2362" s="102"/>
      <c r="K2362" s="102"/>
      <c r="L2362" s="102"/>
      <c r="M2362" s="102"/>
      <c r="N2362" s="102"/>
      <c r="O2362" s="102"/>
      <c r="P2362" s="102"/>
      <c r="Q2362" s="102"/>
      <c r="R2362" s="102"/>
    </row>
    <row r="2363" spans="1:18" ht="35.1" customHeight="1" x14ac:dyDescent="0.2">
      <c r="A2363" s="99"/>
      <c r="B2363" s="99"/>
      <c r="C2363" s="102"/>
      <c r="D2363" s="102"/>
      <c r="E2363" s="102"/>
      <c r="F2363" s="102"/>
      <c r="G2363" s="102"/>
      <c r="H2363" s="102"/>
      <c r="I2363" s="102"/>
      <c r="J2363" s="102"/>
      <c r="K2363" s="102"/>
      <c r="L2363" s="102"/>
      <c r="M2363" s="102"/>
      <c r="N2363" s="102"/>
      <c r="O2363" s="102"/>
      <c r="P2363" s="102"/>
      <c r="Q2363" s="102"/>
      <c r="R2363" s="102"/>
    </row>
    <row r="2364" spans="1:18" ht="35.1" customHeight="1" x14ac:dyDescent="0.2">
      <c r="A2364" s="99"/>
      <c r="B2364" s="99"/>
      <c r="C2364" s="102"/>
      <c r="D2364" s="102"/>
      <c r="E2364" s="102"/>
      <c r="F2364" s="102"/>
      <c r="G2364" s="102"/>
      <c r="H2364" s="102"/>
      <c r="I2364" s="102"/>
      <c r="J2364" s="102"/>
      <c r="K2364" s="102"/>
      <c r="L2364" s="102"/>
      <c r="M2364" s="102"/>
      <c r="N2364" s="102"/>
      <c r="O2364" s="102"/>
      <c r="P2364" s="102"/>
      <c r="Q2364" s="102"/>
      <c r="R2364" s="102"/>
    </row>
    <row r="2365" spans="1:18" ht="35.1" customHeight="1" x14ac:dyDescent="0.2">
      <c r="A2365" s="99"/>
      <c r="B2365" s="99"/>
      <c r="C2365" s="102"/>
      <c r="D2365" s="102"/>
      <c r="E2365" s="102"/>
      <c r="F2365" s="102"/>
      <c r="G2365" s="102"/>
      <c r="H2365" s="102"/>
      <c r="I2365" s="102"/>
      <c r="J2365" s="102"/>
      <c r="K2365" s="102"/>
      <c r="L2365" s="102"/>
      <c r="M2365" s="102"/>
      <c r="N2365" s="102"/>
      <c r="O2365" s="102"/>
      <c r="P2365" s="102"/>
      <c r="Q2365" s="102"/>
      <c r="R2365" s="102"/>
    </row>
    <row r="2366" spans="1:18" ht="35.1" customHeight="1" x14ac:dyDescent="0.2">
      <c r="A2366" s="99"/>
      <c r="B2366" s="99"/>
      <c r="C2366" s="102"/>
      <c r="D2366" s="102"/>
      <c r="E2366" s="102"/>
      <c r="F2366" s="102"/>
      <c r="G2366" s="102"/>
      <c r="H2366" s="102"/>
      <c r="I2366" s="102"/>
      <c r="J2366" s="102"/>
      <c r="K2366" s="102"/>
      <c r="L2366" s="102"/>
      <c r="M2366" s="102"/>
      <c r="N2366" s="102"/>
      <c r="O2366" s="102"/>
      <c r="P2366" s="102"/>
      <c r="Q2366" s="102"/>
      <c r="R2366" s="102"/>
    </row>
    <row r="2367" spans="1:18" ht="35.1" customHeight="1" x14ac:dyDescent="0.2">
      <c r="A2367" s="99"/>
      <c r="B2367" s="99"/>
      <c r="C2367" s="102"/>
      <c r="D2367" s="102"/>
      <c r="E2367" s="102"/>
      <c r="F2367" s="102"/>
      <c r="G2367" s="102"/>
      <c r="H2367" s="102"/>
      <c r="I2367" s="102"/>
      <c r="J2367" s="102"/>
      <c r="K2367" s="102"/>
      <c r="L2367" s="102"/>
      <c r="M2367" s="102"/>
      <c r="N2367" s="102"/>
      <c r="O2367" s="102"/>
      <c r="P2367" s="102"/>
      <c r="Q2367" s="102"/>
      <c r="R2367" s="102"/>
    </row>
    <row r="2368" spans="1:18" ht="35.1" customHeight="1" x14ac:dyDescent="0.2">
      <c r="A2368" s="99"/>
      <c r="B2368" s="99"/>
      <c r="C2368" s="102"/>
      <c r="D2368" s="102"/>
      <c r="E2368" s="102"/>
      <c r="F2368" s="102"/>
      <c r="G2368" s="102"/>
      <c r="H2368" s="102"/>
      <c r="I2368" s="102"/>
      <c r="J2368" s="102"/>
      <c r="K2368" s="102"/>
      <c r="L2368" s="102"/>
      <c r="M2368" s="102"/>
      <c r="N2368" s="102"/>
      <c r="O2368" s="102"/>
      <c r="P2368" s="102"/>
      <c r="Q2368" s="102"/>
      <c r="R2368" s="102"/>
    </row>
    <row r="2369" spans="1:18" ht="35.1" customHeight="1" x14ac:dyDescent="0.2">
      <c r="A2369" s="99"/>
      <c r="B2369" s="99"/>
      <c r="C2369" s="102"/>
      <c r="D2369" s="102"/>
      <c r="E2369" s="102"/>
      <c r="F2369" s="102"/>
      <c r="G2369" s="102"/>
      <c r="H2369" s="102"/>
      <c r="I2369" s="102"/>
      <c r="J2369" s="102"/>
      <c r="K2369" s="102"/>
      <c r="L2369" s="102"/>
      <c r="M2369" s="102"/>
      <c r="N2369" s="102"/>
      <c r="O2369" s="102"/>
      <c r="P2369" s="102"/>
      <c r="Q2369" s="102"/>
      <c r="R2369" s="102"/>
    </row>
    <row r="2370" spans="1:18" ht="35.1" customHeight="1" x14ac:dyDescent="0.2">
      <c r="A2370" s="99"/>
      <c r="B2370" s="99"/>
      <c r="C2370" s="102"/>
      <c r="D2370" s="102"/>
      <c r="E2370" s="102"/>
      <c r="F2370" s="102"/>
      <c r="G2370" s="102"/>
      <c r="H2370" s="102"/>
      <c r="I2370" s="102"/>
      <c r="J2370" s="102"/>
      <c r="K2370" s="102"/>
      <c r="L2370" s="102"/>
      <c r="M2370" s="102"/>
      <c r="N2370" s="102"/>
      <c r="O2370" s="102"/>
      <c r="P2370" s="102"/>
      <c r="Q2370" s="102"/>
      <c r="R2370" s="102"/>
    </row>
    <row r="2371" spans="1:18" ht="35.1" customHeight="1" x14ac:dyDescent="0.2">
      <c r="A2371" s="99"/>
      <c r="B2371" s="99"/>
      <c r="C2371" s="102"/>
      <c r="D2371" s="102"/>
      <c r="E2371" s="102"/>
      <c r="F2371" s="102"/>
      <c r="G2371" s="102"/>
      <c r="H2371" s="102"/>
      <c r="I2371" s="102"/>
      <c r="J2371" s="102"/>
      <c r="K2371" s="102"/>
      <c r="L2371" s="102"/>
      <c r="M2371" s="102"/>
      <c r="N2371" s="102"/>
      <c r="O2371" s="102"/>
      <c r="P2371" s="102"/>
      <c r="Q2371" s="102"/>
      <c r="R2371" s="102"/>
    </row>
    <row r="2372" spans="1:18" ht="35.1" customHeight="1" x14ac:dyDescent="0.2">
      <c r="A2372" s="99"/>
      <c r="B2372" s="99"/>
      <c r="C2372" s="102"/>
      <c r="D2372" s="102"/>
      <c r="E2372" s="102"/>
      <c r="F2372" s="102"/>
      <c r="G2372" s="102"/>
      <c r="H2372" s="102"/>
      <c r="I2372" s="102"/>
      <c r="J2372" s="102"/>
      <c r="K2372" s="102"/>
      <c r="L2372" s="102"/>
      <c r="M2372" s="102"/>
      <c r="N2372" s="102"/>
      <c r="O2372" s="102"/>
      <c r="P2372" s="102"/>
      <c r="Q2372" s="102"/>
      <c r="R2372" s="102"/>
    </row>
    <row r="2373" spans="1:18" ht="35.1" customHeight="1" x14ac:dyDescent="0.2">
      <c r="A2373" s="99"/>
      <c r="B2373" s="99"/>
      <c r="C2373" s="102"/>
      <c r="D2373" s="102"/>
      <c r="E2373" s="102"/>
      <c r="F2373" s="102"/>
      <c r="G2373" s="102"/>
      <c r="H2373" s="102"/>
      <c r="I2373" s="102"/>
      <c r="J2373" s="102"/>
      <c r="K2373" s="102"/>
      <c r="L2373" s="102"/>
      <c r="M2373" s="102"/>
      <c r="N2373" s="102"/>
      <c r="O2373" s="102"/>
      <c r="P2373" s="102"/>
      <c r="Q2373" s="102"/>
      <c r="R2373" s="102"/>
    </row>
    <row r="2374" spans="1:18" ht="35.1" customHeight="1" x14ac:dyDescent="0.2">
      <c r="A2374" s="99"/>
      <c r="B2374" s="99"/>
      <c r="C2374" s="102"/>
      <c r="D2374" s="102"/>
      <c r="E2374" s="102"/>
      <c r="F2374" s="102"/>
      <c r="G2374" s="102"/>
      <c r="H2374" s="102"/>
      <c r="I2374" s="102"/>
      <c r="J2374" s="102"/>
      <c r="K2374" s="102"/>
      <c r="L2374" s="102"/>
      <c r="M2374" s="102"/>
      <c r="N2374" s="102"/>
      <c r="O2374" s="102"/>
      <c r="P2374" s="102"/>
      <c r="Q2374" s="102"/>
      <c r="R2374" s="102"/>
    </row>
    <row r="2375" spans="1:18" ht="35.1" customHeight="1" x14ac:dyDescent="0.2">
      <c r="A2375" s="99"/>
      <c r="B2375" s="99"/>
      <c r="C2375" s="102"/>
      <c r="D2375" s="102"/>
      <c r="E2375" s="102"/>
      <c r="F2375" s="102"/>
      <c r="G2375" s="102"/>
      <c r="H2375" s="102"/>
      <c r="I2375" s="102"/>
      <c r="J2375" s="102"/>
      <c r="K2375" s="102"/>
      <c r="L2375" s="102"/>
      <c r="M2375" s="102"/>
      <c r="N2375" s="102"/>
      <c r="O2375" s="102"/>
      <c r="P2375" s="102"/>
      <c r="Q2375" s="102"/>
      <c r="R2375" s="102"/>
    </row>
    <row r="2376" spans="1:18" ht="35.1" customHeight="1" x14ac:dyDescent="0.2">
      <c r="A2376" s="99"/>
      <c r="B2376" s="99"/>
      <c r="C2376" s="102"/>
      <c r="D2376" s="102"/>
      <c r="E2376" s="102"/>
      <c r="F2376" s="102"/>
      <c r="G2376" s="102"/>
      <c r="H2376" s="102"/>
      <c r="I2376" s="102"/>
      <c r="J2376" s="102"/>
      <c r="K2376" s="102"/>
      <c r="L2376" s="102"/>
      <c r="M2376" s="102"/>
      <c r="N2376" s="102"/>
      <c r="O2376" s="102"/>
      <c r="P2376" s="102"/>
      <c r="Q2376" s="102"/>
      <c r="R2376" s="102"/>
    </row>
    <row r="2377" spans="1:18" ht="35.1" customHeight="1" x14ac:dyDescent="0.2">
      <c r="A2377" s="99"/>
      <c r="B2377" s="99"/>
      <c r="C2377" s="102"/>
      <c r="D2377" s="102"/>
      <c r="E2377" s="102"/>
      <c r="F2377" s="102"/>
      <c r="G2377" s="102"/>
      <c r="H2377" s="102"/>
      <c r="I2377" s="102"/>
      <c r="J2377" s="102"/>
      <c r="K2377" s="102"/>
      <c r="L2377" s="102"/>
      <c r="M2377" s="102"/>
      <c r="N2377" s="102"/>
      <c r="O2377" s="102"/>
      <c r="P2377" s="102"/>
      <c r="Q2377" s="102"/>
      <c r="R2377" s="102"/>
    </row>
    <row r="2378" spans="1:18" ht="35.1" customHeight="1" x14ac:dyDescent="0.2">
      <c r="A2378" s="99"/>
      <c r="B2378" s="99"/>
      <c r="C2378" s="102"/>
      <c r="D2378" s="102"/>
      <c r="E2378" s="102"/>
      <c r="F2378" s="102"/>
      <c r="G2378" s="102"/>
      <c r="H2378" s="102"/>
      <c r="I2378" s="102"/>
      <c r="J2378" s="102"/>
      <c r="K2378" s="102"/>
      <c r="L2378" s="102"/>
      <c r="M2378" s="102"/>
      <c r="N2378" s="102"/>
      <c r="O2378" s="102"/>
      <c r="P2378" s="102"/>
      <c r="Q2378" s="102"/>
      <c r="R2378" s="102"/>
    </row>
    <row r="2379" spans="1:18" ht="35.1" customHeight="1" x14ac:dyDescent="0.2">
      <c r="A2379" s="99"/>
      <c r="B2379" s="99"/>
      <c r="C2379" s="102"/>
      <c r="D2379" s="102"/>
      <c r="E2379" s="102"/>
      <c r="F2379" s="102"/>
      <c r="G2379" s="102"/>
      <c r="H2379" s="102"/>
      <c r="I2379" s="102"/>
      <c r="J2379" s="102"/>
      <c r="K2379" s="102"/>
      <c r="L2379" s="102"/>
      <c r="M2379" s="102"/>
      <c r="N2379" s="102"/>
      <c r="O2379" s="102"/>
      <c r="P2379" s="102"/>
      <c r="Q2379" s="102"/>
      <c r="R2379" s="102"/>
    </row>
    <row r="2380" spans="1:18" ht="35.1" customHeight="1" x14ac:dyDescent="0.2">
      <c r="A2380" s="99"/>
      <c r="B2380" s="99"/>
      <c r="C2380" s="102"/>
      <c r="D2380" s="102"/>
      <c r="E2380" s="102"/>
      <c r="F2380" s="102"/>
      <c r="G2380" s="102"/>
      <c r="H2380" s="102"/>
      <c r="I2380" s="102"/>
      <c r="J2380" s="102"/>
      <c r="K2380" s="102"/>
      <c r="L2380" s="102"/>
      <c r="M2380" s="102"/>
      <c r="N2380" s="102"/>
      <c r="O2380" s="102"/>
      <c r="P2380" s="102"/>
      <c r="Q2380" s="102"/>
      <c r="R2380" s="102"/>
    </row>
    <row r="2381" spans="1:18" ht="35.1" customHeight="1" x14ac:dyDescent="0.2">
      <c r="A2381" s="99"/>
      <c r="B2381" s="99"/>
      <c r="C2381" s="102"/>
      <c r="D2381" s="102"/>
      <c r="E2381" s="102"/>
      <c r="F2381" s="102"/>
      <c r="G2381" s="102"/>
      <c r="H2381" s="102"/>
      <c r="I2381" s="102"/>
      <c r="J2381" s="102"/>
      <c r="K2381" s="102"/>
      <c r="L2381" s="102"/>
      <c r="M2381" s="102"/>
      <c r="N2381" s="102"/>
      <c r="O2381" s="102"/>
      <c r="P2381" s="102"/>
      <c r="Q2381" s="102"/>
      <c r="R2381" s="102"/>
    </row>
    <row r="2382" spans="1:18" ht="35.1" customHeight="1" x14ac:dyDescent="0.2">
      <c r="A2382" s="99"/>
      <c r="B2382" s="99"/>
      <c r="C2382" s="102"/>
      <c r="D2382" s="102"/>
      <c r="E2382" s="102"/>
      <c r="F2382" s="102"/>
      <c r="G2382" s="102"/>
      <c r="H2382" s="102"/>
      <c r="I2382" s="102"/>
      <c r="J2382" s="102"/>
      <c r="K2382" s="102"/>
      <c r="L2382" s="102"/>
      <c r="M2382" s="102"/>
      <c r="N2382" s="102"/>
      <c r="O2382" s="102"/>
      <c r="P2382" s="102"/>
      <c r="Q2382" s="102"/>
      <c r="R2382" s="102"/>
    </row>
    <row r="2383" spans="1:18" ht="35.1" customHeight="1" x14ac:dyDescent="0.2">
      <c r="A2383" s="99"/>
      <c r="B2383" s="99"/>
      <c r="C2383" s="102"/>
      <c r="D2383" s="102"/>
      <c r="E2383" s="102"/>
      <c r="F2383" s="102"/>
      <c r="G2383" s="102"/>
      <c r="H2383" s="102"/>
      <c r="I2383" s="102"/>
      <c r="J2383" s="102"/>
      <c r="K2383" s="102"/>
      <c r="L2383" s="102"/>
      <c r="M2383" s="102"/>
      <c r="N2383" s="102"/>
      <c r="O2383" s="102"/>
      <c r="P2383" s="102"/>
      <c r="Q2383" s="102"/>
      <c r="R2383" s="102"/>
    </row>
    <row r="2384" spans="1:18" ht="35.1" customHeight="1" x14ac:dyDescent="0.2">
      <c r="A2384" s="99"/>
      <c r="B2384" s="99"/>
      <c r="C2384" s="102"/>
      <c r="D2384" s="102"/>
      <c r="E2384" s="102"/>
      <c r="F2384" s="102"/>
      <c r="G2384" s="102"/>
      <c r="H2384" s="102"/>
      <c r="I2384" s="102"/>
      <c r="J2384" s="102"/>
      <c r="K2384" s="102"/>
      <c r="L2384" s="102"/>
      <c r="M2384" s="102"/>
      <c r="N2384" s="102"/>
      <c r="O2384" s="102"/>
      <c r="P2384" s="102"/>
      <c r="Q2384" s="102"/>
      <c r="R2384" s="102"/>
    </row>
    <row r="2385" spans="1:18" ht="35.1" customHeight="1" x14ac:dyDescent="0.2">
      <c r="A2385" s="99"/>
      <c r="B2385" s="99"/>
      <c r="C2385" s="102"/>
      <c r="D2385" s="102"/>
      <c r="E2385" s="102"/>
      <c r="F2385" s="102"/>
      <c r="G2385" s="102"/>
      <c r="H2385" s="102"/>
      <c r="I2385" s="102"/>
      <c r="J2385" s="102"/>
      <c r="K2385" s="102"/>
      <c r="L2385" s="102"/>
      <c r="M2385" s="102"/>
      <c r="N2385" s="102"/>
      <c r="O2385" s="102"/>
      <c r="P2385" s="102"/>
      <c r="Q2385" s="102"/>
      <c r="R2385" s="102"/>
    </row>
    <row r="2386" spans="1:18" ht="35.1" customHeight="1" x14ac:dyDescent="0.2">
      <c r="A2386" s="99"/>
      <c r="B2386" s="99"/>
      <c r="C2386" s="102"/>
      <c r="D2386" s="102"/>
      <c r="E2386" s="102"/>
      <c r="F2386" s="102"/>
      <c r="G2386" s="102"/>
      <c r="H2386" s="102"/>
      <c r="I2386" s="102"/>
      <c r="J2386" s="102"/>
      <c r="K2386" s="102"/>
      <c r="L2386" s="102"/>
      <c r="M2386" s="102"/>
      <c r="N2386" s="102"/>
      <c r="O2386" s="102"/>
      <c r="P2386" s="102"/>
      <c r="Q2386" s="102"/>
      <c r="R2386" s="102"/>
    </row>
    <row r="2387" spans="1:18" ht="35.1" customHeight="1" x14ac:dyDescent="0.2">
      <c r="A2387" s="99"/>
      <c r="B2387" s="99"/>
      <c r="C2387" s="102"/>
      <c r="D2387" s="102"/>
      <c r="E2387" s="102"/>
      <c r="F2387" s="102"/>
      <c r="G2387" s="102"/>
      <c r="H2387" s="102"/>
      <c r="I2387" s="102"/>
      <c r="J2387" s="102"/>
      <c r="K2387" s="102"/>
      <c r="L2387" s="102"/>
      <c r="M2387" s="102"/>
      <c r="N2387" s="102"/>
      <c r="O2387" s="102"/>
      <c r="P2387" s="102"/>
      <c r="Q2387" s="102"/>
      <c r="R2387" s="102"/>
    </row>
    <row r="2388" spans="1:18" ht="35.1" customHeight="1" x14ac:dyDescent="0.2">
      <c r="A2388" s="99"/>
      <c r="B2388" s="99"/>
      <c r="C2388" s="102"/>
      <c r="D2388" s="102"/>
      <c r="E2388" s="102"/>
      <c r="F2388" s="102"/>
      <c r="G2388" s="102"/>
      <c r="H2388" s="102"/>
      <c r="I2388" s="102"/>
      <c r="J2388" s="102"/>
      <c r="K2388" s="102"/>
      <c r="L2388" s="102"/>
      <c r="M2388" s="102"/>
      <c r="N2388" s="102"/>
      <c r="O2388" s="102"/>
      <c r="P2388" s="102"/>
      <c r="Q2388" s="102"/>
      <c r="R2388" s="102"/>
    </row>
    <row r="2389" spans="1:18" ht="35.1" customHeight="1" x14ac:dyDescent="0.2">
      <c r="A2389" s="99"/>
      <c r="B2389" s="99"/>
      <c r="C2389" s="102"/>
      <c r="D2389" s="102"/>
      <c r="E2389" s="102"/>
      <c r="F2389" s="102"/>
      <c r="G2389" s="102"/>
      <c r="H2389" s="102"/>
      <c r="I2389" s="102"/>
      <c r="J2389" s="102"/>
      <c r="K2389" s="102"/>
      <c r="L2389" s="102"/>
      <c r="M2389" s="102"/>
      <c r="N2389" s="102"/>
      <c r="O2389" s="102"/>
      <c r="P2389" s="102"/>
      <c r="Q2389" s="102"/>
      <c r="R2389" s="102"/>
    </row>
    <row r="2390" spans="1:18" ht="35.1" customHeight="1" x14ac:dyDescent="0.2">
      <c r="A2390" s="99"/>
      <c r="B2390" s="99"/>
      <c r="C2390" s="102"/>
      <c r="D2390" s="102"/>
      <c r="E2390" s="102"/>
      <c r="F2390" s="102"/>
      <c r="G2390" s="102"/>
      <c r="H2390" s="102"/>
      <c r="I2390" s="102"/>
      <c r="J2390" s="102"/>
      <c r="K2390" s="102"/>
      <c r="L2390" s="102"/>
      <c r="M2390" s="102"/>
      <c r="N2390" s="102"/>
      <c r="O2390" s="102"/>
      <c r="P2390" s="102"/>
      <c r="Q2390" s="102"/>
      <c r="R2390" s="102"/>
    </row>
    <row r="2391" spans="1:18" ht="35.1" customHeight="1" x14ac:dyDescent="0.2">
      <c r="A2391" s="99"/>
      <c r="B2391" s="99"/>
      <c r="C2391" s="102"/>
      <c r="D2391" s="102"/>
      <c r="E2391" s="102"/>
      <c r="F2391" s="102"/>
      <c r="G2391" s="102"/>
      <c r="H2391" s="102"/>
      <c r="I2391" s="102"/>
      <c r="J2391" s="102"/>
      <c r="K2391" s="102"/>
      <c r="L2391" s="102"/>
      <c r="M2391" s="102"/>
      <c r="N2391" s="102"/>
      <c r="O2391" s="102"/>
      <c r="P2391" s="102"/>
      <c r="Q2391" s="102"/>
      <c r="R2391" s="102"/>
    </row>
    <row r="2392" spans="1:18" ht="35.1" customHeight="1" x14ac:dyDescent="0.2">
      <c r="A2392" s="99"/>
      <c r="B2392" s="99"/>
      <c r="C2392" s="102"/>
      <c r="D2392" s="102"/>
      <c r="E2392" s="102"/>
      <c r="F2392" s="102"/>
      <c r="G2392" s="102"/>
      <c r="H2392" s="102"/>
      <c r="I2392" s="102"/>
      <c r="J2392" s="102"/>
      <c r="K2392" s="102"/>
      <c r="L2392" s="102"/>
      <c r="M2392" s="102"/>
      <c r="N2392" s="102"/>
      <c r="O2392" s="102"/>
      <c r="P2392" s="102"/>
      <c r="Q2392" s="102"/>
      <c r="R2392" s="102"/>
    </row>
    <row r="2393" spans="1:18" ht="35.1" customHeight="1" x14ac:dyDescent="0.2">
      <c r="A2393" s="99"/>
      <c r="B2393" s="99"/>
      <c r="C2393" s="102"/>
      <c r="D2393" s="102"/>
      <c r="E2393" s="102"/>
      <c r="F2393" s="102"/>
      <c r="G2393" s="102"/>
      <c r="H2393" s="102"/>
      <c r="I2393" s="102"/>
      <c r="J2393" s="102"/>
      <c r="K2393" s="102"/>
      <c r="L2393" s="102"/>
      <c r="M2393" s="102"/>
      <c r="N2393" s="102"/>
      <c r="O2393" s="102"/>
      <c r="P2393" s="102"/>
      <c r="Q2393" s="102"/>
      <c r="R2393" s="102"/>
    </row>
    <row r="2394" spans="1:18" ht="35.1" customHeight="1" x14ac:dyDescent="0.2">
      <c r="A2394" s="99"/>
      <c r="B2394" s="99"/>
      <c r="C2394" s="102"/>
      <c r="D2394" s="102"/>
      <c r="E2394" s="102"/>
      <c r="F2394" s="102"/>
      <c r="G2394" s="102"/>
      <c r="H2394" s="102"/>
      <c r="I2394" s="102"/>
      <c r="J2394" s="102"/>
      <c r="K2394" s="102"/>
      <c r="L2394" s="102"/>
      <c r="M2394" s="102"/>
      <c r="N2394" s="102"/>
      <c r="O2394" s="102"/>
      <c r="P2394" s="102"/>
      <c r="Q2394" s="102"/>
      <c r="R2394" s="102"/>
    </row>
    <row r="2395" spans="1:18" ht="35.1" customHeight="1" x14ac:dyDescent="0.2">
      <c r="A2395" s="99"/>
      <c r="B2395" s="99"/>
      <c r="C2395" s="102"/>
      <c r="D2395" s="102"/>
      <c r="E2395" s="102"/>
      <c r="F2395" s="102"/>
      <c r="G2395" s="102"/>
      <c r="H2395" s="102"/>
      <c r="I2395" s="102"/>
      <c r="J2395" s="102"/>
      <c r="K2395" s="102"/>
      <c r="L2395" s="102"/>
      <c r="M2395" s="102"/>
      <c r="N2395" s="102"/>
      <c r="O2395" s="102"/>
      <c r="P2395" s="102"/>
      <c r="Q2395" s="102"/>
      <c r="R2395" s="102"/>
    </row>
    <row r="2396" spans="1:18" ht="35.1" customHeight="1" x14ac:dyDescent="0.2">
      <c r="A2396" s="99"/>
      <c r="B2396" s="99"/>
      <c r="C2396" s="102"/>
      <c r="D2396" s="102"/>
      <c r="E2396" s="102"/>
      <c r="F2396" s="102"/>
      <c r="G2396" s="102"/>
      <c r="H2396" s="102"/>
      <c r="I2396" s="102"/>
      <c r="J2396" s="102"/>
      <c r="K2396" s="102"/>
      <c r="L2396" s="102"/>
      <c r="M2396" s="102"/>
      <c r="N2396" s="102"/>
      <c r="O2396" s="102"/>
      <c r="P2396" s="102"/>
      <c r="Q2396" s="102"/>
      <c r="R2396" s="102"/>
    </row>
    <row r="2397" spans="1:18" ht="35.1" customHeight="1" x14ac:dyDescent="0.2">
      <c r="A2397" s="99"/>
      <c r="B2397" s="99"/>
      <c r="C2397" s="102"/>
      <c r="D2397" s="102"/>
      <c r="E2397" s="102"/>
      <c r="F2397" s="102"/>
      <c r="G2397" s="102"/>
      <c r="H2397" s="102"/>
      <c r="I2397" s="102"/>
      <c r="J2397" s="102"/>
      <c r="K2397" s="102"/>
      <c r="L2397" s="102"/>
      <c r="M2397" s="102"/>
      <c r="N2397" s="102"/>
      <c r="O2397" s="102"/>
      <c r="P2397" s="102"/>
      <c r="Q2397" s="102"/>
      <c r="R2397" s="102"/>
    </row>
    <row r="2398" spans="1:18" ht="35.1" customHeight="1" x14ac:dyDescent="0.2">
      <c r="A2398" s="99"/>
      <c r="B2398" s="99"/>
      <c r="C2398" s="102"/>
      <c r="D2398" s="102"/>
      <c r="E2398" s="102"/>
      <c r="F2398" s="102"/>
      <c r="G2398" s="102"/>
      <c r="H2398" s="102"/>
      <c r="I2398" s="102"/>
      <c r="J2398" s="102"/>
      <c r="K2398" s="102"/>
      <c r="L2398" s="102"/>
      <c r="M2398" s="102"/>
      <c r="N2398" s="102"/>
      <c r="O2398" s="102"/>
      <c r="P2398" s="102"/>
      <c r="Q2398" s="102"/>
      <c r="R2398" s="102"/>
    </row>
    <row r="2399" spans="1:18" ht="35.1" customHeight="1" x14ac:dyDescent="0.2">
      <c r="A2399" s="99"/>
      <c r="B2399" s="99"/>
      <c r="C2399" s="102"/>
      <c r="D2399" s="102"/>
      <c r="E2399" s="102"/>
      <c r="F2399" s="102"/>
      <c r="G2399" s="102"/>
      <c r="H2399" s="102"/>
      <c r="I2399" s="102"/>
      <c r="J2399" s="102"/>
      <c r="K2399" s="102"/>
      <c r="L2399" s="102"/>
      <c r="M2399" s="102"/>
      <c r="N2399" s="102"/>
      <c r="O2399" s="102"/>
      <c r="P2399" s="102"/>
      <c r="Q2399" s="102"/>
      <c r="R2399" s="102"/>
    </row>
    <row r="2400" spans="1:18" ht="35.1" customHeight="1" x14ac:dyDescent="0.2">
      <c r="A2400" s="99"/>
      <c r="B2400" s="99"/>
      <c r="C2400" s="102"/>
      <c r="D2400" s="102"/>
      <c r="E2400" s="102"/>
      <c r="F2400" s="102"/>
      <c r="G2400" s="102"/>
      <c r="H2400" s="102"/>
      <c r="I2400" s="102"/>
      <c r="J2400" s="102"/>
      <c r="K2400" s="102"/>
      <c r="L2400" s="102"/>
      <c r="M2400" s="102"/>
      <c r="N2400" s="102"/>
      <c r="O2400" s="102"/>
      <c r="P2400" s="102"/>
      <c r="Q2400" s="102"/>
      <c r="R2400" s="102"/>
    </row>
    <row r="2401" spans="1:18" ht="35.1" customHeight="1" x14ac:dyDescent="0.2">
      <c r="A2401" s="99"/>
      <c r="B2401" s="99"/>
      <c r="C2401" s="102"/>
      <c r="D2401" s="102"/>
      <c r="E2401" s="102"/>
      <c r="F2401" s="102"/>
      <c r="G2401" s="102"/>
      <c r="H2401" s="102"/>
      <c r="I2401" s="102"/>
      <c r="J2401" s="102"/>
      <c r="K2401" s="102"/>
      <c r="L2401" s="102"/>
      <c r="M2401" s="102"/>
      <c r="N2401" s="102"/>
      <c r="O2401" s="102"/>
      <c r="P2401" s="102"/>
      <c r="Q2401" s="102"/>
      <c r="R2401" s="102"/>
    </row>
    <row r="2402" spans="1:18" ht="35.1" customHeight="1" x14ac:dyDescent="0.2">
      <c r="A2402" s="99"/>
      <c r="B2402" s="99"/>
      <c r="C2402" s="102"/>
      <c r="D2402" s="102"/>
      <c r="E2402" s="102"/>
      <c r="F2402" s="102"/>
      <c r="G2402" s="102"/>
      <c r="H2402" s="102"/>
      <c r="I2402" s="102"/>
      <c r="J2402" s="102"/>
      <c r="K2402" s="102"/>
      <c r="L2402" s="102"/>
      <c r="M2402" s="102"/>
      <c r="N2402" s="102"/>
      <c r="O2402" s="102"/>
      <c r="P2402" s="102"/>
      <c r="Q2402" s="102"/>
      <c r="R2402" s="102"/>
    </row>
    <row r="2403" spans="1:18" ht="35.1" customHeight="1" x14ac:dyDescent="0.2">
      <c r="A2403" s="99"/>
      <c r="B2403" s="99"/>
      <c r="C2403" s="102"/>
      <c r="D2403" s="102"/>
      <c r="E2403" s="102"/>
      <c r="F2403" s="102"/>
      <c r="G2403" s="102"/>
      <c r="H2403" s="102"/>
      <c r="I2403" s="102"/>
      <c r="J2403" s="102"/>
      <c r="K2403" s="102"/>
      <c r="L2403" s="102"/>
      <c r="M2403" s="102"/>
      <c r="N2403" s="102"/>
      <c r="O2403" s="102"/>
      <c r="P2403" s="102"/>
      <c r="Q2403" s="102"/>
      <c r="R2403" s="102"/>
    </row>
    <row r="2404" spans="1:18" ht="35.1" customHeight="1" x14ac:dyDescent="0.2">
      <c r="A2404" s="99"/>
      <c r="B2404" s="99"/>
      <c r="C2404" s="102"/>
      <c r="D2404" s="102"/>
      <c r="E2404" s="102"/>
      <c r="F2404" s="102"/>
      <c r="G2404" s="102"/>
      <c r="H2404" s="102"/>
      <c r="I2404" s="102"/>
      <c r="J2404" s="102"/>
      <c r="K2404" s="102"/>
      <c r="L2404" s="102"/>
      <c r="M2404" s="102"/>
      <c r="N2404" s="102"/>
      <c r="O2404" s="102"/>
      <c r="P2404" s="102"/>
      <c r="Q2404" s="102"/>
      <c r="R2404" s="102"/>
    </row>
    <row r="2405" spans="1:18" ht="35.1" customHeight="1" x14ac:dyDescent="0.2">
      <c r="A2405" s="99"/>
      <c r="B2405" s="99"/>
      <c r="C2405" s="102"/>
      <c r="D2405" s="102"/>
      <c r="E2405" s="102"/>
      <c r="F2405" s="102"/>
      <c r="G2405" s="102"/>
      <c r="H2405" s="102"/>
      <c r="I2405" s="102"/>
      <c r="J2405" s="102"/>
      <c r="K2405" s="102"/>
      <c r="L2405" s="102"/>
      <c r="M2405" s="102"/>
      <c r="N2405" s="102"/>
      <c r="O2405" s="102"/>
      <c r="P2405" s="102"/>
      <c r="Q2405" s="102"/>
      <c r="R2405" s="102"/>
    </row>
    <row r="2406" spans="1:18" ht="35.1" customHeight="1" x14ac:dyDescent="0.2">
      <c r="A2406" s="99"/>
      <c r="B2406" s="99"/>
      <c r="C2406" s="102"/>
      <c r="D2406" s="102"/>
      <c r="E2406" s="102"/>
      <c r="F2406" s="102"/>
      <c r="G2406" s="102"/>
      <c r="H2406" s="102"/>
      <c r="I2406" s="102"/>
      <c r="J2406" s="102"/>
      <c r="K2406" s="102"/>
      <c r="L2406" s="102"/>
      <c r="M2406" s="102"/>
      <c r="N2406" s="102"/>
      <c r="O2406" s="102"/>
      <c r="P2406" s="102"/>
      <c r="Q2406" s="102"/>
      <c r="R2406" s="102"/>
    </row>
    <row r="2407" spans="1:18" ht="35.1" customHeight="1" x14ac:dyDescent="0.2">
      <c r="A2407" s="99"/>
      <c r="B2407" s="99"/>
      <c r="C2407" s="102"/>
      <c r="D2407" s="102"/>
      <c r="E2407" s="102"/>
      <c r="F2407" s="102"/>
      <c r="G2407" s="102"/>
      <c r="H2407" s="102"/>
      <c r="I2407" s="102"/>
      <c r="J2407" s="102"/>
      <c r="K2407" s="102"/>
      <c r="L2407" s="102"/>
      <c r="M2407" s="102"/>
      <c r="N2407" s="102"/>
      <c r="O2407" s="102"/>
      <c r="P2407" s="102"/>
      <c r="Q2407" s="102"/>
      <c r="R2407" s="102"/>
    </row>
    <row r="2408" spans="1:18" ht="35.1" customHeight="1" x14ac:dyDescent="0.2">
      <c r="A2408" s="99"/>
      <c r="B2408" s="99"/>
      <c r="C2408" s="102"/>
      <c r="D2408" s="102"/>
      <c r="E2408" s="102"/>
      <c r="F2408" s="102"/>
      <c r="G2408" s="102"/>
      <c r="H2408" s="102"/>
      <c r="I2408" s="102"/>
      <c r="J2408" s="102"/>
      <c r="K2408" s="102"/>
      <c r="L2408" s="102"/>
      <c r="M2408" s="102"/>
      <c r="N2408" s="102"/>
      <c r="O2408" s="102"/>
      <c r="P2408" s="102"/>
      <c r="Q2408" s="102"/>
      <c r="R2408" s="102"/>
    </row>
    <row r="2409" spans="1:18" ht="35.1" customHeight="1" x14ac:dyDescent="0.2">
      <c r="A2409" s="99"/>
      <c r="B2409" s="99"/>
      <c r="C2409" s="102"/>
      <c r="D2409" s="102"/>
      <c r="E2409" s="102"/>
      <c r="F2409" s="102"/>
      <c r="G2409" s="102"/>
      <c r="H2409" s="102"/>
      <c r="I2409" s="102"/>
      <c r="J2409" s="102"/>
      <c r="K2409" s="102"/>
      <c r="L2409" s="102"/>
      <c r="M2409" s="102"/>
      <c r="N2409" s="102"/>
      <c r="O2409" s="102"/>
      <c r="P2409" s="102"/>
      <c r="Q2409" s="102"/>
      <c r="R2409" s="102"/>
    </row>
    <row r="2410" spans="1:18" ht="35.1" customHeight="1" x14ac:dyDescent="0.2">
      <c r="A2410" s="99"/>
      <c r="B2410" s="99"/>
      <c r="C2410" s="102"/>
      <c r="D2410" s="102"/>
      <c r="E2410" s="102"/>
      <c r="F2410" s="102"/>
      <c r="G2410" s="102"/>
      <c r="H2410" s="102"/>
      <c r="I2410" s="102"/>
      <c r="J2410" s="102"/>
      <c r="K2410" s="102"/>
      <c r="L2410" s="102"/>
      <c r="M2410" s="102"/>
      <c r="N2410" s="102"/>
      <c r="O2410" s="102"/>
      <c r="P2410" s="102"/>
      <c r="Q2410" s="102"/>
      <c r="R2410" s="102"/>
    </row>
    <row r="2411" spans="1:18" ht="35.1" customHeight="1" x14ac:dyDescent="0.2">
      <c r="A2411" s="99"/>
      <c r="B2411" s="99"/>
      <c r="C2411" s="102"/>
      <c r="D2411" s="102"/>
      <c r="E2411" s="102"/>
      <c r="F2411" s="102"/>
      <c r="G2411" s="102"/>
      <c r="H2411" s="102"/>
      <c r="I2411" s="102"/>
      <c r="J2411" s="102"/>
      <c r="K2411" s="102"/>
      <c r="L2411" s="102"/>
      <c r="M2411" s="102"/>
      <c r="N2411" s="102"/>
      <c r="O2411" s="102"/>
      <c r="P2411" s="102"/>
      <c r="Q2411" s="102"/>
      <c r="R2411" s="102"/>
    </row>
    <row r="2412" spans="1:18" ht="35.1" customHeight="1" x14ac:dyDescent="0.2">
      <c r="A2412" s="99"/>
      <c r="B2412" s="99"/>
      <c r="C2412" s="102"/>
      <c r="D2412" s="102"/>
      <c r="E2412" s="102"/>
      <c r="F2412" s="102"/>
      <c r="G2412" s="102"/>
      <c r="H2412" s="102"/>
      <c r="I2412" s="102"/>
      <c r="J2412" s="102"/>
      <c r="K2412" s="102"/>
      <c r="L2412" s="102"/>
      <c r="M2412" s="102"/>
      <c r="N2412" s="102"/>
      <c r="O2412" s="102"/>
      <c r="P2412" s="102"/>
      <c r="Q2412" s="102"/>
      <c r="R2412" s="102"/>
    </row>
    <row r="2413" spans="1:18" ht="35.1" customHeight="1" x14ac:dyDescent="0.2">
      <c r="A2413" s="99"/>
      <c r="B2413" s="99"/>
      <c r="C2413" s="102"/>
      <c r="D2413" s="102"/>
      <c r="E2413" s="102"/>
      <c r="F2413" s="102"/>
      <c r="G2413" s="102"/>
      <c r="H2413" s="102"/>
      <c r="I2413" s="102"/>
      <c r="J2413" s="102"/>
      <c r="K2413" s="102"/>
      <c r="L2413" s="102"/>
      <c r="M2413" s="102"/>
      <c r="N2413" s="102"/>
      <c r="O2413" s="102"/>
      <c r="P2413" s="102"/>
      <c r="Q2413" s="102"/>
      <c r="R2413" s="102"/>
    </row>
    <row r="2414" spans="1:18" ht="35.1" customHeight="1" x14ac:dyDescent="0.2">
      <c r="A2414" s="99"/>
      <c r="B2414" s="99"/>
      <c r="C2414" s="102"/>
      <c r="D2414" s="102"/>
      <c r="E2414" s="102"/>
      <c r="F2414" s="102"/>
      <c r="G2414" s="102"/>
      <c r="H2414" s="102"/>
      <c r="I2414" s="102"/>
      <c r="J2414" s="102"/>
      <c r="K2414" s="102"/>
      <c r="L2414" s="102"/>
      <c r="M2414" s="102"/>
      <c r="N2414" s="102"/>
      <c r="O2414" s="102"/>
      <c r="P2414" s="102"/>
      <c r="Q2414" s="102"/>
      <c r="R2414" s="102"/>
    </row>
    <row r="2415" spans="1:18" ht="35.1" customHeight="1" x14ac:dyDescent="0.2">
      <c r="A2415" s="99"/>
      <c r="B2415" s="99"/>
      <c r="C2415" s="102"/>
      <c r="D2415" s="102"/>
      <c r="E2415" s="102"/>
      <c r="F2415" s="102"/>
      <c r="G2415" s="102"/>
      <c r="H2415" s="102"/>
      <c r="I2415" s="102"/>
      <c r="J2415" s="102"/>
      <c r="K2415" s="102"/>
      <c r="L2415" s="102"/>
      <c r="M2415" s="102"/>
      <c r="N2415" s="102"/>
      <c r="O2415" s="102"/>
      <c r="P2415" s="102"/>
      <c r="Q2415" s="102"/>
      <c r="R2415" s="102"/>
    </row>
    <row r="2416" spans="1:18" ht="35.1" customHeight="1" x14ac:dyDescent="0.2">
      <c r="A2416" s="99"/>
      <c r="B2416" s="99"/>
      <c r="C2416" s="102"/>
      <c r="D2416" s="102"/>
      <c r="E2416" s="102"/>
      <c r="F2416" s="102"/>
      <c r="G2416" s="102"/>
      <c r="H2416" s="102"/>
      <c r="I2416" s="102"/>
      <c r="J2416" s="102"/>
      <c r="K2416" s="102"/>
      <c r="L2416" s="102"/>
      <c r="M2416" s="102"/>
      <c r="N2416" s="102"/>
      <c r="O2416" s="102"/>
      <c r="P2416" s="102"/>
      <c r="Q2416" s="102"/>
      <c r="R2416" s="102"/>
    </row>
    <row r="2417" spans="1:18" ht="35.1" customHeight="1" x14ac:dyDescent="0.2">
      <c r="A2417" s="99"/>
      <c r="B2417" s="99"/>
      <c r="C2417" s="102"/>
      <c r="D2417" s="102"/>
      <c r="E2417" s="102"/>
      <c r="F2417" s="102"/>
      <c r="G2417" s="102"/>
      <c r="H2417" s="102"/>
      <c r="I2417" s="102"/>
      <c r="J2417" s="102"/>
      <c r="K2417" s="102"/>
      <c r="L2417" s="102"/>
      <c r="M2417" s="102"/>
      <c r="N2417" s="102"/>
      <c r="O2417" s="102"/>
      <c r="P2417" s="102"/>
      <c r="Q2417" s="102"/>
      <c r="R2417" s="102"/>
    </row>
    <row r="2418" spans="1:18" ht="35.1" customHeight="1" x14ac:dyDescent="0.2">
      <c r="A2418" s="99"/>
      <c r="B2418" s="99"/>
      <c r="C2418" s="102"/>
      <c r="D2418" s="102"/>
      <c r="E2418" s="102"/>
      <c r="F2418" s="102"/>
      <c r="G2418" s="102"/>
      <c r="H2418" s="102"/>
      <c r="I2418" s="102"/>
      <c r="J2418" s="102"/>
      <c r="K2418" s="102"/>
      <c r="L2418" s="102"/>
      <c r="M2418" s="102"/>
      <c r="N2418" s="102"/>
      <c r="O2418" s="102"/>
      <c r="P2418" s="102"/>
      <c r="Q2418" s="102"/>
      <c r="R2418" s="102"/>
    </row>
    <row r="2419" spans="1:18" ht="35.1" customHeight="1" x14ac:dyDescent="0.2">
      <c r="A2419" s="99"/>
      <c r="B2419" s="99"/>
      <c r="C2419" s="102"/>
      <c r="D2419" s="102"/>
      <c r="E2419" s="102"/>
      <c r="F2419" s="102"/>
      <c r="G2419" s="102"/>
      <c r="H2419" s="102"/>
      <c r="I2419" s="102"/>
      <c r="J2419" s="102"/>
      <c r="K2419" s="102"/>
      <c r="L2419" s="102"/>
      <c r="M2419" s="102"/>
      <c r="N2419" s="102"/>
      <c r="O2419" s="102"/>
      <c r="P2419" s="102"/>
      <c r="Q2419" s="102"/>
      <c r="R2419" s="102"/>
    </row>
    <row r="2420" spans="1:18" ht="35.1" customHeight="1" x14ac:dyDescent="0.2">
      <c r="A2420" s="99"/>
      <c r="B2420" s="99"/>
      <c r="C2420" s="102"/>
      <c r="D2420" s="102"/>
      <c r="E2420" s="102"/>
      <c r="F2420" s="102"/>
      <c r="G2420" s="102"/>
      <c r="H2420" s="102"/>
      <c r="I2420" s="102"/>
      <c r="J2420" s="102"/>
      <c r="K2420" s="102"/>
      <c r="L2420" s="102"/>
      <c r="M2420" s="102"/>
      <c r="N2420" s="102"/>
      <c r="O2420" s="102"/>
      <c r="P2420" s="102"/>
      <c r="Q2420" s="102"/>
      <c r="R2420" s="102"/>
    </row>
    <row r="2421" spans="1:18" ht="35.1" customHeight="1" x14ac:dyDescent="0.2">
      <c r="A2421" s="99"/>
      <c r="B2421" s="99"/>
      <c r="C2421" s="102"/>
      <c r="D2421" s="102"/>
      <c r="E2421" s="102"/>
      <c r="F2421" s="102"/>
      <c r="G2421" s="102"/>
      <c r="H2421" s="102"/>
      <c r="I2421" s="102"/>
      <c r="J2421" s="102"/>
      <c r="K2421" s="102"/>
      <c r="L2421" s="102"/>
      <c r="M2421" s="102"/>
      <c r="N2421" s="102"/>
      <c r="O2421" s="102"/>
      <c r="P2421" s="102"/>
      <c r="Q2421" s="102"/>
      <c r="R2421" s="102"/>
    </row>
    <row r="2422" spans="1:18" ht="35.1" customHeight="1" x14ac:dyDescent="0.2">
      <c r="A2422" s="99"/>
      <c r="B2422" s="99"/>
      <c r="C2422" s="102"/>
      <c r="D2422" s="102"/>
      <c r="E2422" s="102"/>
      <c r="F2422" s="102"/>
      <c r="G2422" s="102"/>
      <c r="H2422" s="102"/>
      <c r="I2422" s="102"/>
      <c r="J2422" s="102"/>
      <c r="K2422" s="102"/>
      <c r="L2422" s="102"/>
      <c r="M2422" s="102"/>
      <c r="N2422" s="102"/>
      <c r="O2422" s="102"/>
      <c r="P2422" s="102"/>
      <c r="Q2422" s="102"/>
      <c r="R2422" s="102"/>
    </row>
    <row r="2423" spans="1:18" ht="35.1" customHeight="1" x14ac:dyDescent="0.2">
      <c r="A2423" s="99"/>
      <c r="B2423" s="99"/>
      <c r="C2423" s="102"/>
      <c r="D2423" s="102"/>
      <c r="E2423" s="102"/>
      <c r="F2423" s="102"/>
      <c r="G2423" s="102"/>
      <c r="H2423" s="102"/>
      <c r="I2423" s="102"/>
      <c r="J2423" s="102"/>
      <c r="K2423" s="102"/>
      <c r="L2423" s="102"/>
      <c r="M2423" s="102"/>
      <c r="N2423" s="102"/>
      <c r="O2423" s="102"/>
      <c r="P2423" s="102"/>
      <c r="Q2423" s="102"/>
      <c r="R2423" s="102"/>
    </row>
    <row r="2424" spans="1:18" ht="35.1" customHeight="1" x14ac:dyDescent="0.2">
      <c r="A2424" s="99"/>
      <c r="B2424" s="99"/>
      <c r="C2424" s="102"/>
      <c r="D2424" s="102"/>
      <c r="E2424" s="102"/>
      <c r="F2424" s="102"/>
      <c r="G2424" s="102"/>
      <c r="H2424" s="102"/>
      <c r="I2424" s="102"/>
      <c r="J2424" s="102"/>
      <c r="K2424" s="102"/>
      <c r="L2424" s="102"/>
      <c r="M2424" s="102"/>
      <c r="N2424" s="102"/>
      <c r="O2424" s="102"/>
      <c r="P2424" s="102"/>
      <c r="Q2424" s="102"/>
      <c r="R2424" s="102"/>
    </row>
    <row r="2425" spans="1:18" ht="35.1" customHeight="1" x14ac:dyDescent="0.2">
      <c r="A2425" s="99"/>
      <c r="B2425" s="99"/>
      <c r="C2425" s="102"/>
      <c r="D2425" s="102"/>
      <c r="E2425" s="102"/>
      <c r="F2425" s="102"/>
      <c r="G2425" s="102"/>
      <c r="H2425" s="102"/>
      <c r="I2425" s="102"/>
      <c r="J2425" s="102"/>
      <c r="K2425" s="102"/>
      <c r="L2425" s="102"/>
      <c r="M2425" s="102"/>
      <c r="N2425" s="102"/>
      <c r="O2425" s="102"/>
      <c r="P2425" s="102"/>
      <c r="Q2425" s="102"/>
      <c r="R2425" s="102"/>
    </row>
    <row r="2426" spans="1:18" ht="35.1" customHeight="1" x14ac:dyDescent="0.2">
      <c r="A2426" s="99"/>
      <c r="B2426" s="99"/>
      <c r="C2426" s="102"/>
      <c r="D2426" s="102"/>
      <c r="E2426" s="102"/>
      <c r="F2426" s="102"/>
      <c r="G2426" s="102"/>
      <c r="H2426" s="102"/>
      <c r="I2426" s="102"/>
      <c r="J2426" s="102"/>
      <c r="K2426" s="102"/>
      <c r="L2426" s="102"/>
      <c r="M2426" s="102"/>
      <c r="N2426" s="102"/>
      <c r="O2426" s="102"/>
      <c r="P2426" s="102"/>
      <c r="Q2426" s="102"/>
      <c r="R2426" s="102"/>
    </row>
    <row r="2427" spans="1:18" ht="35.1" customHeight="1" x14ac:dyDescent="0.2">
      <c r="A2427" s="99"/>
      <c r="B2427" s="99"/>
      <c r="C2427" s="102"/>
      <c r="D2427" s="102"/>
      <c r="E2427" s="102"/>
      <c r="F2427" s="102"/>
      <c r="G2427" s="102"/>
      <c r="H2427" s="102"/>
      <c r="I2427" s="102"/>
      <c r="J2427" s="102"/>
      <c r="K2427" s="102"/>
      <c r="L2427" s="102"/>
      <c r="M2427" s="102"/>
      <c r="N2427" s="102"/>
      <c r="O2427" s="102"/>
      <c r="P2427" s="102"/>
      <c r="Q2427" s="102"/>
      <c r="R2427" s="102"/>
    </row>
    <row r="2428" spans="1:18" ht="35.1" customHeight="1" x14ac:dyDescent="0.2">
      <c r="A2428" s="99"/>
      <c r="B2428" s="99"/>
      <c r="C2428" s="102"/>
      <c r="D2428" s="102"/>
      <c r="E2428" s="102"/>
      <c r="F2428" s="102"/>
      <c r="G2428" s="102"/>
      <c r="H2428" s="102"/>
      <c r="I2428" s="102"/>
      <c r="J2428" s="102"/>
      <c r="K2428" s="102"/>
      <c r="L2428" s="102"/>
      <c r="M2428" s="102"/>
      <c r="N2428" s="102"/>
      <c r="O2428" s="102"/>
      <c r="P2428" s="102"/>
      <c r="Q2428" s="102"/>
      <c r="R2428" s="102"/>
    </row>
    <row r="2429" spans="1:18" ht="35.1" customHeight="1" x14ac:dyDescent="0.2">
      <c r="A2429" s="99"/>
      <c r="B2429" s="99"/>
      <c r="C2429" s="102"/>
      <c r="D2429" s="102"/>
      <c r="E2429" s="102"/>
      <c r="F2429" s="102"/>
      <c r="G2429" s="102"/>
      <c r="H2429" s="102"/>
      <c r="I2429" s="102"/>
      <c r="J2429" s="102"/>
      <c r="K2429" s="102"/>
      <c r="L2429" s="102"/>
      <c r="M2429" s="102"/>
      <c r="N2429" s="102"/>
      <c r="O2429" s="102"/>
      <c r="P2429" s="102"/>
      <c r="Q2429" s="102"/>
      <c r="R2429" s="102"/>
    </row>
    <row r="2430" spans="1:18" ht="35.1" customHeight="1" x14ac:dyDescent="0.2">
      <c r="A2430" s="99"/>
      <c r="B2430" s="99"/>
      <c r="C2430" s="102"/>
      <c r="D2430" s="102"/>
      <c r="E2430" s="102"/>
      <c r="F2430" s="102"/>
      <c r="G2430" s="102"/>
      <c r="H2430" s="102"/>
      <c r="I2430" s="102"/>
      <c r="J2430" s="102"/>
      <c r="K2430" s="102"/>
      <c r="L2430" s="102"/>
      <c r="M2430" s="102"/>
      <c r="N2430" s="102"/>
      <c r="O2430" s="102"/>
      <c r="P2430" s="102"/>
      <c r="Q2430" s="102"/>
      <c r="R2430" s="102"/>
    </row>
    <row r="2431" spans="1:18" ht="35.1" customHeight="1" x14ac:dyDescent="0.2">
      <c r="A2431" s="99"/>
      <c r="B2431" s="99"/>
      <c r="C2431" s="102"/>
      <c r="D2431" s="102"/>
      <c r="E2431" s="102"/>
      <c r="F2431" s="102"/>
      <c r="G2431" s="102"/>
      <c r="H2431" s="102"/>
      <c r="I2431" s="102"/>
      <c r="J2431" s="102"/>
      <c r="K2431" s="102"/>
      <c r="L2431" s="102"/>
      <c r="M2431" s="102"/>
      <c r="N2431" s="102"/>
      <c r="O2431" s="102"/>
      <c r="P2431" s="102"/>
      <c r="Q2431" s="102"/>
      <c r="R2431" s="102"/>
    </row>
    <row r="2432" spans="1:18" ht="35.1" customHeight="1" x14ac:dyDescent="0.2">
      <c r="A2432" s="99"/>
      <c r="B2432" s="99"/>
      <c r="C2432" s="102"/>
      <c r="D2432" s="102"/>
      <c r="E2432" s="102"/>
      <c r="F2432" s="102"/>
      <c r="G2432" s="102"/>
      <c r="H2432" s="102"/>
      <c r="I2432" s="102"/>
      <c r="J2432" s="102"/>
      <c r="K2432" s="102"/>
      <c r="L2432" s="102"/>
      <c r="M2432" s="102"/>
      <c r="N2432" s="102"/>
      <c r="O2432" s="102"/>
      <c r="P2432" s="102"/>
      <c r="Q2432" s="102"/>
      <c r="R2432" s="102"/>
    </row>
    <row r="2433" spans="1:18" ht="35.1" customHeight="1" x14ac:dyDescent="0.2">
      <c r="A2433" s="99"/>
      <c r="B2433" s="99"/>
      <c r="C2433" s="102"/>
      <c r="D2433" s="102"/>
      <c r="E2433" s="102"/>
      <c r="F2433" s="102"/>
      <c r="G2433" s="102"/>
      <c r="H2433" s="102"/>
      <c r="I2433" s="102"/>
      <c r="J2433" s="102"/>
      <c r="K2433" s="102"/>
      <c r="L2433" s="102"/>
      <c r="M2433" s="102"/>
      <c r="N2433" s="102"/>
      <c r="O2433" s="102"/>
      <c r="P2433" s="102"/>
      <c r="Q2433" s="102"/>
      <c r="R2433" s="102"/>
    </row>
    <row r="2434" spans="1:18" ht="35.1" customHeight="1" x14ac:dyDescent="0.2">
      <c r="A2434" s="99"/>
      <c r="B2434" s="99"/>
      <c r="C2434" s="102"/>
      <c r="D2434" s="102"/>
      <c r="E2434" s="102"/>
      <c r="F2434" s="102"/>
      <c r="G2434" s="102"/>
      <c r="H2434" s="102"/>
      <c r="I2434" s="102"/>
      <c r="J2434" s="102"/>
      <c r="K2434" s="102"/>
      <c r="L2434" s="102"/>
      <c r="M2434" s="102"/>
      <c r="N2434" s="102"/>
      <c r="O2434" s="102"/>
      <c r="P2434" s="102"/>
      <c r="Q2434" s="102"/>
      <c r="R2434" s="102"/>
    </row>
    <row r="2435" spans="1:18" ht="35.1" customHeight="1" x14ac:dyDescent="0.2">
      <c r="A2435" s="99"/>
      <c r="B2435" s="99"/>
      <c r="C2435" s="102"/>
      <c r="D2435" s="102"/>
      <c r="E2435" s="102"/>
      <c r="F2435" s="102"/>
      <c r="G2435" s="102"/>
      <c r="H2435" s="102"/>
      <c r="I2435" s="102"/>
      <c r="J2435" s="102"/>
      <c r="K2435" s="102"/>
      <c r="L2435" s="102"/>
      <c r="M2435" s="102"/>
      <c r="N2435" s="102"/>
      <c r="O2435" s="102"/>
      <c r="P2435" s="102"/>
      <c r="Q2435" s="102"/>
      <c r="R2435" s="102"/>
    </row>
    <row r="2436" spans="1:18" ht="35.1" customHeight="1" x14ac:dyDescent="0.2">
      <c r="A2436" s="99"/>
      <c r="B2436" s="99"/>
      <c r="C2436" s="102"/>
      <c r="D2436" s="102"/>
      <c r="E2436" s="102"/>
      <c r="F2436" s="102"/>
      <c r="G2436" s="102"/>
      <c r="H2436" s="102"/>
      <c r="I2436" s="102"/>
      <c r="J2436" s="102"/>
      <c r="K2436" s="102"/>
      <c r="L2436" s="102"/>
      <c r="M2436" s="102"/>
      <c r="N2436" s="102"/>
      <c r="O2436" s="102"/>
      <c r="P2436" s="102"/>
      <c r="Q2436" s="102"/>
      <c r="R2436" s="102"/>
    </row>
    <row r="2437" spans="1:18" ht="35.1" customHeight="1" x14ac:dyDescent="0.2">
      <c r="A2437" s="99"/>
      <c r="B2437" s="99"/>
      <c r="C2437" s="102"/>
      <c r="D2437" s="102"/>
      <c r="E2437" s="102"/>
      <c r="F2437" s="102"/>
      <c r="G2437" s="102"/>
      <c r="H2437" s="102"/>
      <c r="I2437" s="102"/>
      <c r="J2437" s="102"/>
      <c r="K2437" s="102"/>
      <c r="L2437" s="102"/>
      <c r="M2437" s="102"/>
      <c r="N2437" s="102"/>
      <c r="O2437" s="102"/>
      <c r="P2437" s="102"/>
      <c r="Q2437" s="102"/>
      <c r="R2437" s="102"/>
    </row>
    <row r="2438" spans="1:18" ht="35.1" customHeight="1" x14ac:dyDescent="0.2">
      <c r="A2438" s="99"/>
      <c r="B2438" s="99"/>
      <c r="C2438" s="102"/>
      <c r="D2438" s="102"/>
      <c r="E2438" s="102"/>
      <c r="F2438" s="102"/>
      <c r="G2438" s="102"/>
      <c r="H2438" s="102"/>
      <c r="I2438" s="102"/>
      <c r="J2438" s="102"/>
      <c r="K2438" s="102"/>
      <c r="L2438" s="102"/>
      <c r="M2438" s="102"/>
      <c r="N2438" s="102"/>
      <c r="O2438" s="102"/>
      <c r="P2438" s="102"/>
      <c r="Q2438" s="102"/>
      <c r="R2438" s="102"/>
    </row>
    <row r="2439" spans="1:18" ht="35.1" customHeight="1" x14ac:dyDescent="0.2">
      <c r="A2439" s="99"/>
      <c r="B2439" s="99"/>
      <c r="C2439" s="102"/>
      <c r="D2439" s="102"/>
      <c r="E2439" s="102"/>
      <c r="F2439" s="102"/>
      <c r="G2439" s="102"/>
      <c r="H2439" s="102"/>
      <c r="I2439" s="102"/>
      <c r="J2439" s="102"/>
      <c r="K2439" s="102"/>
      <c r="L2439" s="102"/>
      <c r="M2439" s="102"/>
      <c r="N2439" s="102"/>
      <c r="O2439" s="102"/>
      <c r="P2439" s="102"/>
      <c r="Q2439" s="102"/>
      <c r="R2439" s="102"/>
    </row>
    <row r="2440" spans="1:18" ht="35.1" customHeight="1" x14ac:dyDescent="0.2">
      <c r="A2440" s="99"/>
      <c r="B2440" s="99"/>
      <c r="C2440" s="102"/>
      <c r="D2440" s="102"/>
      <c r="E2440" s="102"/>
      <c r="F2440" s="102"/>
      <c r="G2440" s="102"/>
      <c r="H2440" s="102"/>
      <c r="I2440" s="102"/>
      <c r="J2440" s="102"/>
      <c r="K2440" s="102"/>
      <c r="L2440" s="102"/>
      <c r="M2440" s="102"/>
      <c r="N2440" s="102"/>
      <c r="O2440" s="102"/>
      <c r="P2440" s="102"/>
      <c r="Q2440" s="102"/>
      <c r="R2440" s="102"/>
    </row>
    <row r="2441" spans="1:18" ht="35.1" customHeight="1" x14ac:dyDescent="0.2">
      <c r="A2441" s="99"/>
      <c r="B2441" s="99"/>
      <c r="C2441" s="102"/>
      <c r="D2441" s="102"/>
      <c r="E2441" s="102"/>
      <c r="F2441" s="102"/>
      <c r="G2441" s="102"/>
      <c r="H2441" s="102"/>
      <c r="I2441" s="102"/>
      <c r="J2441" s="102"/>
      <c r="K2441" s="102"/>
      <c r="L2441" s="102"/>
      <c r="M2441" s="102"/>
      <c r="N2441" s="102"/>
      <c r="O2441" s="102"/>
      <c r="P2441" s="102"/>
      <c r="Q2441" s="102"/>
      <c r="R2441" s="102"/>
    </row>
    <row r="2442" spans="1:18" ht="35.1" customHeight="1" x14ac:dyDescent="0.2">
      <c r="A2442" s="99"/>
      <c r="B2442" s="99"/>
      <c r="C2442" s="102"/>
      <c r="D2442" s="102"/>
      <c r="E2442" s="102"/>
      <c r="F2442" s="102"/>
      <c r="G2442" s="102"/>
      <c r="H2442" s="102"/>
      <c r="I2442" s="102"/>
      <c r="J2442" s="102"/>
      <c r="K2442" s="102"/>
      <c r="L2442" s="102"/>
      <c r="M2442" s="102"/>
      <c r="N2442" s="102"/>
      <c r="O2442" s="102"/>
      <c r="P2442" s="102"/>
      <c r="Q2442" s="102"/>
      <c r="R2442" s="102"/>
    </row>
    <row r="2443" spans="1:18" ht="35.1" customHeight="1" x14ac:dyDescent="0.2">
      <c r="A2443" s="99"/>
      <c r="B2443" s="99"/>
      <c r="C2443" s="102"/>
      <c r="D2443" s="102"/>
      <c r="E2443" s="102"/>
      <c r="F2443" s="102"/>
      <c r="G2443" s="102"/>
      <c r="H2443" s="102"/>
      <c r="I2443" s="102"/>
      <c r="J2443" s="102"/>
      <c r="K2443" s="102"/>
      <c r="L2443" s="102"/>
      <c r="M2443" s="102"/>
      <c r="N2443" s="102"/>
      <c r="O2443" s="102"/>
      <c r="P2443" s="102"/>
      <c r="Q2443" s="102"/>
      <c r="R2443" s="102"/>
    </row>
    <row r="2444" spans="1:18" ht="35.1" customHeight="1" x14ac:dyDescent="0.2">
      <c r="A2444" s="99"/>
      <c r="B2444" s="99"/>
      <c r="C2444" s="102"/>
      <c r="D2444" s="102"/>
      <c r="E2444" s="102"/>
      <c r="F2444" s="102"/>
      <c r="G2444" s="102"/>
      <c r="H2444" s="102"/>
      <c r="I2444" s="102"/>
      <c r="J2444" s="102"/>
      <c r="K2444" s="102"/>
      <c r="L2444" s="102"/>
      <c r="M2444" s="102"/>
      <c r="N2444" s="102"/>
      <c r="O2444" s="102"/>
      <c r="P2444" s="102"/>
      <c r="Q2444" s="102"/>
      <c r="R2444" s="102"/>
    </row>
    <row r="2445" spans="1:18" ht="35.1" customHeight="1" x14ac:dyDescent="0.2">
      <c r="A2445" s="99"/>
      <c r="B2445" s="99"/>
      <c r="C2445" s="102"/>
      <c r="D2445" s="102"/>
      <c r="E2445" s="102"/>
      <c r="F2445" s="102"/>
      <c r="G2445" s="102"/>
      <c r="H2445" s="102"/>
      <c r="I2445" s="102"/>
      <c r="J2445" s="102"/>
      <c r="K2445" s="102"/>
      <c r="L2445" s="102"/>
      <c r="M2445" s="102"/>
      <c r="N2445" s="102"/>
      <c r="O2445" s="102"/>
      <c r="P2445" s="102"/>
      <c r="Q2445" s="102"/>
      <c r="R2445" s="102"/>
    </row>
    <row r="2446" spans="1:18" ht="35.1" customHeight="1" x14ac:dyDescent="0.2">
      <c r="A2446" s="99"/>
      <c r="B2446" s="99"/>
      <c r="C2446" s="102"/>
      <c r="D2446" s="102"/>
      <c r="E2446" s="102"/>
      <c r="F2446" s="102"/>
      <c r="G2446" s="102"/>
      <c r="H2446" s="102"/>
      <c r="I2446" s="102"/>
      <c r="J2446" s="102"/>
      <c r="K2446" s="102"/>
      <c r="L2446" s="102"/>
      <c r="M2446" s="102"/>
      <c r="N2446" s="102"/>
      <c r="O2446" s="102"/>
      <c r="P2446" s="102"/>
      <c r="Q2446" s="102"/>
      <c r="R2446" s="102"/>
    </row>
    <row r="2447" spans="1:18" ht="35.1" customHeight="1" x14ac:dyDescent="0.2">
      <c r="A2447" s="99"/>
      <c r="B2447" s="99"/>
      <c r="C2447" s="102"/>
      <c r="D2447" s="102"/>
      <c r="E2447" s="102"/>
      <c r="F2447" s="102"/>
      <c r="G2447" s="102"/>
      <c r="H2447" s="102"/>
      <c r="I2447" s="102"/>
      <c r="J2447" s="102"/>
      <c r="K2447" s="102"/>
      <c r="L2447" s="102"/>
      <c r="M2447" s="102"/>
      <c r="N2447" s="102"/>
      <c r="O2447" s="102"/>
      <c r="P2447" s="102"/>
      <c r="Q2447" s="102"/>
      <c r="R2447" s="102"/>
    </row>
    <row r="2448" spans="1:18" ht="35.1" customHeight="1" x14ac:dyDescent="0.2">
      <c r="A2448" s="99"/>
      <c r="B2448" s="99"/>
      <c r="C2448" s="102"/>
      <c r="D2448" s="102"/>
      <c r="E2448" s="102"/>
      <c r="F2448" s="102"/>
      <c r="G2448" s="102"/>
      <c r="H2448" s="102"/>
      <c r="I2448" s="102"/>
      <c r="J2448" s="102"/>
      <c r="K2448" s="102"/>
      <c r="L2448" s="102"/>
      <c r="M2448" s="102"/>
      <c r="N2448" s="102"/>
      <c r="O2448" s="102"/>
      <c r="P2448" s="102"/>
      <c r="Q2448" s="102"/>
      <c r="R2448" s="102"/>
    </row>
    <row r="2449" spans="1:18" ht="35.1" customHeight="1" x14ac:dyDescent="0.2">
      <c r="A2449" s="99"/>
      <c r="B2449" s="99"/>
      <c r="C2449" s="102"/>
      <c r="D2449" s="102"/>
      <c r="E2449" s="102"/>
      <c r="F2449" s="102"/>
      <c r="G2449" s="102"/>
      <c r="H2449" s="102"/>
      <c r="I2449" s="102"/>
      <c r="J2449" s="102"/>
      <c r="K2449" s="102"/>
      <c r="L2449" s="102"/>
      <c r="M2449" s="102"/>
      <c r="N2449" s="102"/>
      <c r="O2449" s="102"/>
      <c r="P2449" s="102"/>
      <c r="Q2449" s="102"/>
      <c r="R2449" s="102"/>
    </row>
    <row r="2450" spans="1:18" ht="35.1" customHeight="1" x14ac:dyDescent="0.2">
      <c r="A2450" s="99"/>
      <c r="B2450" s="99"/>
      <c r="C2450" s="102"/>
      <c r="D2450" s="102"/>
      <c r="E2450" s="102"/>
      <c r="F2450" s="102"/>
      <c r="G2450" s="102"/>
      <c r="H2450" s="102"/>
      <c r="I2450" s="102"/>
      <c r="J2450" s="102"/>
      <c r="K2450" s="102"/>
      <c r="L2450" s="102"/>
      <c r="M2450" s="102"/>
      <c r="N2450" s="102"/>
      <c r="O2450" s="102"/>
      <c r="P2450" s="102"/>
      <c r="Q2450" s="102"/>
      <c r="R2450" s="102"/>
    </row>
    <row r="2451" spans="1:18" ht="35.1" customHeight="1" x14ac:dyDescent="0.2">
      <c r="A2451" s="99"/>
      <c r="B2451" s="99"/>
      <c r="C2451" s="102"/>
      <c r="D2451" s="102"/>
      <c r="E2451" s="102"/>
      <c r="F2451" s="102"/>
      <c r="G2451" s="102"/>
      <c r="H2451" s="102"/>
      <c r="I2451" s="102"/>
      <c r="J2451" s="102"/>
      <c r="K2451" s="102"/>
      <c r="L2451" s="102"/>
      <c r="M2451" s="102"/>
      <c r="N2451" s="102"/>
      <c r="O2451" s="102"/>
      <c r="P2451" s="102"/>
      <c r="Q2451" s="102"/>
      <c r="R2451" s="102"/>
    </row>
    <row r="2452" spans="1:18" ht="35.1" customHeight="1" x14ac:dyDescent="0.2">
      <c r="A2452" s="99"/>
      <c r="B2452" s="99"/>
      <c r="C2452" s="102"/>
      <c r="D2452" s="102"/>
      <c r="E2452" s="102"/>
      <c r="F2452" s="102"/>
      <c r="G2452" s="102"/>
      <c r="H2452" s="102"/>
      <c r="I2452" s="102"/>
      <c r="J2452" s="102"/>
      <c r="K2452" s="102"/>
      <c r="L2452" s="102"/>
      <c r="M2452" s="102"/>
      <c r="N2452" s="102"/>
      <c r="O2452" s="102"/>
      <c r="P2452" s="102"/>
      <c r="Q2452" s="102"/>
      <c r="R2452" s="102"/>
    </row>
    <row r="2453" spans="1:18" ht="35.1" customHeight="1" x14ac:dyDescent="0.2">
      <c r="A2453" s="99"/>
      <c r="B2453" s="99"/>
      <c r="C2453" s="102"/>
      <c r="D2453" s="102"/>
      <c r="E2453" s="102"/>
      <c r="F2453" s="102"/>
      <c r="G2453" s="102"/>
      <c r="H2453" s="102"/>
      <c r="I2453" s="102"/>
      <c r="J2453" s="102"/>
      <c r="K2453" s="102"/>
      <c r="L2453" s="102"/>
      <c r="M2453" s="102"/>
      <c r="N2453" s="102"/>
      <c r="O2453" s="102"/>
      <c r="P2453" s="102"/>
      <c r="Q2453" s="102"/>
      <c r="R2453" s="102"/>
    </row>
    <row r="2454" spans="1:18" ht="35.1" customHeight="1" x14ac:dyDescent="0.2">
      <c r="A2454" s="99"/>
      <c r="B2454" s="99"/>
      <c r="C2454" s="102"/>
      <c r="D2454" s="102"/>
      <c r="E2454" s="102"/>
      <c r="F2454" s="102"/>
      <c r="G2454" s="102"/>
      <c r="H2454" s="102"/>
      <c r="I2454" s="102"/>
      <c r="J2454" s="102"/>
      <c r="K2454" s="102"/>
      <c r="L2454" s="102"/>
      <c r="M2454" s="102"/>
      <c r="N2454" s="102"/>
      <c r="O2454" s="102"/>
      <c r="P2454" s="102"/>
      <c r="Q2454" s="102"/>
      <c r="R2454" s="102"/>
    </row>
    <row r="2455" spans="1:18" ht="35.1" customHeight="1" x14ac:dyDescent="0.2">
      <c r="A2455" s="99"/>
      <c r="B2455" s="99"/>
      <c r="C2455" s="102"/>
      <c r="D2455" s="102"/>
      <c r="E2455" s="102"/>
      <c r="F2455" s="102"/>
      <c r="G2455" s="102"/>
      <c r="H2455" s="102"/>
      <c r="I2455" s="102"/>
      <c r="J2455" s="102"/>
      <c r="K2455" s="102"/>
      <c r="L2455" s="102"/>
      <c r="M2455" s="102"/>
      <c r="N2455" s="102"/>
      <c r="O2455" s="102"/>
      <c r="P2455" s="102"/>
      <c r="Q2455" s="102"/>
      <c r="R2455" s="102"/>
    </row>
    <row r="2456" spans="1:18" ht="35.1" customHeight="1" x14ac:dyDescent="0.2">
      <c r="A2456" s="99"/>
      <c r="B2456" s="99"/>
      <c r="C2456" s="102"/>
      <c r="D2456" s="102"/>
      <c r="E2456" s="102"/>
      <c r="F2456" s="102"/>
      <c r="G2456" s="102"/>
      <c r="H2456" s="102"/>
      <c r="I2456" s="102"/>
      <c r="J2456" s="102"/>
      <c r="K2456" s="102"/>
      <c r="L2456" s="102"/>
      <c r="M2456" s="102"/>
      <c r="N2456" s="102"/>
      <c r="O2456" s="102"/>
      <c r="P2456" s="102"/>
      <c r="Q2456" s="102"/>
      <c r="R2456" s="102"/>
    </row>
    <row r="2457" spans="1:18" ht="35.1" customHeight="1" x14ac:dyDescent="0.2">
      <c r="A2457" s="99"/>
      <c r="B2457" s="99"/>
      <c r="C2457" s="102"/>
      <c r="D2457" s="102"/>
      <c r="E2457" s="102"/>
      <c r="F2457" s="102"/>
      <c r="G2457" s="102"/>
      <c r="H2457" s="102"/>
      <c r="I2457" s="102"/>
      <c r="J2457" s="102"/>
      <c r="K2457" s="102"/>
      <c r="L2457" s="102"/>
      <c r="M2457" s="102"/>
      <c r="N2457" s="102"/>
      <c r="O2457" s="102"/>
      <c r="P2457" s="102"/>
      <c r="Q2457" s="102"/>
      <c r="R2457" s="102"/>
    </row>
    <row r="2458" spans="1:18" ht="35.1" customHeight="1" x14ac:dyDescent="0.2">
      <c r="A2458" s="99"/>
      <c r="B2458" s="99"/>
      <c r="C2458" s="102"/>
      <c r="D2458" s="102"/>
      <c r="E2458" s="102"/>
      <c r="F2458" s="102"/>
      <c r="G2458" s="102"/>
      <c r="H2458" s="102"/>
      <c r="I2458" s="102"/>
      <c r="J2458" s="102"/>
      <c r="K2458" s="102"/>
      <c r="L2458" s="102"/>
      <c r="M2458" s="102"/>
      <c r="N2458" s="102"/>
      <c r="O2458" s="102"/>
      <c r="P2458" s="102"/>
      <c r="Q2458" s="102"/>
      <c r="R2458" s="102"/>
    </row>
    <row r="2459" spans="1:18" ht="35.1" customHeight="1" x14ac:dyDescent="0.2">
      <c r="A2459" s="99"/>
      <c r="B2459" s="99"/>
      <c r="C2459" s="102"/>
      <c r="D2459" s="102"/>
      <c r="E2459" s="102"/>
      <c r="F2459" s="102"/>
      <c r="G2459" s="102"/>
      <c r="H2459" s="102"/>
      <c r="I2459" s="102"/>
      <c r="J2459" s="102"/>
      <c r="K2459" s="102"/>
      <c r="L2459" s="102"/>
      <c r="M2459" s="102"/>
      <c r="N2459" s="102"/>
      <c r="O2459" s="102"/>
      <c r="P2459" s="102"/>
      <c r="Q2459" s="102"/>
      <c r="R2459" s="102"/>
    </row>
    <row r="2460" spans="1:18" ht="35.1" customHeight="1" x14ac:dyDescent="0.2">
      <c r="A2460" s="99"/>
      <c r="B2460" s="99"/>
      <c r="C2460" s="102"/>
      <c r="D2460" s="102"/>
      <c r="E2460" s="102"/>
      <c r="F2460" s="102"/>
      <c r="G2460" s="102"/>
      <c r="H2460" s="102"/>
      <c r="I2460" s="102"/>
      <c r="J2460" s="102"/>
      <c r="K2460" s="102"/>
      <c r="L2460" s="102"/>
      <c r="M2460" s="102"/>
      <c r="N2460" s="102"/>
      <c r="O2460" s="102"/>
      <c r="P2460" s="102"/>
      <c r="Q2460" s="102"/>
      <c r="R2460" s="102"/>
    </row>
    <row r="2461" spans="1:18" ht="35.1" customHeight="1" x14ac:dyDescent="0.2">
      <c r="A2461" s="99"/>
      <c r="B2461" s="99"/>
      <c r="C2461" s="102"/>
      <c r="D2461" s="102"/>
      <c r="E2461" s="102"/>
      <c r="F2461" s="102"/>
      <c r="G2461" s="102"/>
      <c r="H2461" s="102"/>
      <c r="I2461" s="102"/>
      <c r="J2461" s="102"/>
      <c r="K2461" s="102"/>
      <c r="L2461" s="102"/>
      <c r="M2461" s="102"/>
      <c r="N2461" s="102"/>
      <c r="O2461" s="102"/>
      <c r="P2461" s="102"/>
      <c r="Q2461" s="102"/>
      <c r="R2461" s="102"/>
    </row>
    <row r="2462" spans="1:18" ht="35.1" customHeight="1" x14ac:dyDescent="0.2">
      <c r="A2462" s="99"/>
      <c r="B2462" s="99"/>
      <c r="C2462" s="102"/>
      <c r="D2462" s="102"/>
      <c r="E2462" s="102"/>
      <c r="F2462" s="102"/>
      <c r="G2462" s="102"/>
      <c r="H2462" s="102"/>
      <c r="I2462" s="102"/>
      <c r="J2462" s="102"/>
      <c r="K2462" s="102"/>
      <c r="L2462" s="102"/>
      <c r="M2462" s="102"/>
      <c r="N2462" s="102"/>
      <c r="O2462" s="102"/>
      <c r="P2462" s="102"/>
      <c r="Q2462" s="102"/>
      <c r="R2462" s="102"/>
    </row>
    <row r="2463" spans="1:18" ht="35.1" customHeight="1" x14ac:dyDescent="0.2">
      <c r="A2463" s="99"/>
      <c r="B2463" s="99"/>
      <c r="C2463" s="102"/>
      <c r="D2463" s="102"/>
      <c r="E2463" s="102"/>
      <c r="F2463" s="102"/>
      <c r="G2463" s="102"/>
      <c r="H2463" s="102"/>
      <c r="I2463" s="102"/>
      <c r="J2463" s="102"/>
      <c r="K2463" s="102"/>
      <c r="L2463" s="102"/>
      <c r="M2463" s="102"/>
      <c r="N2463" s="102"/>
      <c r="O2463" s="102"/>
      <c r="P2463" s="102"/>
      <c r="Q2463" s="102"/>
      <c r="R2463" s="102"/>
    </row>
    <row r="2464" spans="1:18" ht="35.1" customHeight="1" x14ac:dyDescent="0.2">
      <c r="A2464" s="99"/>
      <c r="B2464" s="99"/>
      <c r="C2464" s="102"/>
      <c r="D2464" s="102"/>
      <c r="E2464" s="102"/>
      <c r="F2464" s="102"/>
      <c r="G2464" s="102"/>
      <c r="H2464" s="102"/>
      <c r="I2464" s="102"/>
      <c r="J2464" s="102"/>
      <c r="K2464" s="102"/>
      <c r="L2464" s="102"/>
      <c r="M2464" s="102"/>
      <c r="N2464" s="102"/>
      <c r="O2464" s="102"/>
      <c r="P2464" s="102"/>
      <c r="Q2464" s="102"/>
      <c r="R2464" s="102"/>
    </row>
    <row r="2465" spans="1:18" ht="35.1" customHeight="1" x14ac:dyDescent="0.2">
      <c r="A2465" s="99"/>
      <c r="B2465" s="99"/>
      <c r="C2465" s="102"/>
      <c r="D2465" s="102"/>
      <c r="E2465" s="102"/>
      <c r="F2465" s="102"/>
      <c r="G2465" s="102"/>
      <c r="H2465" s="102"/>
      <c r="I2465" s="102"/>
      <c r="J2465" s="102"/>
      <c r="K2465" s="102"/>
      <c r="L2465" s="102"/>
      <c r="M2465" s="102"/>
      <c r="N2465" s="102"/>
      <c r="O2465" s="102"/>
      <c r="P2465" s="102"/>
      <c r="Q2465" s="102"/>
      <c r="R2465" s="102"/>
    </row>
    <row r="2466" spans="1:18" ht="35.1" customHeight="1" x14ac:dyDescent="0.2">
      <c r="A2466" s="99"/>
      <c r="B2466" s="99"/>
      <c r="C2466" s="102"/>
      <c r="D2466" s="102"/>
      <c r="E2466" s="102"/>
      <c r="F2466" s="102"/>
      <c r="G2466" s="102"/>
      <c r="H2466" s="102"/>
      <c r="I2466" s="102"/>
      <c r="J2466" s="102"/>
      <c r="K2466" s="102"/>
      <c r="L2466" s="102"/>
      <c r="M2466" s="102"/>
      <c r="N2466" s="102"/>
      <c r="O2466" s="102"/>
      <c r="P2466" s="102"/>
      <c r="Q2466" s="102"/>
      <c r="R2466" s="102"/>
    </row>
    <row r="2467" spans="1:18" ht="35.1" customHeight="1" x14ac:dyDescent="0.2">
      <c r="A2467" s="99"/>
      <c r="B2467" s="99"/>
      <c r="C2467" s="102"/>
      <c r="D2467" s="102"/>
      <c r="E2467" s="102"/>
      <c r="F2467" s="102"/>
      <c r="G2467" s="102"/>
      <c r="H2467" s="102"/>
      <c r="I2467" s="102"/>
      <c r="J2467" s="102"/>
      <c r="K2467" s="102"/>
      <c r="L2467" s="102"/>
      <c r="M2467" s="102"/>
      <c r="N2467" s="102"/>
      <c r="O2467" s="102"/>
      <c r="P2467" s="102"/>
      <c r="Q2467" s="102"/>
      <c r="R2467" s="102"/>
    </row>
    <row r="2468" spans="1:18" ht="35.1" customHeight="1" x14ac:dyDescent="0.2">
      <c r="A2468" s="99"/>
      <c r="B2468" s="99"/>
      <c r="C2468" s="102"/>
      <c r="D2468" s="102"/>
      <c r="E2468" s="102"/>
      <c r="F2468" s="102"/>
      <c r="G2468" s="102"/>
      <c r="H2468" s="102"/>
      <c r="I2468" s="102"/>
      <c r="J2468" s="102"/>
      <c r="K2468" s="102"/>
      <c r="L2468" s="102"/>
      <c r="M2468" s="102"/>
      <c r="N2468" s="102"/>
      <c r="O2468" s="102"/>
      <c r="P2468" s="102"/>
      <c r="Q2468" s="102"/>
      <c r="R2468" s="102"/>
    </row>
    <row r="2469" spans="1:18" ht="35.1" customHeight="1" x14ac:dyDescent="0.2">
      <c r="A2469" s="99"/>
      <c r="B2469" s="99"/>
      <c r="C2469" s="102"/>
      <c r="D2469" s="102"/>
      <c r="E2469" s="102"/>
      <c r="F2469" s="102"/>
      <c r="G2469" s="102"/>
      <c r="H2469" s="102"/>
      <c r="I2469" s="102"/>
      <c r="J2469" s="102"/>
      <c r="K2469" s="102"/>
      <c r="L2469" s="102"/>
      <c r="M2469" s="102"/>
      <c r="N2469" s="102"/>
      <c r="O2469" s="102"/>
      <c r="P2469" s="102"/>
      <c r="Q2469" s="102"/>
      <c r="R2469" s="102"/>
    </row>
    <row r="2470" spans="1:18" ht="35.1" customHeight="1" x14ac:dyDescent="0.2">
      <c r="A2470" s="99"/>
      <c r="B2470" s="99"/>
      <c r="C2470" s="102"/>
      <c r="D2470" s="102"/>
      <c r="E2470" s="102"/>
      <c r="F2470" s="102"/>
      <c r="G2470" s="102"/>
      <c r="H2470" s="102"/>
      <c r="I2470" s="102"/>
      <c r="J2470" s="102"/>
      <c r="K2470" s="102"/>
      <c r="L2470" s="102"/>
      <c r="M2470" s="102"/>
      <c r="N2470" s="102"/>
      <c r="O2470" s="102"/>
      <c r="P2470" s="102"/>
      <c r="Q2470" s="102"/>
      <c r="R2470" s="102"/>
    </row>
    <row r="2471" spans="1:18" ht="35.1" customHeight="1" x14ac:dyDescent="0.2">
      <c r="A2471" s="99"/>
      <c r="B2471" s="99"/>
      <c r="C2471" s="102"/>
      <c r="D2471" s="102"/>
      <c r="E2471" s="102"/>
      <c r="F2471" s="102"/>
      <c r="G2471" s="102"/>
      <c r="H2471" s="102"/>
      <c r="I2471" s="102"/>
      <c r="J2471" s="102"/>
      <c r="K2471" s="102"/>
      <c r="L2471" s="102"/>
      <c r="M2471" s="102"/>
      <c r="N2471" s="102"/>
      <c r="O2471" s="102"/>
      <c r="P2471" s="102"/>
      <c r="Q2471" s="102"/>
      <c r="R2471" s="102"/>
    </row>
    <row r="2472" spans="1:18" ht="35.1" customHeight="1" x14ac:dyDescent="0.2">
      <c r="A2472" s="99"/>
      <c r="B2472" s="99"/>
      <c r="C2472" s="102"/>
      <c r="D2472" s="102"/>
      <c r="E2472" s="102"/>
      <c r="F2472" s="102"/>
      <c r="G2472" s="102"/>
      <c r="H2472" s="102"/>
      <c r="I2472" s="102"/>
      <c r="J2472" s="102"/>
      <c r="K2472" s="102"/>
      <c r="L2472" s="102"/>
      <c r="M2472" s="102"/>
      <c r="N2472" s="102"/>
      <c r="O2472" s="102"/>
      <c r="P2472" s="102"/>
      <c r="Q2472" s="102"/>
      <c r="R2472" s="102"/>
    </row>
    <row r="2473" spans="1:18" ht="35.1" customHeight="1" x14ac:dyDescent="0.2">
      <c r="A2473" s="99"/>
      <c r="B2473" s="99"/>
      <c r="C2473" s="102"/>
      <c r="D2473" s="102"/>
      <c r="E2473" s="102"/>
      <c r="F2473" s="102"/>
      <c r="G2473" s="102"/>
      <c r="H2473" s="102"/>
      <c r="I2473" s="102"/>
      <c r="J2473" s="102"/>
      <c r="K2473" s="102"/>
      <c r="L2473" s="102"/>
      <c r="M2473" s="102"/>
      <c r="N2473" s="102"/>
      <c r="O2473" s="102"/>
      <c r="P2473" s="102"/>
      <c r="Q2473" s="102"/>
      <c r="R2473" s="102"/>
    </row>
    <row r="2474" spans="1:18" ht="35.1" customHeight="1" x14ac:dyDescent="0.2">
      <c r="A2474" s="99"/>
      <c r="B2474" s="99"/>
      <c r="C2474" s="102"/>
      <c r="D2474" s="102"/>
      <c r="E2474" s="102"/>
      <c r="F2474" s="102"/>
      <c r="G2474" s="102"/>
      <c r="H2474" s="102"/>
      <c r="I2474" s="102"/>
      <c r="J2474" s="102"/>
      <c r="K2474" s="102"/>
      <c r="L2474" s="102"/>
      <c r="M2474" s="102"/>
      <c r="N2474" s="102"/>
      <c r="O2474" s="102"/>
      <c r="P2474" s="102"/>
      <c r="Q2474" s="102"/>
      <c r="R2474" s="102"/>
    </row>
    <row r="2475" spans="1:18" ht="35.1" customHeight="1" x14ac:dyDescent="0.2">
      <c r="A2475" s="99"/>
      <c r="B2475" s="99"/>
      <c r="C2475" s="102"/>
      <c r="D2475" s="102"/>
      <c r="E2475" s="102"/>
      <c r="F2475" s="102"/>
      <c r="G2475" s="102"/>
      <c r="H2475" s="102"/>
      <c r="I2475" s="102"/>
      <c r="J2475" s="102"/>
      <c r="K2475" s="102"/>
      <c r="L2475" s="102"/>
      <c r="M2475" s="102"/>
      <c r="N2475" s="102"/>
      <c r="O2475" s="102"/>
      <c r="P2475" s="102"/>
      <c r="Q2475" s="102"/>
      <c r="R2475" s="102"/>
    </row>
    <row r="2476" spans="1:18" ht="35.1" customHeight="1" x14ac:dyDescent="0.2">
      <c r="A2476" s="99"/>
      <c r="B2476" s="99"/>
      <c r="C2476" s="102"/>
      <c r="D2476" s="102"/>
      <c r="E2476" s="102"/>
      <c r="F2476" s="102"/>
      <c r="G2476" s="102"/>
      <c r="H2476" s="102"/>
      <c r="I2476" s="102"/>
      <c r="J2476" s="102"/>
      <c r="K2476" s="102"/>
      <c r="L2476" s="102"/>
      <c r="M2476" s="102"/>
      <c r="N2476" s="102"/>
      <c r="O2476" s="102"/>
      <c r="P2476" s="102"/>
      <c r="Q2476" s="102"/>
      <c r="R2476" s="102"/>
    </row>
    <row r="2477" spans="1:18" ht="35.1" customHeight="1" x14ac:dyDescent="0.2">
      <c r="A2477" s="99"/>
      <c r="B2477" s="99"/>
      <c r="C2477" s="102"/>
      <c r="D2477" s="102"/>
      <c r="E2477" s="102"/>
      <c r="F2477" s="102"/>
      <c r="G2477" s="102"/>
      <c r="H2477" s="102"/>
      <c r="I2477" s="102"/>
      <c r="J2477" s="102"/>
      <c r="K2477" s="102"/>
      <c r="L2477" s="102"/>
      <c r="M2477" s="102"/>
      <c r="N2477" s="102"/>
      <c r="O2477" s="102"/>
      <c r="P2477" s="102"/>
      <c r="Q2477" s="102"/>
      <c r="R2477" s="102"/>
    </row>
    <row r="2478" spans="1:18" ht="35.1" customHeight="1" x14ac:dyDescent="0.2">
      <c r="A2478" s="99"/>
      <c r="B2478" s="99"/>
      <c r="C2478" s="102"/>
      <c r="D2478" s="102"/>
      <c r="E2478" s="102"/>
      <c r="F2478" s="102"/>
      <c r="G2478" s="102"/>
      <c r="H2478" s="102"/>
      <c r="I2478" s="102"/>
      <c r="J2478" s="102"/>
      <c r="K2478" s="102"/>
      <c r="L2478" s="102"/>
      <c r="M2478" s="102"/>
      <c r="N2478" s="102"/>
      <c r="O2478" s="102"/>
      <c r="P2478" s="102"/>
      <c r="Q2478" s="102"/>
      <c r="R2478" s="102"/>
    </row>
    <row r="2479" spans="1:18" ht="35.1" customHeight="1" x14ac:dyDescent="0.2">
      <c r="A2479" s="99"/>
      <c r="B2479" s="99"/>
      <c r="C2479" s="102"/>
      <c r="D2479" s="102"/>
      <c r="E2479" s="102"/>
      <c r="F2479" s="102"/>
      <c r="G2479" s="102"/>
      <c r="H2479" s="102"/>
      <c r="I2479" s="102"/>
      <c r="J2479" s="102"/>
      <c r="K2479" s="102"/>
      <c r="L2479" s="102"/>
      <c r="M2479" s="102"/>
      <c r="N2479" s="102"/>
      <c r="O2479" s="102"/>
      <c r="P2479" s="102"/>
      <c r="Q2479" s="102"/>
      <c r="R2479" s="102"/>
    </row>
    <row r="2480" spans="1:18" ht="35.1" customHeight="1" x14ac:dyDescent="0.2">
      <c r="A2480" s="99"/>
      <c r="B2480" s="99"/>
      <c r="C2480" s="102"/>
      <c r="D2480" s="102"/>
      <c r="E2480" s="102"/>
      <c r="F2480" s="102"/>
      <c r="G2480" s="102"/>
      <c r="H2480" s="102"/>
      <c r="I2480" s="102"/>
      <c r="J2480" s="102"/>
      <c r="K2480" s="102"/>
      <c r="L2480" s="102"/>
      <c r="M2480" s="102"/>
      <c r="N2480" s="102"/>
      <c r="O2480" s="102"/>
      <c r="P2480" s="102"/>
      <c r="Q2480" s="102"/>
      <c r="R2480" s="102"/>
    </row>
    <row r="2481" spans="1:18" ht="35.1" customHeight="1" x14ac:dyDescent="0.2">
      <c r="A2481" s="99"/>
      <c r="B2481" s="99"/>
      <c r="C2481" s="102"/>
      <c r="D2481" s="102"/>
      <c r="E2481" s="102"/>
      <c r="F2481" s="102"/>
      <c r="G2481" s="102"/>
      <c r="H2481" s="102"/>
      <c r="I2481" s="102"/>
      <c r="J2481" s="102"/>
      <c r="K2481" s="102"/>
      <c r="L2481" s="102"/>
      <c r="M2481" s="102"/>
      <c r="N2481" s="102"/>
      <c r="O2481" s="102"/>
      <c r="P2481" s="102"/>
      <c r="Q2481" s="102"/>
      <c r="R2481" s="102"/>
    </row>
    <row r="2482" spans="1:18" ht="35.1" customHeight="1" x14ac:dyDescent="0.2">
      <c r="A2482" s="99"/>
      <c r="B2482" s="99"/>
      <c r="C2482" s="102"/>
      <c r="D2482" s="102"/>
      <c r="E2482" s="102"/>
      <c r="F2482" s="102"/>
      <c r="G2482" s="102"/>
      <c r="H2482" s="102"/>
      <c r="I2482" s="102"/>
      <c r="J2482" s="102"/>
      <c r="K2482" s="102"/>
      <c r="L2482" s="102"/>
      <c r="M2482" s="102"/>
      <c r="N2482" s="102"/>
      <c r="O2482" s="102"/>
      <c r="P2482" s="102"/>
      <c r="Q2482" s="102"/>
      <c r="R2482" s="102"/>
    </row>
    <row r="2483" spans="1:18" ht="35.1" customHeight="1" x14ac:dyDescent="0.2">
      <c r="A2483" s="99"/>
      <c r="B2483" s="99"/>
      <c r="C2483" s="102"/>
      <c r="D2483" s="102"/>
      <c r="E2483" s="102"/>
      <c r="F2483" s="102"/>
      <c r="G2483" s="102"/>
      <c r="H2483" s="102"/>
      <c r="I2483" s="102"/>
      <c r="J2483" s="102"/>
      <c r="K2483" s="102"/>
      <c r="L2483" s="102"/>
      <c r="M2483" s="102"/>
      <c r="N2483" s="102"/>
      <c r="O2483" s="102"/>
      <c r="P2483" s="102"/>
      <c r="Q2483" s="102"/>
      <c r="R2483" s="102"/>
    </row>
    <row r="2484" spans="1:18" ht="35.1" customHeight="1" x14ac:dyDescent="0.2">
      <c r="A2484" s="99"/>
      <c r="B2484" s="99"/>
      <c r="C2484" s="102"/>
      <c r="D2484" s="102"/>
      <c r="E2484" s="102"/>
      <c r="F2484" s="102"/>
      <c r="G2484" s="102"/>
      <c r="H2484" s="102"/>
      <c r="I2484" s="102"/>
      <c r="J2484" s="102"/>
      <c r="K2484" s="102"/>
      <c r="L2484" s="102"/>
      <c r="M2484" s="102"/>
      <c r="N2484" s="102"/>
      <c r="O2484" s="102"/>
      <c r="P2484" s="102"/>
      <c r="Q2484" s="102"/>
      <c r="R2484" s="102"/>
    </row>
    <row r="2485" spans="1:18" ht="35.1" customHeight="1" x14ac:dyDescent="0.2">
      <c r="A2485" s="99"/>
      <c r="B2485" s="99"/>
      <c r="C2485" s="102"/>
      <c r="D2485" s="102"/>
      <c r="E2485" s="102"/>
      <c r="F2485" s="102"/>
      <c r="G2485" s="102"/>
      <c r="H2485" s="102"/>
      <c r="I2485" s="102"/>
      <c r="J2485" s="102"/>
      <c r="K2485" s="102"/>
      <c r="L2485" s="102"/>
      <c r="M2485" s="102"/>
      <c r="N2485" s="102"/>
      <c r="O2485" s="102"/>
      <c r="P2485" s="102"/>
      <c r="Q2485" s="102"/>
      <c r="R2485" s="102"/>
    </row>
    <row r="2486" spans="1:18" ht="35.1" customHeight="1" x14ac:dyDescent="0.2">
      <c r="A2486" s="99"/>
      <c r="B2486" s="99"/>
      <c r="C2486" s="102"/>
      <c r="D2486" s="102"/>
      <c r="E2486" s="102"/>
      <c r="F2486" s="102"/>
      <c r="G2486" s="102"/>
      <c r="H2486" s="102"/>
      <c r="I2486" s="102"/>
      <c r="J2486" s="102"/>
      <c r="K2486" s="102"/>
      <c r="L2486" s="102"/>
      <c r="M2486" s="102"/>
      <c r="N2486" s="102"/>
      <c r="O2486" s="102"/>
      <c r="P2486" s="102"/>
      <c r="Q2486" s="102"/>
      <c r="R2486" s="102"/>
    </row>
    <row r="2487" spans="1:18" ht="35.1" customHeight="1" x14ac:dyDescent="0.2">
      <c r="A2487" s="99"/>
      <c r="B2487" s="99"/>
      <c r="C2487" s="102"/>
      <c r="D2487" s="102"/>
      <c r="E2487" s="102"/>
      <c r="F2487" s="102"/>
      <c r="G2487" s="102"/>
      <c r="H2487" s="102"/>
      <c r="I2487" s="102"/>
      <c r="J2487" s="102"/>
      <c r="K2487" s="102"/>
      <c r="L2487" s="102"/>
      <c r="M2487" s="102"/>
      <c r="N2487" s="102"/>
      <c r="O2487" s="102"/>
      <c r="P2487" s="102"/>
      <c r="Q2487" s="102"/>
      <c r="R2487" s="102"/>
    </row>
    <row r="2488" spans="1:18" ht="35.1" customHeight="1" x14ac:dyDescent="0.2">
      <c r="A2488" s="99"/>
      <c r="B2488" s="99"/>
      <c r="C2488" s="102"/>
      <c r="D2488" s="102"/>
      <c r="E2488" s="102"/>
      <c r="F2488" s="102"/>
      <c r="G2488" s="102"/>
      <c r="H2488" s="102"/>
      <c r="I2488" s="102"/>
      <c r="J2488" s="102"/>
      <c r="K2488" s="102"/>
      <c r="L2488" s="102"/>
      <c r="M2488" s="102"/>
      <c r="N2488" s="102"/>
      <c r="O2488" s="102"/>
      <c r="P2488" s="102"/>
      <c r="Q2488" s="102"/>
      <c r="R2488" s="102"/>
    </row>
    <row r="2489" spans="1:18" ht="35.1" customHeight="1" x14ac:dyDescent="0.2">
      <c r="A2489" s="99"/>
      <c r="B2489" s="99"/>
      <c r="C2489" s="102"/>
      <c r="D2489" s="102"/>
      <c r="E2489" s="102"/>
      <c r="F2489" s="102"/>
      <c r="G2489" s="102"/>
      <c r="H2489" s="102"/>
      <c r="I2489" s="102"/>
      <c r="J2489" s="102"/>
      <c r="K2489" s="102"/>
      <c r="L2489" s="102"/>
      <c r="M2489" s="102"/>
      <c r="N2489" s="102"/>
      <c r="O2489" s="102"/>
      <c r="P2489" s="102"/>
      <c r="Q2489" s="102"/>
      <c r="R2489" s="102"/>
    </row>
    <row r="2490" spans="1:18" ht="35.1" customHeight="1" x14ac:dyDescent="0.2">
      <c r="A2490" s="99"/>
      <c r="B2490" s="99"/>
      <c r="C2490" s="102"/>
      <c r="D2490" s="102"/>
      <c r="E2490" s="102"/>
      <c r="F2490" s="102"/>
      <c r="G2490" s="102"/>
      <c r="H2490" s="102"/>
      <c r="I2490" s="102"/>
      <c r="J2490" s="102"/>
      <c r="K2490" s="102"/>
      <c r="L2490" s="102"/>
      <c r="M2490" s="102"/>
      <c r="N2490" s="102"/>
      <c r="O2490" s="102"/>
      <c r="P2490" s="102"/>
      <c r="Q2490" s="102"/>
      <c r="R2490" s="102"/>
    </row>
    <row r="2491" spans="1:18" ht="35.1" customHeight="1" x14ac:dyDescent="0.2">
      <c r="A2491" s="99"/>
      <c r="B2491" s="99"/>
      <c r="C2491" s="102"/>
      <c r="D2491" s="102"/>
      <c r="E2491" s="102"/>
      <c r="F2491" s="102"/>
      <c r="G2491" s="102"/>
      <c r="H2491" s="102"/>
      <c r="I2491" s="102"/>
      <c r="J2491" s="102"/>
      <c r="K2491" s="102"/>
      <c r="L2491" s="102"/>
      <c r="M2491" s="102"/>
      <c r="N2491" s="102"/>
      <c r="O2491" s="102"/>
      <c r="P2491" s="102"/>
      <c r="Q2491" s="102"/>
      <c r="R2491" s="102"/>
    </row>
    <row r="2492" spans="1:18" ht="35.1" customHeight="1" x14ac:dyDescent="0.2">
      <c r="A2492" s="99"/>
      <c r="B2492" s="99"/>
      <c r="C2492" s="102"/>
      <c r="D2492" s="102"/>
      <c r="E2492" s="102"/>
      <c r="F2492" s="102"/>
      <c r="G2492" s="102"/>
      <c r="H2492" s="102"/>
      <c r="I2492" s="102"/>
      <c r="J2492" s="102"/>
      <c r="K2492" s="102"/>
      <c r="L2492" s="102"/>
      <c r="M2492" s="102"/>
      <c r="N2492" s="102"/>
      <c r="O2492" s="102"/>
      <c r="P2492" s="102"/>
      <c r="Q2492" s="102"/>
      <c r="R2492" s="102"/>
    </row>
    <row r="2493" spans="1:18" ht="35.1" customHeight="1" x14ac:dyDescent="0.2">
      <c r="A2493" s="99"/>
      <c r="B2493" s="99"/>
      <c r="C2493" s="102"/>
      <c r="D2493" s="102"/>
      <c r="E2493" s="102"/>
      <c r="F2493" s="102"/>
      <c r="G2493" s="102"/>
      <c r="H2493" s="102"/>
      <c r="I2493" s="102"/>
      <c r="J2493" s="102"/>
      <c r="K2493" s="102"/>
      <c r="L2493" s="102"/>
      <c r="M2493" s="102"/>
      <c r="N2493" s="102"/>
      <c r="O2493" s="102"/>
      <c r="P2493" s="102"/>
      <c r="Q2493" s="102"/>
      <c r="R2493" s="102"/>
    </row>
    <row r="2494" spans="1:18" ht="35.1" customHeight="1" x14ac:dyDescent="0.2">
      <c r="A2494" s="99"/>
      <c r="B2494" s="99"/>
      <c r="C2494" s="102"/>
      <c r="D2494" s="102"/>
      <c r="E2494" s="102"/>
      <c r="F2494" s="102"/>
      <c r="G2494" s="102"/>
      <c r="H2494" s="102"/>
      <c r="I2494" s="102"/>
      <c r="J2494" s="102"/>
      <c r="K2494" s="102"/>
      <c r="L2494" s="102"/>
      <c r="M2494" s="102"/>
      <c r="N2494" s="102"/>
      <c r="O2494" s="102"/>
      <c r="P2494" s="102"/>
      <c r="Q2494" s="102"/>
      <c r="R2494" s="102"/>
    </row>
    <row r="2495" spans="1:18" ht="35.1" customHeight="1" x14ac:dyDescent="0.2">
      <c r="A2495" s="99"/>
      <c r="B2495" s="99"/>
      <c r="C2495" s="102"/>
      <c r="D2495" s="102"/>
      <c r="E2495" s="102"/>
      <c r="F2495" s="102"/>
      <c r="G2495" s="102"/>
      <c r="H2495" s="102"/>
      <c r="I2495" s="102"/>
      <c r="J2495" s="102"/>
      <c r="K2495" s="102"/>
      <c r="L2495" s="102"/>
      <c r="M2495" s="102"/>
      <c r="N2495" s="102"/>
      <c r="O2495" s="102"/>
      <c r="P2495" s="102"/>
      <c r="Q2495" s="102"/>
      <c r="R2495" s="102"/>
    </row>
    <row r="2496" spans="1:18" ht="35.1" customHeight="1" x14ac:dyDescent="0.2">
      <c r="A2496" s="99"/>
      <c r="B2496" s="99"/>
      <c r="C2496" s="102"/>
      <c r="D2496" s="102"/>
      <c r="E2496" s="102"/>
      <c r="F2496" s="102"/>
      <c r="G2496" s="102"/>
      <c r="H2496" s="102"/>
      <c r="I2496" s="102"/>
      <c r="J2496" s="102"/>
      <c r="K2496" s="102"/>
      <c r="L2496" s="102"/>
      <c r="M2496" s="102"/>
      <c r="N2496" s="102"/>
      <c r="O2496" s="102"/>
      <c r="P2496" s="102"/>
      <c r="Q2496" s="102"/>
      <c r="R2496" s="102"/>
    </row>
    <row r="2497" spans="1:18" ht="35.1" customHeight="1" x14ac:dyDescent="0.2">
      <c r="A2497" s="99"/>
      <c r="B2497" s="99"/>
      <c r="C2497" s="102"/>
      <c r="D2497" s="102"/>
      <c r="E2497" s="102"/>
      <c r="F2497" s="102"/>
      <c r="G2497" s="102"/>
      <c r="H2497" s="102"/>
      <c r="I2497" s="102"/>
      <c r="J2497" s="102"/>
      <c r="K2497" s="102"/>
      <c r="L2497" s="102"/>
      <c r="M2497" s="102"/>
      <c r="N2497" s="102"/>
      <c r="O2497" s="102"/>
      <c r="P2497" s="102"/>
      <c r="Q2497" s="102"/>
      <c r="R2497" s="102"/>
    </row>
    <row r="2498" spans="1:18" ht="35.1" customHeight="1" x14ac:dyDescent="0.2">
      <c r="A2498" s="99"/>
      <c r="B2498" s="99"/>
      <c r="C2498" s="102"/>
      <c r="D2498" s="102"/>
      <c r="E2498" s="102"/>
      <c r="F2498" s="102"/>
      <c r="G2498" s="102"/>
      <c r="H2498" s="102"/>
      <c r="I2498" s="102"/>
      <c r="J2498" s="102"/>
      <c r="K2498" s="102"/>
      <c r="L2498" s="102"/>
      <c r="M2498" s="102"/>
      <c r="N2498" s="102"/>
      <c r="O2498" s="102"/>
      <c r="P2498" s="102"/>
      <c r="Q2498" s="102"/>
      <c r="R2498" s="102"/>
    </row>
    <row r="2499" spans="1:18" ht="35.1" customHeight="1" x14ac:dyDescent="0.2">
      <c r="A2499" s="99"/>
      <c r="B2499" s="99"/>
      <c r="C2499" s="102"/>
      <c r="D2499" s="102"/>
      <c r="E2499" s="102"/>
      <c r="F2499" s="102"/>
      <c r="G2499" s="102"/>
      <c r="H2499" s="102"/>
      <c r="I2499" s="102"/>
      <c r="J2499" s="102"/>
      <c r="K2499" s="102"/>
      <c r="L2499" s="102"/>
      <c r="M2499" s="102"/>
      <c r="N2499" s="102"/>
      <c r="O2499" s="102"/>
      <c r="P2499" s="102"/>
      <c r="Q2499" s="102"/>
      <c r="R2499" s="102"/>
    </row>
    <row r="2500" spans="1:18" ht="35.1" customHeight="1" x14ac:dyDescent="0.2">
      <c r="A2500" s="99"/>
      <c r="B2500" s="99"/>
      <c r="C2500" s="102"/>
      <c r="D2500" s="102"/>
      <c r="E2500" s="102"/>
      <c r="F2500" s="102"/>
      <c r="G2500" s="102"/>
      <c r="H2500" s="102"/>
      <c r="I2500" s="102"/>
      <c r="J2500" s="102"/>
      <c r="K2500" s="102"/>
      <c r="L2500" s="102"/>
      <c r="M2500" s="102"/>
      <c r="N2500" s="102"/>
      <c r="O2500" s="102"/>
      <c r="P2500" s="102"/>
      <c r="Q2500" s="102"/>
      <c r="R2500" s="102"/>
    </row>
    <row r="2501" spans="1:18" ht="35.1" customHeight="1" x14ac:dyDescent="0.2">
      <c r="A2501" s="99"/>
      <c r="B2501" s="99"/>
      <c r="C2501" s="102"/>
      <c r="D2501" s="102"/>
      <c r="E2501" s="102"/>
      <c r="F2501" s="102"/>
      <c r="G2501" s="102"/>
      <c r="H2501" s="102"/>
      <c r="I2501" s="102"/>
      <c r="J2501" s="102"/>
      <c r="K2501" s="102"/>
      <c r="L2501" s="102"/>
      <c r="M2501" s="102"/>
      <c r="N2501" s="102"/>
      <c r="O2501" s="102"/>
      <c r="P2501" s="102"/>
      <c r="Q2501" s="102"/>
      <c r="R2501" s="102"/>
    </row>
    <row r="2502" spans="1:18" ht="35.1" customHeight="1" x14ac:dyDescent="0.2">
      <c r="A2502" s="99"/>
      <c r="B2502" s="99"/>
      <c r="C2502" s="102"/>
      <c r="D2502" s="102"/>
      <c r="E2502" s="102"/>
      <c r="F2502" s="102"/>
      <c r="G2502" s="102"/>
      <c r="H2502" s="102"/>
      <c r="I2502" s="102"/>
      <c r="J2502" s="102"/>
      <c r="K2502" s="102"/>
      <c r="L2502" s="102"/>
      <c r="M2502" s="102"/>
      <c r="N2502" s="102"/>
      <c r="O2502" s="102"/>
      <c r="P2502" s="102"/>
      <c r="Q2502" s="102"/>
      <c r="R2502" s="102"/>
    </row>
    <row r="2503" spans="1:18" ht="35.1" customHeight="1" x14ac:dyDescent="0.2">
      <c r="A2503" s="99"/>
      <c r="B2503" s="99"/>
      <c r="C2503" s="102"/>
      <c r="D2503" s="102"/>
      <c r="E2503" s="102"/>
      <c r="F2503" s="102"/>
      <c r="G2503" s="102"/>
      <c r="H2503" s="102"/>
      <c r="I2503" s="102"/>
      <c r="J2503" s="102"/>
      <c r="K2503" s="102"/>
      <c r="L2503" s="102"/>
      <c r="M2503" s="102"/>
      <c r="N2503" s="102"/>
      <c r="O2503" s="102"/>
      <c r="P2503" s="102"/>
      <c r="Q2503" s="102"/>
      <c r="R2503" s="102"/>
    </row>
    <row r="2504" spans="1:18" ht="35.1" customHeight="1" x14ac:dyDescent="0.2">
      <c r="A2504" s="99"/>
      <c r="B2504" s="99"/>
      <c r="C2504" s="102"/>
      <c r="D2504" s="102"/>
      <c r="E2504" s="102"/>
      <c r="F2504" s="102"/>
      <c r="G2504" s="102"/>
      <c r="H2504" s="102"/>
      <c r="I2504" s="102"/>
      <c r="J2504" s="102"/>
      <c r="K2504" s="102"/>
      <c r="L2504" s="102"/>
      <c r="M2504" s="102"/>
      <c r="N2504" s="102"/>
      <c r="O2504" s="102"/>
      <c r="P2504" s="102"/>
      <c r="Q2504" s="102"/>
      <c r="R2504" s="102"/>
    </row>
    <row r="2505" spans="1:18" ht="35.1" customHeight="1" x14ac:dyDescent="0.2">
      <c r="A2505" s="99"/>
      <c r="B2505" s="99"/>
      <c r="C2505" s="102"/>
      <c r="D2505" s="102"/>
      <c r="E2505" s="102"/>
      <c r="F2505" s="102"/>
      <c r="G2505" s="102"/>
      <c r="H2505" s="102"/>
      <c r="I2505" s="102"/>
      <c r="J2505" s="102"/>
      <c r="K2505" s="102"/>
      <c r="L2505" s="102"/>
      <c r="M2505" s="102"/>
      <c r="N2505" s="102"/>
      <c r="O2505" s="102"/>
      <c r="P2505" s="102"/>
      <c r="Q2505" s="102"/>
      <c r="R2505" s="102"/>
    </row>
    <row r="2506" spans="1:18" ht="35.1" customHeight="1" x14ac:dyDescent="0.2">
      <c r="A2506" s="99"/>
      <c r="B2506" s="99"/>
      <c r="C2506" s="102"/>
      <c r="D2506" s="102"/>
      <c r="E2506" s="102"/>
      <c r="F2506" s="102"/>
      <c r="G2506" s="102"/>
      <c r="H2506" s="102"/>
      <c r="I2506" s="102"/>
      <c r="J2506" s="102"/>
      <c r="K2506" s="102"/>
      <c r="L2506" s="102"/>
      <c r="M2506" s="102"/>
      <c r="N2506" s="102"/>
      <c r="O2506" s="102"/>
      <c r="P2506" s="102"/>
      <c r="Q2506" s="102"/>
      <c r="R2506" s="102"/>
    </row>
    <row r="2507" spans="1:18" ht="35.1" customHeight="1" x14ac:dyDescent="0.2">
      <c r="A2507" s="99"/>
      <c r="B2507" s="99"/>
      <c r="C2507" s="102"/>
      <c r="D2507" s="102"/>
      <c r="E2507" s="102"/>
      <c r="F2507" s="102"/>
      <c r="G2507" s="102"/>
      <c r="H2507" s="102"/>
      <c r="I2507" s="102"/>
      <c r="J2507" s="102"/>
      <c r="K2507" s="102"/>
      <c r="L2507" s="102"/>
      <c r="M2507" s="102"/>
      <c r="N2507" s="102"/>
      <c r="O2507" s="102"/>
      <c r="P2507" s="102"/>
      <c r="Q2507" s="102"/>
      <c r="R2507" s="102"/>
    </row>
    <row r="2508" spans="1:18" ht="35.1" customHeight="1" x14ac:dyDescent="0.2">
      <c r="A2508" s="99"/>
      <c r="B2508" s="99"/>
      <c r="C2508" s="102"/>
      <c r="D2508" s="102"/>
      <c r="E2508" s="102"/>
      <c r="F2508" s="102"/>
      <c r="G2508" s="102"/>
      <c r="H2508" s="102"/>
      <c r="I2508" s="102"/>
      <c r="J2508" s="102"/>
      <c r="K2508" s="102"/>
      <c r="L2508" s="102"/>
      <c r="M2508" s="102"/>
      <c r="N2508" s="102"/>
      <c r="O2508" s="102"/>
      <c r="P2508" s="102"/>
      <c r="Q2508" s="102"/>
      <c r="R2508" s="102"/>
    </row>
    <row r="2509" spans="1:18" ht="35.1" customHeight="1" x14ac:dyDescent="0.2">
      <c r="A2509" s="99"/>
      <c r="B2509" s="99"/>
      <c r="C2509" s="102"/>
      <c r="D2509" s="102"/>
      <c r="E2509" s="102"/>
      <c r="F2509" s="102"/>
      <c r="G2509" s="102"/>
      <c r="H2509" s="102"/>
      <c r="I2509" s="102"/>
      <c r="J2509" s="102"/>
      <c r="K2509" s="102"/>
      <c r="L2509" s="102"/>
      <c r="M2509" s="102"/>
      <c r="N2509" s="102"/>
      <c r="O2509" s="102"/>
      <c r="P2509" s="102"/>
      <c r="Q2509" s="102"/>
      <c r="R2509" s="102"/>
    </row>
    <row r="2510" spans="1:18" ht="35.1" customHeight="1" x14ac:dyDescent="0.2">
      <c r="A2510" s="99"/>
      <c r="B2510" s="99"/>
      <c r="C2510" s="102"/>
      <c r="D2510" s="102"/>
      <c r="E2510" s="102"/>
      <c r="F2510" s="102"/>
      <c r="G2510" s="102"/>
      <c r="H2510" s="102"/>
      <c r="I2510" s="102"/>
      <c r="J2510" s="102"/>
      <c r="K2510" s="102"/>
      <c r="L2510" s="102"/>
      <c r="M2510" s="102"/>
      <c r="N2510" s="102"/>
      <c r="O2510" s="102"/>
      <c r="P2510" s="102"/>
      <c r="Q2510" s="102"/>
      <c r="R2510" s="102"/>
    </row>
    <row r="2511" spans="1:18" ht="35.1" customHeight="1" x14ac:dyDescent="0.2">
      <c r="A2511" s="99"/>
      <c r="B2511" s="99"/>
      <c r="C2511" s="102"/>
      <c r="D2511" s="102"/>
      <c r="E2511" s="102"/>
      <c r="F2511" s="102"/>
      <c r="G2511" s="102"/>
      <c r="H2511" s="102"/>
      <c r="I2511" s="102"/>
      <c r="J2511" s="102"/>
      <c r="K2511" s="102"/>
      <c r="L2511" s="102"/>
      <c r="M2511" s="102"/>
      <c r="N2511" s="102"/>
      <c r="O2511" s="102"/>
      <c r="P2511" s="102"/>
      <c r="Q2511" s="102"/>
      <c r="R2511" s="102"/>
    </row>
    <row r="2512" spans="1:18" ht="35.1" customHeight="1" x14ac:dyDescent="0.2">
      <c r="A2512" s="99"/>
      <c r="B2512" s="99"/>
      <c r="C2512" s="102"/>
      <c r="D2512" s="102"/>
      <c r="E2512" s="102"/>
      <c r="F2512" s="102"/>
      <c r="G2512" s="102"/>
      <c r="H2512" s="102"/>
      <c r="I2512" s="102"/>
      <c r="J2512" s="102"/>
      <c r="K2512" s="102"/>
      <c r="L2512" s="102"/>
      <c r="M2512" s="102"/>
      <c r="N2512" s="102"/>
      <c r="O2512" s="102"/>
      <c r="P2512" s="102"/>
      <c r="Q2512" s="102"/>
      <c r="R2512" s="102"/>
    </row>
    <row r="2513" spans="1:18" ht="35.1" customHeight="1" x14ac:dyDescent="0.2">
      <c r="A2513" s="99"/>
      <c r="B2513" s="99"/>
      <c r="C2513" s="102"/>
      <c r="D2513" s="102"/>
      <c r="E2513" s="102"/>
      <c r="F2513" s="102"/>
      <c r="G2513" s="102"/>
      <c r="H2513" s="102"/>
      <c r="I2513" s="102"/>
      <c r="J2513" s="102"/>
      <c r="K2513" s="102"/>
      <c r="L2513" s="102"/>
      <c r="M2513" s="102"/>
      <c r="N2513" s="102"/>
      <c r="O2513" s="102"/>
      <c r="P2513" s="102"/>
      <c r="Q2513" s="102"/>
      <c r="R2513" s="102"/>
    </row>
    <row r="2514" spans="1:18" ht="35.1" customHeight="1" x14ac:dyDescent="0.2">
      <c r="A2514" s="99"/>
      <c r="B2514" s="99"/>
      <c r="C2514" s="102"/>
      <c r="D2514" s="102"/>
      <c r="E2514" s="102"/>
      <c r="F2514" s="102"/>
      <c r="G2514" s="102"/>
      <c r="H2514" s="102"/>
      <c r="I2514" s="102"/>
      <c r="J2514" s="102"/>
      <c r="K2514" s="102"/>
      <c r="L2514" s="102"/>
      <c r="M2514" s="102"/>
      <c r="N2514" s="102"/>
      <c r="O2514" s="102"/>
      <c r="P2514" s="102"/>
      <c r="Q2514" s="102"/>
      <c r="R2514" s="102"/>
    </row>
    <row r="2515" spans="1:18" ht="35.1" customHeight="1" x14ac:dyDescent="0.2">
      <c r="A2515" s="99"/>
      <c r="B2515" s="99"/>
      <c r="C2515" s="102"/>
      <c r="D2515" s="102"/>
      <c r="E2515" s="102"/>
      <c r="F2515" s="102"/>
      <c r="G2515" s="102"/>
      <c r="H2515" s="102"/>
      <c r="I2515" s="102"/>
      <c r="J2515" s="102"/>
      <c r="K2515" s="102"/>
      <c r="L2515" s="102"/>
      <c r="M2515" s="102"/>
      <c r="N2515" s="102"/>
      <c r="O2515" s="102"/>
      <c r="P2515" s="102"/>
      <c r="Q2515" s="102"/>
      <c r="R2515" s="102"/>
    </row>
    <row r="2516" spans="1:18" ht="35.1" customHeight="1" x14ac:dyDescent="0.2">
      <c r="A2516" s="99"/>
      <c r="B2516" s="99"/>
      <c r="C2516" s="102"/>
      <c r="D2516" s="102"/>
      <c r="E2516" s="102"/>
      <c r="F2516" s="102"/>
      <c r="G2516" s="102"/>
      <c r="H2516" s="102"/>
      <c r="I2516" s="102"/>
      <c r="J2516" s="102"/>
      <c r="K2516" s="102"/>
      <c r="L2516" s="102"/>
      <c r="M2516" s="102"/>
      <c r="N2516" s="102"/>
      <c r="O2516" s="102"/>
      <c r="P2516" s="102"/>
      <c r="Q2516" s="102"/>
      <c r="R2516" s="102"/>
    </row>
    <row r="2517" spans="1:18" ht="35.1" customHeight="1" x14ac:dyDescent="0.2">
      <c r="A2517" s="99"/>
      <c r="B2517" s="99"/>
      <c r="C2517" s="102"/>
      <c r="D2517" s="102"/>
      <c r="E2517" s="102"/>
      <c r="F2517" s="102"/>
      <c r="G2517" s="102"/>
      <c r="H2517" s="102"/>
      <c r="I2517" s="102"/>
      <c r="J2517" s="102"/>
      <c r="K2517" s="102"/>
      <c r="L2517" s="102"/>
      <c r="M2517" s="102"/>
      <c r="N2517" s="102"/>
      <c r="O2517" s="102"/>
      <c r="P2517" s="102"/>
      <c r="Q2517" s="102"/>
      <c r="R2517" s="102"/>
    </row>
    <row r="2518" spans="1:18" ht="35.1" customHeight="1" x14ac:dyDescent="0.2">
      <c r="A2518" s="99"/>
      <c r="B2518" s="99"/>
      <c r="C2518" s="102"/>
      <c r="D2518" s="102"/>
      <c r="E2518" s="102"/>
      <c r="F2518" s="102"/>
      <c r="G2518" s="102"/>
      <c r="H2518" s="102"/>
      <c r="I2518" s="102"/>
      <c r="J2518" s="102"/>
      <c r="K2518" s="102"/>
      <c r="L2518" s="102"/>
      <c r="M2518" s="102"/>
      <c r="N2518" s="102"/>
      <c r="O2518" s="102"/>
      <c r="P2518" s="102"/>
      <c r="Q2518" s="102"/>
      <c r="R2518" s="102"/>
    </row>
    <row r="2519" spans="1:18" ht="35.1" customHeight="1" x14ac:dyDescent="0.2">
      <c r="A2519" s="99"/>
      <c r="B2519" s="99"/>
      <c r="C2519" s="102"/>
      <c r="D2519" s="102"/>
      <c r="E2519" s="102"/>
      <c r="F2519" s="102"/>
      <c r="G2519" s="102"/>
      <c r="H2519" s="102"/>
      <c r="I2519" s="102"/>
      <c r="J2519" s="102"/>
      <c r="K2519" s="102"/>
      <c r="L2519" s="102"/>
      <c r="M2519" s="102"/>
      <c r="N2519" s="102"/>
      <c r="O2519" s="102"/>
      <c r="P2519" s="102"/>
      <c r="Q2519" s="102"/>
      <c r="R2519" s="102"/>
    </row>
    <row r="2520" spans="1:18" ht="35.1" customHeight="1" x14ac:dyDescent="0.2">
      <c r="A2520" s="99"/>
      <c r="B2520" s="99"/>
      <c r="C2520" s="102"/>
      <c r="D2520" s="102"/>
      <c r="E2520" s="102"/>
      <c r="F2520" s="102"/>
      <c r="G2520" s="102"/>
      <c r="H2520" s="102"/>
      <c r="I2520" s="102"/>
      <c r="J2520" s="102"/>
      <c r="K2520" s="102"/>
      <c r="L2520" s="102"/>
      <c r="M2520" s="102"/>
      <c r="N2520" s="102"/>
      <c r="O2520" s="102"/>
      <c r="P2520" s="102"/>
      <c r="Q2520" s="102"/>
      <c r="R2520" s="102"/>
    </row>
    <row r="2521" spans="1:18" ht="35.1" customHeight="1" x14ac:dyDescent="0.2">
      <c r="A2521" s="99"/>
      <c r="B2521" s="99"/>
      <c r="C2521" s="102"/>
      <c r="D2521" s="102"/>
      <c r="E2521" s="102"/>
      <c r="F2521" s="102"/>
      <c r="G2521" s="102"/>
      <c r="H2521" s="102"/>
      <c r="I2521" s="102"/>
      <c r="J2521" s="102"/>
      <c r="K2521" s="102"/>
      <c r="L2521" s="102"/>
      <c r="M2521" s="102"/>
      <c r="N2521" s="102"/>
      <c r="O2521" s="102"/>
      <c r="P2521" s="102"/>
      <c r="Q2521" s="102"/>
      <c r="R2521" s="102"/>
    </row>
    <row r="2522" spans="1:18" ht="35.1" customHeight="1" x14ac:dyDescent="0.2">
      <c r="A2522" s="99"/>
      <c r="B2522" s="99"/>
      <c r="C2522" s="102"/>
      <c r="D2522" s="102"/>
      <c r="E2522" s="102"/>
      <c r="F2522" s="102"/>
      <c r="G2522" s="102"/>
      <c r="H2522" s="102"/>
      <c r="I2522" s="102"/>
      <c r="J2522" s="102"/>
      <c r="K2522" s="102"/>
      <c r="L2522" s="102"/>
      <c r="M2522" s="102"/>
      <c r="N2522" s="102"/>
      <c r="O2522" s="102"/>
      <c r="P2522" s="102"/>
      <c r="Q2522" s="102"/>
      <c r="R2522" s="102"/>
    </row>
    <row r="2523" spans="1:18" ht="35.1" customHeight="1" x14ac:dyDescent="0.2">
      <c r="A2523" s="99"/>
      <c r="B2523" s="99"/>
      <c r="C2523" s="102"/>
      <c r="D2523" s="102"/>
      <c r="E2523" s="102"/>
      <c r="F2523" s="102"/>
      <c r="G2523" s="102"/>
      <c r="H2523" s="102"/>
      <c r="I2523" s="102"/>
      <c r="J2523" s="102"/>
      <c r="K2523" s="102"/>
      <c r="L2523" s="102"/>
      <c r="M2523" s="102"/>
      <c r="N2523" s="102"/>
      <c r="O2523" s="102"/>
      <c r="P2523" s="102"/>
      <c r="Q2523" s="102"/>
      <c r="R2523" s="102"/>
    </row>
    <row r="2524" spans="1:18" ht="35.1" customHeight="1" x14ac:dyDescent="0.2">
      <c r="A2524" s="99"/>
      <c r="B2524" s="99"/>
      <c r="C2524" s="102"/>
      <c r="D2524" s="102"/>
      <c r="E2524" s="102"/>
      <c r="F2524" s="102"/>
      <c r="G2524" s="102"/>
      <c r="H2524" s="102"/>
      <c r="I2524" s="102"/>
      <c r="J2524" s="102"/>
      <c r="K2524" s="102"/>
      <c r="L2524" s="102"/>
      <c r="M2524" s="102"/>
      <c r="N2524" s="102"/>
      <c r="O2524" s="102"/>
      <c r="P2524" s="102"/>
      <c r="Q2524" s="102"/>
      <c r="R2524" s="102"/>
    </row>
    <row r="2525" spans="1:18" ht="35.1" customHeight="1" x14ac:dyDescent="0.2">
      <c r="A2525" s="99"/>
      <c r="B2525" s="99"/>
      <c r="C2525" s="102"/>
      <c r="D2525" s="102"/>
      <c r="E2525" s="102"/>
      <c r="F2525" s="102"/>
      <c r="G2525" s="102"/>
      <c r="H2525" s="102"/>
      <c r="I2525" s="102"/>
      <c r="J2525" s="102"/>
      <c r="K2525" s="102"/>
      <c r="L2525" s="102"/>
      <c r="M2525" s="102"/>
      <c r="N2525" s="102"/>
      <c r="O2525" s="102"/>
      <c r="P2525" s="102"/>
      <c r="Q2525" s="102"/>
      <c r="R2525" s="102"/>
    </row>
    <row r="2526" spans="1:18" ht="35.1" customHeight="1" x14ac:dyDescent="0.2">
      <c r="A2526" s="99"/>
      <c r="B2526" s="99"/>
      <c r="C2526" s="102"/>
      <c r="D2526" s="102"/>
      <c r="E2526" s="102"/>
      <c r="F2526" s="102"/>
      <c r="G2526" s="102"/>
      <c r="H2526" s="102"/>
      <c r="I2526" s="102"/>
      <c r="J2526" s="102"/>
      <c r="K2526" s="102"/>
      <c r="L2526" s="102"/>
      <c r="M2526" s="102"/>
      <c r="N2526" s="102"/>
      <c r="O2526" s="102"/>
      <c r="P2526" s="102"/>
      <c r="Q2526" s="102"/>
      <c r="R2526" s="102"/>
    </row>
    <row r="2527" spans="1:18" ht="35.1" customHeight="1" x14ac:dyDescent="0.2">
      <c r="A2527" s="99"/>
      <c r="B2527" s="99"/>
      <c r="C2527" s="102"/>
      <c r="D2527" s="102"/>
      <c r="E2527" s="102"/>
      <c r="F2527" s="102"/>
      <c r="G2527" s="102"/>
      <c r="H2527" s="102"/>
      <c r="I2527" s="102"/>
      <c r="J2527" s="102"/>
      <c r="K2527" s="102"/>
      <c r="L2527" s="102"/>
      <c r="M2527" s="102"/>
      <c r="N2527" s="102"/>
      <c r="O2527" s="102"/>
      <c r="P2527" s="102"/>
      <c r="Q2527" s="102"/>
      <c r="R2527" s="102"/>
    </row>
    <row r="2528" spans="1:18" ht="35.1" customHeight="1" x14ac:dyDescent="0.2">
      <c r="A2528" s="99"/>
      <c r="B2528" s="99"/>
      <c r="C2528" s="102"/>
      <c r="D2528" s="102"/>
      <c r="E2528" s="102"/>
      <c r="F2528" s="102"/>
      <c r="G2528" s="102"/>
      <c r="H2528" s="102"/>
      <c r="I2528" s="102"/>
      <c r="J2528" s="102"/>
      <c r="K2528" s="102"/>
      <c r="L2528" s="102"/>
      <c r="M2528" s="102"/>
      <c r="N2528" s="102"/>
      <c r="O2528" s="102"/>
      <c r="P2528" s="102"/>
      <c r="Q2528" s="102"/>
      <c r="R2528" s="102"/>
    </row>
    <row r="2529" spans="1:18" ht="35.1" customHeight="1" x14ac:dyDescent="0.2">
      <c r="A2529" s="99"/>
      <c r="B2529" s="99"/>
      <c r="C2529" s="102"/>
      <c r="D2529" s="102"/>
      <c r="E2529" s="102"/>
      <c r="F2529" s="102"/>
      <c r="G2529" s="102"/>
      <c r="H2529" s="102"/>
      <c r="I2529" s="102"/>
      <c r="J2529" s="102"/>
      <c r="K2529" s="102"/>
      <c r="L2529" s="102"/>
      <c r="M2529" s="102"/>
      <c r="N2529" s="102"/>
      <c r="O2529" s="102"/>
      <c r="P2529" s="102"/>
      <c r="Q2529" s="102"/>
      <c r="R2529" s="102"/>
    </row>
    <row r="2530" spans="1:18" ht="35.1" customHeight="1" x14ac:dyDescent="0.2">
      <c r="A2530" s="99"/>
      <c r="B2530" s="99"/>
      <c r="C2530" s="102"/>
      <c r="D2530" s="102"/>
      <c r="E2530" s="102"/>
      <c r="F2530" s="102"/>
      <c r="G2530" s="102"/>
      <c r="H2530" s="102"/>
      <c r="I2530" s="102"/>
      <c r="J2530" s="102"/>
      <c r="K2530" s="102"/>
      <c r="L2530" s="102"/>
      <c r="M2530" s="102"/>
      <c r="N2530" s="102"/>
      <c r="O2530" s="102"/>
      <c r="P2530" s="102"/>
      <c r="Q2530" s="102"/>
      <c r="R2530" s="102"/>
    </row>
    <row r="2531" spans="1:18" ht="35.1" customHeight="1" x14ac:dyDescent="0.2">
      <c r="A2531" s="99"/>
      <c r="B2531" s="99"/>
      <c r="C2531" s="102"/>
      <c r="D2531" s="102"/>
      <c r="E2531" s="102"/>
      <c r="F2531" s="102"/>
      <c r="G2531" s="102"/>
      <c r="H2531" s="102"/>
      <c r="I2531" s="102"/>
      <c r="J2531" s="102"/>
      <c r="K2531" s="102"/>
      <c r="L2531" s="102"/>
      <c r="M2531" s="102"/>
      <c r="N2531" s="102"/>
      <c r="O2531" s="102"/>
      <c r="P2531" s="102"/>
      <c r="Q2531" s="102"/>
      <c r="R2531" s="102"/>
    </row>
    <row r="2532" spans="1:18" ht="35.1" customHeight="1" x14ac:dyDescent="0.2">
      <c r="A2532" s="99"/>
      <c r="B2532" s="99"/>
      <c r="C2532" s="102"/>
      <c r="D2532" s="102"/>
      <c r="E2532" s="102"/>
      <c r="F2532" s="102"/>
      <c r="G2532" s="102"/>
      <c r="H2532" s="102"/>
      <c r="I2532" s="102"/>
      <c r="J2532" s="102"/>
      <c r="K2532" s="102"/>
      <c r="L2532" s="102"/>
      <c r="M2532" s="102"/>
      <c r="N2532" s="102"/>
      <c r="O2532" s="102"/>
      <c r="P2532" s="102"/>
      <c r="Q2532" s="102"/>
      <c r="R2532" s="102"/>
    </row>
    <row r="2533" spans="1:18" ht="35.1" customHeight="1" x14ac:dyDescent="0.2">
      <c r="A2533" s="99"/>
      <c r="B2533" s="99"/>
      <c r="C2533" s="102"/>
      <c r="D2533" s="102"/>
      <c r="E2533" s="102"/>
      <c r="F2533" s="102"/>
      <c r="G2533" s="102"/>
      <c r="H2533" s="102"/>
      <c r="I2533" s="102"/>
      <c r="J2533" s="102"/>
      <c r="K2533" s="102"/>
      <c r="L2533" s="102"/>
      <c r="M2533" s="102"/>
      <c r="N2533" s="102"/>
      <c r="O2533" s="102"/>
      <c r="P2533" s="102"/>
      <c r="Q2533" s="102"/>
      <c r="R2533" s="102"/>
    </row>
    <row r="2534" spans="1:18" ht="35.1" customHeight="1" x14ac:dyDescent="0.2">
      <c r="A2534" s="99"/>
      <c r="B2534" s="99"/>
      <c r="C2534" s="102"/>
      <c r="D2534" s="102"/>
      <c r="E2534" s="102"/>
      <c r="F2534" s="102"/>
      <c r="G2534" s="102"/>
      <c r="H2534" s="102"/>
      <c r="I2534" s="102"/>
      <c r="J2534" s="102"/>
      <c r="K2534" s="102"/>
      <c r="L2534" s="102"/>
      <c r="M2534" s="102"/>
      <c r="N2534" s="102"/>
      <c r="O2534" s="102"/>
      <c r="P2534" s="102"/>
      <c r="Q2534" s="102"/>
      <c r="R2534" s="102"/>
    </row>
    <row r="2535" spans="1:18" ht="35.1" customHeight="1" x14ac:dyDescent="0.2">
      <c r="A2535" s="99"/>
      <c r="B2535" s="99"/>
      <c r="C2535" s="102"/>
      <c r="D2535" s="102"/>
      <c r="E2535" s="102"/>
      <c r="F2535" s="102"/>
      <c r="G2535" s="102"/>
      <c r="H2535" s="102"/>
      <c r="I2535" s="102"/>
      <c r="J2535" s="102"/>
      <c r="K2535" s="102"/>
      <c r="L2535" s="102"/>
      <c r="M2535" s="102"/>
      <c r="N2535" s="102"/>
      <c r="O2535" s="102"/>
      <c r="P2535" s="102"/>
      <c r="Q2535" s="102"/>
      <c r="R2535" s="102"/>
    </row>
    <row r="2536" spans="1:18" ht="35.1" customHeight="1" x14ac:dyDescent="0.2">
      <c r="A2536" s="99"/>
      <c r="B2536" s="99"/>
      <c r="C2536" s="102"/>
      <c r="D2536" s="102"/>
      <c r="E2536" s="102"/>
      <c r="F2536" s="102"/>
      <c r="G2536" s="102"/>
      <c r="H2536" s="102"/>
      <c r="I2536" s="102"/>
      <c r="J2536" s="102"/>
      <c r="K2536" s="102"/>
      <c r="L2536" s="102"/>
      <c r="M2536" s="102"/>
      <c r="N2536" s="102"/>
      <c r="O2536" s="102"/>
      <c r="P2536" s="102"/>
      <c r="Q2536" s="102"/>
      <c r="R2536" s="102"/>
    </row>
    <row r="2537" spans="1:18" ht="35.1" customHeight="1" x14ac:dyDescent="0.2">
      <c r="A2537" s="99"/>
      <c r="B2537" s="99"/>
      <c r="C2537" s="102"/>
      <c r="D2537" s="102"/>
      <c r="E2537" s="102"/>
      <c r="F2537" s="102"/>
      <c r="G2537" s="102"/>
      <c r="H2537" s="102"/>
      <c r="I2537" s="102"/>
      <c r="J2537" s="102"/>
      <c r="K2537" s="102"/>
      <c r="L2537" s="102"/>
      <c r="M2537" s="102"/>
      <c r="N2537" s="102"/>
      <c r="O2537" s="102"/>
      <c r="P2537" s="102"/>
      <c r="Q2537" s="102"/>
      <c r="R2537" s="102"/>
    </row>
    <row r="2538" spans="1:18" ht="35.1" customHeight="1" x14ac:dyDescent="0.2">
      <c r="A2538" s="99"/>
      <c r="B2538" s="99"/>
      <c r="C2538" s="102"/>
      <c r="D2538" s="102"/>
      <c r="E2538" s="102"/>
      <c r="F2538" s="102"/>
      <c r="G2538" s="102"/>
      <c r="H2538" s="102"/>
      <c r="I2538" s="102"/>
      <c r="J2538" s="102"/>
      <c r="K2538" s="102"/>
      <c r="L2538" s="102"/>
      <c r="M2538" s="102"/>
      <c r="N2538" s="102"/>
      <c r="O2538" s="102"/>
      <c r="P2538" s="102"/>
      <c r="Q2538" s="102"/>
      <c r="R2538" s="102"/>
    </row>
    <row r="2539" spans="1:18" ht="35.1" customHeight="1" x14ac:dyDescent="0.2">
      <c r="A2539" s="99"/>
      <c r="B2539" s="99"/>
      <c r="C2539" s="102"/>
      <c r="D2539" s="102"/>
      <c r="E2539" s="102"/>
      <c r="F2539" s="102"/>
      <c r="G2539" s="102"/>
      <c r="H2539" s="102"/>
      <c r="I2539" s="102"/>
      <c r="J2539" s="102"/>
      <c r="K2539" s="102"/>
      <c r="L2539" s="102"/>
      <c r="M2539" s="102"/>
      <c r="N2539" s="102"/>
      <c r="O2539" s="102"/>
      <c r="P2539" s="102"/>
      <c r="Q2539" s="102"/>
      <c r="R2539" s="102"/>
    </row>
    <row r="2540" spans="1:18" ht="35.1" customHeight="1" x14ac:dyDescent="0.2">
      <c r="A2540" s="99"/>
      <c r="B2540" s="99"/>
      <c r="C2540" s="102"/>
      <c r="D2540" s="102"/>
      <c r="E2540" s="102"/>
      <c r="F2540" s="102"/>
      <c r="G2540" s="102"/>
      <c r="H2540" s="102"/>
      <c r="I2540" s="102"/>
      <c r="J2540" s="102"/>
      <c r="K2540" s="102"/>
      <c r="L2540" s="102"/>
      <c r="M2540" s="102"/>
      <c r="N2540" s="102"/>
      <c r="O2540" s="102"/>
      <c r="P2540" s="102"/>
      <c r="Q2540" s="102"/>
      <c r="R2540" s="102"/>
    </row>
    <row r="2541" spans="1:18" ht="35.1" customHeight="1" x14ac:dyDescent="0.2">
      <c r="A2541" s="99"/>
      <c r="B2541" s="99"/>
      <c r="C2541" s="102"/>
      <c r="D2541" s="102"/>
      <c r="E2541" s="102"/>
      <c r="F2541" s="102"/>
      <c r="G2541" s="102"/>
      <c r="H2541" s="102"/>
      <c r="I2541" s="102"/>
      <c r="J2541" s="102"/>
      <c r="K2541" s="102"/>
      <c r="L2541" s="102"/>
      <c r="M2541" s="102"/>
      <c r="N2541" s="102"/>
      <c r="O2541" s="102"/>
      <c r="P2541" s="102"/>
      <c r="Q2541" s="102"/>
      <c r="R2541" s="102"/>
    </row>
    <row r="2542" spans="1:18" ht="35.1" customHeight="1" x14ac:dyDescent="0.2">
      <c r="A2542" s="99"/>
      <c r="B2542" s="99"/>
      <c r="C2542" s="102"/>
      <c r="D2542" s="102"/>
      <c r="E2542" s="102"/>
      <c r="F2542" s="102"/>
      <c r="G2542" s="102"/>
      <c r="H2542" s="102"/>
      <c r="I2542" s="102"/>
      <c r="J2542" s="102"/>
      <c r="K2542" s="102"/>
      <c r="L2542" s="102"/>
      <c r="M2542" s="102"/>
      <c r="N2542" s="102"/>
      <c r="O2542" s="102"/>
      <c r="P2542" s="102"/>
      <c r="Q2542" s="102"/>
      <c r="R2542" s="102"/>
    </row>
    <row r="2543" spans="1:18" ht="35.1" customHeight="1" x14ac:dyDescent="0.2">
      <c r="A2543" s="99"/>
      <c r="B2543" s="99"/>
      <c r="C2543" s="102"/>
      <c r="D2543" s="102"/>
      <c r="E2543" s="102"/>
      <c r="F2543" s="102"/>
      <c r="G2543" s="102"/>
      <c r="H2543" s="102"/>
      <c r="I2543" s="102"/>
      <c r="J2543" s="102"/>
      <c r="K2543" s="102"/>
      <c r="L2543" s="102"/>
      <c r="M2543" s="102"/>
      <c r="N2543" s="102"/>
      <c r="O2543" s="102"/>
      <c r="P2543" s="102"/>
      <c r="Q2543" s="102"/>
      <c r="R2543" s="102"/>
    </row>
    <row r="2544" spans="1:18" ht="35.1" customHeight="1" x14ac:dyDescent="0.2">
      <c r="A2544" s="99"/>
      <c r="B2544" s="99"/>
      <c r="C2544" s="102"/>
      <c r="D2544" s="102"/>
      <c r="E2544" s="102"/>
      <c r="F2544" s="102"/>
      <c r="G2544" s="102"/>
      <c r="H2544" s="102"/>
      <c r="I2544" s="102"/>
      <c r="J2544" s="102"/>
      <c r="K2544" s="102"/>
      <c r="L2544" s="102"/>
      <c r="M2544" s="102"/>
      <c r="N2544" s="102"/>
      <c r="O2544" s="102"/>
      <c r="P2544" s="102"/>
      <c r="Q2544" s="102"/>
      <c r="R2544" s="102"/>
    </row>
    <row r="2545" spans="1:18" ht="35.1" customHeight="1" x14ac:dyDescent="0.2">
      <c r="A2545" s="99"/>
      <c r="B2545" s="99"/>
      <c r="C2545" s="102"/>
      <c r="D2545" s="102"/>
      <c r="E2545" s="102"/>
      <c r="F2545" s="102"/>
      <c r="G2545" s="102"/>
      <c r="H2545" s="102"/>
      <c r="I2545" s="102"/>
      <c r="J2545" s="102"/>
      <c r="K2545" s="102"/>
      <c r="L2545" s="102"/>
      <c r="M2545" s="102"/>
      <c r="N2545" s="102"/>
      <c r="O2545" s="102"/>
      <c r="P2545" s="102"/>
      <c r="Q2545" s="102"/>
      <c r="R2545" s="102"/>
    </row>
    <row r="2546" spans="1:18" ht="35.1" customHeight="1" x14ac:dyDescent="0.2">
      <c r="A2546" s="99"/>
      <c r="B2546" s="99"/>
      <c r="C2546" s="102"/>
      <c r="D2546" s="102"/>
      <c r="E2546" s="102"/>
      <c r="F2546" s="102"/>
      <c r="G2546" s="102"/>
      <c r="H2546" s="102"/>
      <c r="I2546" s="102"/>
      <c r="J2546" s="102"/>
      <c r="K2546" s="102"/>
      <c r="L2546" s="102"/>
      <c r="M2546" s="102"/>
      <c r="N2546" s="102"/>
      <c r="O2546" s="102"/>
      <c r="P2546" s="102"/>
      <c r="Q2546" s="102"/>
      <c r="R2546" s="102"/>
    </row>
    <row r="2547" spans="1:18" ht="35.1" customHeight="1" x14ac:dyDescent="0.2">
      <c r="A2547" s="99"/>
      <c r="B2547" s="99"/>
      <c r="C2547" s="102"/>
      <c r="D2547" s="102"/>
      <c r="E2547" s="102"/>
      <c r="F2547" s="102"/>
      <c r="G2547" s="102"/>
      <c r="H2547" s="102"/>
      <c r="I2547" s="102"/>
      <c r="J2547" s="102"/>
      <c r="K2547" s="102"/>
      <c r="L2547" s="102"/>
      <c r="M2547" s="102"/>
      <c r="N2547" s="102"/>
      <c r="O2547" s="102"/>
      <c r="P2547" s="102"/>
      <c r="Q2547" s="102"/>
      <c r="R2547" s="102"/>
    </row>
    <row r="2548" spans="1:18" ht="35.1" customHeight="1" x14ac:dyDescent="0.2">
      <c r="A2548" s="99"/>
      <c r="B2548" s="99"/>
      <c r="C2548" s="102"/>
      <c r="D2548" s="102"/>
      <c r="E2548" s="102"/>
      <c r="F2548" s="102"/>
      <c r="G2548" s="102"/>
      <c r="H2548" s="102"/>
      <c r="I2548" s="102"/>
      <c r="J2548" s="102"/>
      <c r="K2548" s="102"/>
      <c r="L2548" s="102"/>
      <c r="M2548" s="102"/>
      <c r="N2548" s="102"/>
      <c r="O2548" s="102"/>
      <c r="P2548" s="102"/>
      <c r="Q2548" s="102"/>
      <c r="R2548" s="102"/>
    </row>
    <row r="2549" spans="1:18" ht="35.1" customHeight="1" x14ac:dyDescent="0.2">
      <c r="A2549" s="99"/>
      <c r="B2549" s="99"/>
      <c r="C2549" s="102"/>
      <c r="D2549" s="102"/>
      <c r="E2549" s="102"/>
      <c r="F2549" s="102"/>
      <c r="G2549" s="102"/>
      <c r="H2549" s="102"/>
      <c r="I2549" s="102"/>
      <c r="J2549" s="102"/>
      <c r="K2549" s="102"/>
      <c r="L2549" s="102"/>
      <c r="M2549" s="102"/>
      <c r="N2549" s="102"/>
      <c r="O2549" s="102"/>
      <c r="P2549" s="102"/>
      <c r="Q2549" s="102"/>
      <c r="R2549" s="102"/>
    </row>
    <row r="2550" spans="1:18" ht="35.1" customHeight="1" x14ac:dyDescent="0.2">
      <c r="A2550" s="99"/>
      <c r="B2550" s="99"/>
      <c r="C2550" s="102"/>
      <c r="D2550" s="102"/>
      <c r="E2550" s="102"/>
      <c r="F2550" s="102"/>
      <c r="G2550" s="102"/>
      <c r="H2550" s="102"/>
      <c r="I2550" s="102"/>
      <c r="J2550" s="102"/>
      <c r="K2550" s="102"/>
      <c r="L2550" s="102"/>
      <c r="M2550" s="102"/>
      <c r="N2550" s="102"/>
      <c r="O2550" s="102"/>
      <c r="P2550" s="102"/>
      <c r="Q2550" s="102"/>
      <c r="R2550" s="102"/>
    </row>
    <row r="2551" spans="1:18" ht="35.1" customHeight="1" x14ac:dyDescent="0.2">
      <c r="A2551" s="99"/>
      <c r="B2551" s="99"/>
      <c r="C2551" s="102"/>
      <c r="D2551" s="102"/>
      <c r="E2551" s="102"/>
      <c r="F2551" s="102"/>
      <c r="G2551" s="102"/>
      <c r="H2551" s="102"/>
      <c r="I2551" s="102"/>
      <c r="J2551" s="102"/>
      <c r="K2551" s="102"/>
      <c r="L2551" s="102"/>
      <c r="M2551" s="102"/>
      <c r="N2551" s="102"/>
      <c r="O2551" s="102"/>
      <c r="P2551" s="102"/>
      <c r="Q2551" s="102"/>
      <c r="R2551" s="102"/>
    </row>
    <row r="2552" spans="1:18" ht="35.1" customHeight="1" x14ac:dyDescent="0.2">
      <c r="A2552" s="99"/>
      <c r="B2552" s="99"/>
      <c r="C2552" s="102"/>
      <c r="D2552" s="102"/>
      <c r="E2552" s="102"/>
      <c r="F2552" s="102"/>
      <c r="G2552" s="102"/>
      <c r="H2552" s="102"/>
      <c r="I2552" s="102"/>
      <c r="J2552" s="102"/>
      <c r="K2552" s="102"/>
      <c r="L2552" s="102"/>
      <c r="M2552" s="102"/>
      <c r="N2552" s="102"/>
      <c r="O2552" s="102"/>
      <c r="P2552" s="102"/>
      <c r="Q2552" s="102"/>
      <c r="R2552" s="102"/>
    </row>
    <row r="2553" spans="1:18" ht="35.1" customHeight="1" x14ac:dyDescent="0.2">
      <c r="A2553" s="99"/>
      <c r="B2553" s="99"/>
      <c r="C2553" s="102"/>
      <c r="D2553" s="102"/>
      <c r="E2553" s="102"/>
      <c r="F2553" s="102"/>
      <c r="G2553" s="102"/>
      <c r="H2553" s="102"/>
      <c r="I2553" s="102"/>
      <c r="J2553" s="102"/>
      <c r="K2553" s="102"/>
      <c r="L2553" s="102"/>
      <c r="M2553" s="102"/>
      <c r="N2553" s="102"/>
      <c r="O2553" s="102"/>
      <c r="P2553" s="102"/>
      <c r="Q2553" s="102"/>
      <c r="R2553" s="102"/>
    </row>
    <row r="2554" spans="1:18" ht="35.1" customHeight="1" x14ac:dyDescent="0.2">
      <c r="A2554" s="99"/>
      <c r="B2554" s="99"/>
      <c r="C2554" s="102"/>
      <c r="D2554" s="102"/>
      <c r="E2554" s="102"/>
      <c r="F2554" s="102"/>
      <c r="G2554" s="102"/>
      <c r="H2554" s="102"/>
      <c r="I2554" s="102"/>
      <c r="J2554" s="102"/>
      <c r="K2554" s="102"/>
      <c r="L2554" s="102"/>
      <c r="M2554" s="102"/>
      <c r="N2554" s="102"/>
      <c r="O2554" s="102"/>
      <c r="P2554" s="102"/>
      <c r="Q2554" s="102"/>
      <c r="R2554" s="102"/>
    </row>
    <row r="2555" spans="1:18" ht="35.1" customHeight="1" x14ac:dyDescent="0.2">
      <c r="A2555" s="99"/>
      <c r="B2555" s="99"/>
      <c r="C2555" s="102"/>
      <c r="D2555" s="102"/>
      <c r="E2555" s="102"/>
      <c r="F2555" s="102"/>
      <c r="G2555" s="102"/>
      <c r="H2555" s="102"/>
      <c r="I2555" s="102"/>
      <c r="J2555" s="102"/>
      <c r="K2555" s="102"/>
      <c r="L2555" s="102"/>
      <c r="M2555" s="102"/>
      <c r="N2555" s="102"/>
      <c r="O2555" s="102"/>
      <c r="P2555" s="102"/>
      <c r="Q2555" s="102"/>
      <c r="R2555" s="102"/>
    </row>
    <row r="2556" spans="1:18" ht="35.1" customHeight="1" x14ac:dyDescent="0.2">
      <c r="A2556" s="99"/>
      <c r="B2556" s="99"/>
      <c r="C2556" s="102"/>
      <c r="D2556" s="102"/>
      <c r="E2556" s="102"/>
      <c r="F2556" s="102"/>
      <c r="G2556" s="102"/>
      <c r="H2556" s="102"/>
      <c r="I2556" s="102"/>
      <c r="J2556" s="102"/>
      <c r="K2556" s="102"/>
      <c r="L2556" s="102"/>
      <c r="M2556" s="102"/>
      <c r="N2556" s="102"/>
      <c r="O2556" s="102"/>
      <c r="P2556" s="102"/>
      <c r="Q2556" s="102"/>
      <c r="R2556" s="102"/>
    </row>
    <row r="2557" spans="1:18" ht="35.1" customHeight="1" x14ac:dyDescent="0.2">
      <c r="A2557" s="99"/>
      <c r="B2557" s="99"/>
      <c r="C2557" s="102"/>
      <c r="D2557" s="102"/>
      <c r="E2557" s="102"/>
      <c r="F2557" s="102"/>
      <c r="G2557" s="102"/>
      <c r="H2557" s="102"/>
      <c r="I2557" s="102"/>
      <c r="J2557" s="102"/>
      <c r="K2557" s="102"/>
      <c r="L2557" s="102"/>
      <c r="M2557" s="102"/>
      <c r="N2557" s="102"/>
      <c r="O2557" s="102"/>
      <c r="P2557" s="102"/>
      <c r="Q2557" s="102"/>
      <c r="R2557" s="102"/>
    </row>
    <row r="2558" spans="1:18" ht="35.1" customHeight="1" x14ac:dyDescent="0.2">
      <c r="A2558" s="99"/>
      <c r="B2558" s="99"/>
      <c r="C2558" s="102"/>
      <c r="D2558" s="102"/>
      <c r="E2558" s="102"/>
      <c r="F2558" s="102"/>
      <c r="G2558" s="102"/>
      <c r="H2558" s="102"/>
      <c r="I2558" s="102"/>
      <c r="J2558" s="102"/>
      <c r="K2558" s="102"/>
      <c r="L2558" s="102"/>
      <c r="M2558" s="102"/>
      <c r="N2558" s="102"/>
      <c r="O2558" s="102"/>
      <c r="P2558" s="102"/>
      <c r="Q2558" s="102"/>
      <c r="R2558" s="102"/>
    </row>
    <row r="2559" spans="1:18" ht="35.1" customHeight="1" x14ac:dyDescent="0.2">
      <c r="A2559" s="99"/>
      <c r="B2559" s="99"/>
      <c r="C2559" s="102"/>
      <c r="D2559" s="102"/>
      <c r="E2559" s="102"/>
      <c r="F2559" s="102"/>
      <c r="G2559" s="102"/>
      <c r="H2559" s="102"/>
      <c r="I2559" s="102"/>
      <c r="J2559" s="102"/>
      <c r="K2559" s="102"/>
      <c r="L2559" s="102"/>
      <c r="M2559" s="102"/>
      <c r="N2559" s="102"/>
      <c r="O2559" s="102"/>
      <c r="P2559" s="102"/>
      <c r="Q2559" s="102"/>
      <c r="R2559" s="102"/>
    </row>
    <row r="2560" spans="1:18" ht="35.1" customHeight="1" x14ac:dyDescent="0.2">
      <c r="A2560" s="99"/>
      <c r="B2560" s="99"/>
      <c r="C2560" s="102"/>
      <c r="D2560" s="102"/>
      <c r="E2560" s="102"/>
      <c r="F2560" s="102"/>
      <c r="G2560" s="102"/>
      <c r="H2560" s="102"/>
      <c r="I2560" s="102"/>
      <c r="J2560" s="102"/>
      <c r="K2560" s="102"/>
      <c r="L2560" s="102"/>
      <c r="M2560" s="102"/>
      <c r="N2560" s="102"/>
      <c r="O2560" s="102"/>
      <c r="P2560" s="102"/>
      <c r="Q2560" s="102"/>
      <c r="R2560" s="102"/>
    </row>
    <row r="2561" spans="1:18" ht="35.1" customHeight="1" x14ac:dyDescent="0.2">
      <c r="A2561" s="99"/>
      <c r="B2561" s="99"/>
      <c r="C2561" s="102"/>
      <c r="D2561" s="102"/>
      <c r="E2561" s="102"/>
      <c r="F2561" s="102"/>
      <c r="G2561" s="102"/>
      <c r="H2561" s="102"/>
      <c r="I2561" s="102"/>
      <c r="J2561" s="102"/>
      <c r="K2561" s="102"/>
      <c r="L2561" s="102"/>
      <c r="M2561" s="102"/>
      <c r="N2561" s="102"/>
      <c r="O2561" s="102"/>
      <c r="P2561" s="102"/>
      <c r="Q2561" s="102"/>
      <c r="R2561" s="102"/>
    </row>
    <row r="2562" spans="1:18" ht="35.1" customHeight="1" x14ac:dyDescent="0.2">
      <c r="A2562" s="99"/>
      <c r="B2562" s="99"/>
      <c r="C2562" s="102"/>
      <c r="D2562" s="102"/>
      <c r="E2562" s="102"/>
      <c r="F2562" s="102"/>
      <c r="G2562" s="102"/>
      <c r="H2562" s="102"/>
      <c r="I2562" s="102"/>
      <c r="J2562" s="102"/>
      <c r="K2562" s="102"/>
      <c r="L2562" s="102"/>
      <c r="M2562" s="102"/>
      <c r="N2562" s="102"/>
      <c r="O2562" s="102"/>
      <c r="P2562" s="102"/>
      <c r="Q2562" s="102"/>
      <c r="R2562" s="102"/>
    </row>
    <row r="2563" spans="1:18" ht="35.1" customHeight="1" x14ac:dyDescent="0.2">
      <c r="A2563" s="99"/>
      <c r="B2563" s="99"/>
      <c r="C2563" s="102"/>
      <c r="D2563" s="102"/>
      <c r="E2563" s="102"/>
      <c r="F2563" s="102"/>
      <c r="G2563" s="102"/>
      <c r="H2563" s="102"/>
      <c r="I2563" s="102"/>
      <c r="J2563" s="102"/>
      <c r="K2563" s="102"/>
      <c r="L2563" s="102"/>
      <c r="M2563" s="102"/>
      <c r="N2563" s="102"/>
      <c r="O2563" s="102"/>
      <c r="P2563" s="102"/>
      <c r="Q2563" s="102"/>
      <c r="R2563" s="102"/>
    </row>
    <row r="2564" spans="1:18" ht="35.1" customHeight="1" x14ac:dyDescent="0.2">
      <c r="A2564" s="99"/>
      <c r="B2564" s="99"/>
      <c r="C2564" s="102"/>
      <c r="D2564" s="102"/>
      <c r="E2564" s="102"/>
      <c r="F2564" s="102"/>
      <c r="G2564" s="102"/>
      <c r="H2564" s="102"/>
      <c r="I2564" s="102"/>
      <c r="J2564" s="102"/>
      <c r="K2564" s="102"/>
      <c r="L2564" s="102"/>
      <c r="M2564" s="102"/>
      <c r="N2564" s="102"/>
      <c r="O2564" s="102"/>
      <c r="P2564" s="102"/>
      <c r="Q2564" s="102"/>
      <c r="R2564" s="102"/>
    </row>
    <row r="2565" spans="1:18" ht="35.1" customHeight="1" x14ac:dyDescent="0.2">
      <c r="A2565" s="99"/>
      <c r="B2565" s="99"/>
      <c r="C2565" s="102"/>
      <c r="D2565" s="102"/>
      <c r="E2565" s="102"/>
      <c r="F2565" s="102"/>
      <c r="G2565" s="102"/>
      <c r="H2565" s="102"/>
      <c r="I2565" s="102"/>
      <c r="J2565" s="102"/>
      <c r="K2565" s="102"/>
      <c r="L2565" s="102"/>
      <c r="M2565" s="102"/>
      <c r="N2565" s="102"/>
      <c r="O2565" s="102"/>
      <c r="P2565" s="102"/>
      <c r="Q2565" s="102"/>
      <c r="R2565" s="102"/>
    </row>
    <row r="2566" spans="1:18" ht="35.1" customHeight="1" x14ac:dyDescent="0.2">
      <c r="A2566" s="99"/>
      <c r="B2566" s="99"/>
      <c r="C2566" s="102"/>
      <c r="D2566" s="102"/>
      <c r="E2566" s="102"/>
      <c r="F2566" s="102"/>
      <c r="G2566" s="102"/>
      <c r="H2566" s="102"/>
      <c r="I2566" s="102"/>
      <c r="J2566" s="102"/>
      <c r="K2566" s="102"/>
      <c r="L2566" s="102"/>
      <c r="M2566" s="102"/>
      <c r="N2566" s="102"/>
      <c r="O2566" s="102"/>
      <c r="P2566" s="102"/>
      <c r="Q2566" s="102"/>
      <c r="R2566" s="102"/>
    </row>
    <row r="2567" spans="1:18" ht="35.1" customHeight="1" x14ac:dyDescent="0.2">
      <c r="A2567" s="99"/>
      <c r="B2567" s="99"/>
      <c r="C2567" s="102"/>
      <c r="D2567" s="102"/>
      <c r="E2567" s="102"/>
      <c r="F2567" s="102"/>
      <c r="G2567" s="102"/>
      <c r="H2567" s="102"/>
      <c r="I2567" s="102"/>
      <c r="J2567" s="102"/>
      <c r="K2567" s="102"/>
      <c r="L2567" s="102"/>
      <c r="M2567" s="102"/>
      <c r="N2567" s="102"/>
      <c r="O2567" s="102"/>
      <c r="P2567" s="102"/>
      <c r="Q2567" s="102"/>
      <c r="R2567" s="102"/>
    </row>
    <row r="2568" spans="1:18" ht="35.1" customHeight="1" x14ac:dyDescent="0.2">
      <c r="A2568" s="99"/>
      <c r="B2568" s="99"/>
      <c r="C2568" s="102"/>
      <c r="D2568" s="102"/>
      <c r="E2568" s="102"/>
      <c r="F2568" s="102"/>
      <c r="G2568" s="102"/>
      <c r="H2568" s="102"/>
      <c r="I2568" s="102"/>
      <c r="J2568" s="102"/>
      <c r="K2568" s="102"/>
      <c r="L2568" s="102"/>
      <c r="M2568" s="102"/>
      <c r="N2568" s="102"/>
      <c r="O2568" s="102"/>
      <c r="P2568" s="102"/>
      <c r="Q2568" s="102"/>
      <c r="R2568" s="102"/>
    </row>
    <row r="2569" spans="1:18" ht="35.1" customHeight="1" x14ac:dyDescent="0.2">
      <c r="A2569" s="99"/>
      <c r="B2569" s="99"/>
      <c r="C2569" s="102"/>
      <c r="D2569" s="102"/>
      <c r="E2569" s="102"/>
      <c r="F2569" s="102"/>
      <c r="G2569" s="102"/>
      <c r="H2569" s="102"/>
      <c r="I2569" s="102"/>
      <c r="J2569" s="102"/>
      <c r="K2569" s="102"/>
      <c r="L2569" s="102"/>
      <c r="M2569" s="102"/>
      <c r="N2569" s="102"/>
      <c r="O2569" s="102"/>
      <c r="P2569" s="102"/>
      <c r="Q2569" s="102"/>
      <c r="R2569" s="102"/>
    </row>
    <row r="2570" spans="1:18" ht="35.1" customHeight="1" x14ac:dyDescent="0.2">
      <c r="A2570" s="99"/>
      <c r="B2570" s="99"/>
      <c r="C2570" s="102"/>
      <c r="D2570" s="102"/>
      <c r="E2570" s="102"/>
      <c r="F2570" s="102"/>
      <c r="G2570" s="102"/>
      <c r="H2570" s="102"/>
      <c r="I2570" s="102"/>
      <c r="J2570" s="102"/>
      <c r="K2570" s="102"/>
      <c r="L2570" s="102"/>
      <c r="M2570" s="102"/>
      <c r="N2570" s="102"/>
      <c r="O2570" s="102"/>
      <c r="P2570" s="102"/>
      <c r="Q2570" s="102"/>
      <c r="R2570" s="102"/>
    </row>
    <row r="2571" spans="1:18" ht="35.1" customHeight="1" x14ac:dyDescent="0.2">
      <c r="A2571" s="99"/>
      <c r="B2571" s="99"/>
      <c r="C2571" s="102"/>
      <c r="D2571" s="102"/>
      <c r="E2571" s="102"/>
      <c r="F2571" s="102"/>
      <c r="G2571" s="102"/>
      <c r="H2571" s="102"/>
      <c r="I2571" s="102"/>
      <c r="J2571" s="102"/>
      <c r="K2571" s="102"/>
      <c r="L2571" s="102"/>
      <c r="M2571" s="102"/>
      <c r="N2571" s="102"/>
      <c r="O2571" s="102"/>
      <c r="P2571" s="102"/>
      <c r="Q2571" s="102"/>
      <c r="R2571" s="102"/>
    </row>
    <row r="2572" spans="1:18" ht="35.1" customHeight="1" x14ac:dyDescent="0.2">
      <c r="A2572" s="99"/>
      <c r="B2572" s="99"/>
      <c r="C2572" s="102"/>
      <c r="D2572" s="102"/>
      <c r="E2572" s="102"/>
      <c r="F2572" s="102"/>
      <c r="G2572" s="102"/>
      <c r="H2572" s="102"/>
      <c r="I2572" s="102"/>
      <c r="J2572" s="102"/>
      <c r="K2572" s="102"/>
      <c r="L2572" s="102"/>
      <c r="M2572" s="102"/>
      <c r="N2572" s="102"/>
      <c r="O2572" s="102"/>
      <c r="P2572" s="102"/>
      <c r="Q2572" s="102"/>
      <c r="R2572" s="102"/>
    </row>
    <row r="2573" spans="1:18" ht="35.1" customHeight="1" x14ac:dyDescent="0.2">
      <c r="A2573" s="99"/>
      <c r="B2573" s="99"/>
      <c r="C2573" s="102"/>
      <c r="D2573" s="102"/>
      <c r="E2573" s="102"/>
      <c r="F2573" s="102"/>
      <c r="G2573" s="102"/>
      <c r="H2573" s="102"/>
      <c r="I2573" s="102"/>
      <c r="J2573" s="102"/>
      <c r="K2573" s="102"/>
      <c r="L2573" s="102"/>
      <c r="M2573" s="102"/>
      <c r="N2573" s="102"/>
      <c r="O2573" s="102"/>
      <c r="P2573" s="102"/>
      <c r="Q2573" s="102"/>
      <c r="R2573" s="102"/>
    </row>
    <row r="2574" spans="1:18" ht="35.1" customHeight="1" x14ac:dyDescent="0.2">
      <c r="A2574" s="99"/>
      <c r="B2574" s="99"/>
      <c r="C2574" s="102"/>
      <c r="D2574" s="102"/>
      <c r="E2574" s="102"/>
      <c r="F2574" s="102"/>
      <c r="G2574" s="102"/>
      <c r="H2574" s="102"/>
      <c r="I2574" s="102"/>
      <c r="J2574" s="102"/>
      <c r="K2574" s="102"/>
      <c r="L2574" s="102"/>
      <c r="M2574" s="102"/>
      <c r="N2574" s="102"/>
      <c r="O2574" s="102"/>
      <c r="P2574" s="102"/>
      <c r="Q2574" s="102"/>
      <c r="R2574" s="102"/>
    </row>
    <row r="2575" spans="1:18" ht="35.1" customHeight="1" x14ac:dyDescent="0.2">
      <c r="A2575" s="99"/>
      <c r="B2575" s="99"/>
      <c r="C2575" s="102"/>
      <c r="D2575" s="102"/>
      <c r="E2575" s="102"/>
      <c r="F2575" s="102"/>
      <c r="G2575" s="102"/>
      <c r="H2575" s="102"/>
      <c r="I2575" s="102"/>
      <c r="J2575" s="102"/>
      <c r="K2575" s="102"/>
      <c r="L2575" s="102"/>
      <c r="M2575" s="102"/>
      <c r="N2575" s="102"/>
      <c r="O2575" s="102"/>
      <c r="P2575" s="102"/>
      <c r="Q2575" s="102"/>
      <c r="R2575" s="102"/>
    </row>
    <row r="2576" spans="1:18" ht="35.1" customHeight="1" x14ac:dyDescent="0.2">
      <c r="A2576" s="99"/>
      <c r="B2576" s="99"/>
      <c r="C2576" s="102"/>
      <c r="D2576" s="102"/>
      <c r="E2576" s="102"/>
      <c r="F2576" s="102"/>
      <c r="G2576" s="102"/>
      <c r="H2576" s="102"/>
      <c r="I2576" s="102"/>
      <c r="J2576" s="102"/>
      <c r="K2576" s="102"/>
      <c r="L2576" s="102"/>
      <c r="M2576" s="102"/>
      <c r="N2576" s="102"/>
      <c r="O2576" s="102"/>
      <c r="P2576" s="102"/>
      <c r="Q2576" s="102"/>
      <c r="R2576" s="102"/>
    </row>
    <row r="2577" spans="1:18" ht="35.1" customHeight="1" x14ac:dyDescent="0.2">
      <c r="A2577" s="99"/>
      <c r="B2577" s="99"/>
      <c r="C2577" s="102"/>
      <c r="D2577" s="102"/>
      <c r="E2577" s="102"/>
      <c r="F2577" s="102"/>
      <c r="G2577" s="102"/>
      <c r="H2577" s="102"/>
      <c r="I2577" s="102"/>
      <c r="J2577" s="102"/>
      <c r="K2577" s="102"/>
      <c r="L2577" s="102"/>
      <c r="M2577" s="102"/>
      <c r="N2577" s="102"/>
      <c r="O2577" s="102"/>
      <c r="P2577" s="102"/>
      <c r="Q2577" s="102"/>
      <c r="R2577" s="102"/>
    </row>
    <row r="2578" spans="1:18" ht="35.1" customHeight="1" x14ac:dyDescent="0.2">
      <c r="A2578" s="99"/>
      <c r="B2578" s="99"/>
      <c r="C2578" s="102"/>
      <c r="D2578" s="102"/>
      <c r="E2578" s="102"/>
      <c r="F2578" s="102"/>
      <c r="G2578" s="102"/>
      <c r="H2578" s="102"/>
      <c r="I2578" s="102"/>
      <c r="J2578" s="102"/>
      <c r="K2578" s="102"/>
      <c r="L2578" s="102"/>
      <c r="M2578" s="102"/>
      <c r="N2578" s="102"/>
      <c r="O2578" s="102"/>
      <c r="P2578" s="102"/>
      <c r="Q2578" s="102"/>
      <c r="R2578" s="102"/>
    </row>
    <row r="2579" spans="1:18" ht="35.1" customHeight="1" x14ac:dyDescent="0.2">
      <c r="A2579" s="99"/>
      <c r="B2579" s="99"/>
      <c r="C2579" s="102"/>
      <c r="D2579" s="102"/>
      <c r="E2579" s="102"/>
      <c r="F2579" s="102"/>
      <c r="G2579" s="102"/>
      <c r="H2579" s="102"/>
      <c r="I2579" s="102"/>
      <c r="J2579" s="102"/>
      <c r="K2579" s="102"/>
      <c r="L2579" s="102"/>
      <c r="M2579" s="102"/>
      <c r="N2579" s="102"/>
      <c r="O2579" s="102"/>
      <c r="P2579" s="102"/>
      <c r="Q2579" s="102"/>
      <c r="R2579" s="102"/>
    </row>
    <row r="2580" spans="1:18" ht="35.1" customHeight="1" x14ac:dyDescent="0.2">
      <c r="A2580" s="99"/>
      <c r="B2580" s="99"/>
      <c r="C2580" s="102"/>
      <c r="D2580" s="102"/>
      <c r="E2580" s="102"/>
      <c r="F2580" s="102"/>
      <c r="G2580" s="102"/>
      <c r="H2580" s="102"/>
      <c r="I2580" s="102"/>
      <c r="J2580" s="102"/>
      <c r="K2580" s="102"/>
      <c r="L2580" s="102"/>
      <c r="M2580" s="102"/>
      <c r="N2580" s="102"/>
      <c r="O2580" s="102"/>
      <c r="P2580" s="102"/>
      <c r="Q2580" s="102"/>
      <c r="R2580" s="102"/>
    </row>
    <row r="2581" spans="1:18" ht="35.1" customHeight="1" x14ac:dyDescent="0.2">
      <c r="A2581" s="99"/>
      <c r="B2581" s="99"/>
      <c r="C2581" s="102"/>
      <c r="D2581" s="102"/>
      <c r="E2581" s="102"/>
      <c r="F2581" s="102"/>
      <c r="G2581" s="102"/>
      <c r="H2581" s="102"/>
      <c r="I2581" s="102"/>
      <c r="J2581" s="102"/>
      <c r="K2581" s="102"/>
      <c r="L2581" s="102"/>
      <c r="M2581" s="102"/>
      <c r="N2581" s="102"/>
      <c r="O2581" s="102"/>
      <c r="P2581" s="102"/>
      <c r="Q2581" s="102"/>
      <c r="R2581" s="102"/>
    </row>
    <row r="2582" spans="1:18" ht="35.1" customHeight="1" x14ac:dyDescent="0.2">
      <c r="A2582" s="99"/>
      <c r="B2582" s="99"/>
      <c r="C2582" s="102"/>
      <c r="D2582" s="102"/>
      <c r="E2582" s="102"/>
      <c r="F2582" s="102"/>
      <c r="G2582" s="102"/>
      <c r="H2582" s="102"/>
      <c r="I2582" s="102"/>
      <c r="J2582" s="102"/>
      <c r="K2582" s="102"/>
      <c r="L2582" s="102"/>
      <c r="M2582" s="102"/>
      <c r="N2582" s="102"/>
      <c r="O2582" s="102"/>
      <c r="P2582" s="102"/>
      <c r="Q2582" s="102"/>
      <c r="R2582" s="102"/>
    </row>
    <row r="2583" spans="1:18" ht="35.1" customHeight="1" x14ac:dyDescent="0.2">
      <c r="A2583" s="99"/>
      <c r="B2583" s="99"/>
      <c r="C2583" s="102"/>
      <c r="D2583" s="102"/>
      <c r="E2583" s="102"/>
      <c r="F2583" s="102"/>
      <c r="G2583" s="102"/>
      <c r="H2583" s="102"/>
      <c r="I2583" s="102"/>
      <c r="J2583" s="102"/>
      <c r="K2583" s="102"/>
      <c r="L2583" s="102"/>
      <c r="M2583" s="102"/>
      <c r="N2583" s="102"/>
      <c r="O2583" s="102"/>
      <c r="P2583" s="102"/>
      <c r="Q2583" s="102"/>
      <c r="R2583" s="102"/>
    </row>
    <row r="2584" spans="1:18" ht="35.1" customHeight="1" x14ac:dyDescent="0.2">
      <c r="A2584" s="99"/>
      <c r="B2584" s="99"/>
      <c r="C2584" s="102"/>
      <c r="D2584" s="102"/>
      <c r="E2584" s="102"/>
      <c r="F2584" s="102"/>
      <c r="G2584" s="102"/>
      <c r="H2584" s="102"/>
      <c r="I2584" s="102"/>
      <c r="J2584" s="102"/>
      <c r="K2584" s="102"/>
      <c r="L2584" s="102"/>
      <c r="M2584" s="102"/>
      <c r="N2584" s="102"/>
      <c r="O2584" s="102"/>
      <c r="P2584" s="102"/>
      <c r="Q2584" s="102"/>
      <c r="R2584" s="102"/>
    </row>
    <row r="2585" spans="1:18" ht="35.1" customHeight="1" x14ac:dyDescent="0.2">
      <c r="A2585" s="99"/>
      <c r="B2585" s="99"/>
      <c r="C2585" s="102"/>
      <c r="D2585" s="102"/>
      <c r="E2585" s="102"/>
      <c r="F2585" s="102"/>
      <c r="G2585" s="102"/>
      <c r="H2585" s="102"/>
      <c r="I2585" s="102"/>
      <c r="J2585" s="102"/>
      <c r="K2585" s="102"/>
      <c r="L2585" s="102"/>
      <c r="M2585" s="102"/>
      <c r="N2585" s="102"/>
      <c r="O2585" s="102"/>
      <c r="P2585" s="102"/>
      <c r="Q2585" s="102"/>
      <c r="R2585" s="102"/>
    </row>
    <row r="2586" spans="1:18" ht="35.1" customHeight="1" x14ac:dyDescent="0.2">
      <c r="A2586" s="99"/>
      <c r="B2586" s="99"/>
      <c r="C2586" s="102"/>
      <c r="D2586" s="102"/>
      <c r="E2586" s="102"/>
      <c r="F2586" s="102"/>
      <c r="G2586" s="102"/>
      <c r="H2586" s="102"/>
      <c r="I2586" s="102"/>
      <c r="J2586" s="102"/>
      <c r="K2586" s="102"/>
      <c r="L2586" s="102"/>
      <c r="M2586" s="102"/>
      <c r="N2586" s="102"/>
      <c r="O2586" s="102"/>
      <c r="P2586" s="102"/>
      <c r="Q2586" s="102"/>
      <c r="R2586" s="102"/>
    </row>
    <row r="2587" spans="1:18" ht="35.1" customHeight="1" x14ac:dyDescent="0.2">
      <c r="A2587" s="99"/>
      <c r="B2587" s="99"/>
      <c r="C2587" s="102"/>
      <c r="D2587" s="102"/>
      <c r="E2587" s="102"/>
      <c r="F2587" s="102"/>
      <c r="G2587" s="102"/>
      <c r="H2587" s="102"/>
      <c r="I2587" s="102"/>
      <c r="J2587" s="102"/>
      <c r="K2587" s="102"/>
      <c r="L2587" s="102"/>
      <c r="M2587" s="102"/>
      <c r="N2587" s="102"/>
      <c r="O2587" s="102"/>
      <c r="P2587" s="102"/>
      <c r="Q2587" s="102"/>
      <c r="R2587" s="102"/>
    </row>
    <row r="2588" spans="1:18" ht="35.1" customHeight="1" x14ac:dyDescent="0.2">
      <c r="A2588" s="99"/>
      <c r="B2588" s="99"/>
      <c r="C2588" s="102"/>
      <c r="D2588" s="102"/>
      <c r="E2588" s="102"/>
      <c r="F2588" s="102"/>
      <c r="G2588" s="102"/>
      <c r="H2588" s="102"/>
      <c r="I2588" s="102"/>
      <c r="J2588" s="102"/>
      <c r="K2588" s="102"/>
      <c r="L2588" s="102"/>
      <c r="M2588" s="102"/>
      <c r="N2588" s="102"/>
      <c r="O2588" s="102"/>
      <c r="P2588" s="102"/>
      <c r="Q2588" s="102"/>
      <c r="R2588" s="102"/>
    </row>
    <row r="2589" spans="1:18" ht="35.1" customHeight="1" x14ac:dyDescent="0.2">
      <c r="A2589" s="99"/>
      <c r="B2589" s="99"/>
      <c r="C2589" s="102"/>
      <c r="D2589" s="102"/>
      <c r="E2589" s="102"/>
      <c r="F2589" s="102"/>
      <c r="G2589" s="102"/>
      <c r="H2589" s="102"/>
      <c r="I2589" s="102"/>
      <c r="J2589" s="102"/>
      <c r="K2589" s="102"/>
      <c r="L2589" s="102"/>
      <c r="M2589" s="102"/>
      <c r="N2589" s="102"/>
      <c r="O2589" s="102"/>
      <c r="P2589" s="102"/>
      <c r="Q2589" s="102"/>
      <c r="R2589" s="102"/>
    </row>
    <row r="2590" spans="1:18" ht="35.1" customHeight="1" x14ac:dyDescent="0.2">
      <c r="A2590" s="99"/>
      <c r="B2590" s="99"/>
      <c r="C2590" s="102"/>
      <c r="D2590" s="102"/>
      <c r="E2590" s="102"/>
      <c r="F2590" s="102"/>
      <c r="G2590" s="102"/>
      <c r="H2590" s="102"/>
      <c r="I2590" s="102"/>
      <c r="J2590" s="102"/>
      <c r="K2590" s="102"/>
      <c r="L2590" s="102"/>
      <c r="M2590" s="102"/>
      <c r="N2590" s="102"/>
      <c r="O2590" s="102"/>
      <c r="P2590" s="102"/>
      <c r="Q2590" s="102"/>
      <c r="R2590" s="102"/>
    </row>
    <row r="2591" spans="1:18" ht="35.1" customHeight="1" x14ac:dyDescent="0.2">
      <c r="A2591" s="99"/>
      <c r="B2591" s="99"/>
      <c r="C2591" s="102"/>
      <c r="D2591" s="102"/>
      <c r="E2591" s="102"/>
      <c r="F2591" s="102"/>
      <c r="G2591" s="102"/>
      <c r="H2591" s="102"/>
      <c r="I2591" s="102"/>
      <c r="J2591" s="102"/>
      <c r="K2591" s="102"/>
      <c r="L2591" s="102"/>
      <c r="M2591" s="102"/>
      <c r="N2591" s="102"/>
      <c r="O2591" s="102"/>
      <c r="P2591" s="102"/>
      <c r="Q2591" s="102"/>
      <c r="R2591" s="102"/>
    </row>
    <row r="2592" spans="1:18" ht="35.1" customHeight="1" x14ac:dyDescent="0.2">
      <c r="A2592" s="99"/>
      <c r="B2592" s="99"/>
      <c r="C2592" s="102"/>
      <c r="D2592" s="102"/>
      <c r="E2592" s="102"/>
      <c r="F2592" s="102"/>
      <c r="G2592" s="102"/>
      <c r="H2592" s="102"/>
      <c r="I2592" s="102"/>
      <c r="J2592" s="102"/>
      <c r="K2592" s="102"/>
      <c r="L2592" s="102"/>
      <c r="M2592" s="102"/>
      <c r="N2592" s="102"/>
      <c r="O2592" s="102"/>
      <c r="P2592" s="102"/>
      <c r="Q2592" s="102"/>
      <c r="R2592" s="102"/>
    </row>
    <row r="2593" spans="1:18" ht="35.1" customHeight="1" x14ac:dyDescent="0.2">
      <c r="A2593" s="99"/>
      <c r="B2593" s="99"/>
      <c r="C2593" s="102"/>
      <c r="D2593" s="102"/>
      <c r="E2593" s="102"/>
      <c r="F2593" s="102"/>
      <c r="G2593" s="102"/>
      <c r="H2593" s="102"/>
      <c r="I2593" s="102"/>
      <c r="J2593" s="102"/>
      <c r="K2593" s="102"/>
      <c r="L2593" s="102"/>
      <c r="M2593" s="102"/>
      <c r="N2593" s="102"/>
      <c r="O2593" s="102"/>
      <c r="P2593" s="102"/>
      <c r="Q2593" s="102"/>
      <c r="R2593" s="102"/>
    </row>
    <row r="2594" spans="1:18" ht="35.1" customHeight="1" x14ac:dyDescent="0.2">
      <c r="A2594" s="99"/>
      <c r="B2594" s="99"/>
      <c r="C2594" s="102"/>
      <c r="D2594" s="102"/>
      <c r="E2594" s="102"/>
      <c r="F2594" s="102"/>
      <c r="G2594" s="102"/>
      <c r="H2594" s="102"/>
      <c r="I2594" s="102"/>
      <c r="J2594" s="102"/>
      <c r="K2594" s="102"/>
      <c r="L2594" s="102"/>
      <c r="M2594" s="102"/>
      <c r="N2594" s="102"/>
      <c r="O2594" s="102"/>
      <c r="P2594" s="102"/>
      <c r="Q2594" s="102"/>
      <c r="R2594" s="102"/>
    </row>
    <row r="2595" spans="1:18" ht="35.1" customHeight="1" x14ac:dyDescent="0.2">
      <c r="A2595" s="99"/>
      <c r="B2595" s="99"/>
      <c r="C2595" s="102"/>
      <c r="D2595" s="102"/>
      <c r="E2595" s="102"/>
      <c r="F2595" s="102"/>
      <c r="G2595" s="102"/>
      <c r="H2595" s="102"/>
      <c r="I2595" s="102"/>
      <c r="J2595" s="102"/>
      <c r="K2595" s="102"/>
      <c r="L2595" s="102"/>
      <c r="M2595" s="102"/>
      <c r="N2595" s="102"/>
      <c r="O2595" s="102"/>
      <c r="P2595" s="102"/>
      <c r="Q2595" s="102"/>
      <c r="R2595" s="102"/>
    </row>
    <row r="2596" spans="1:18" ht="35.1" customHeight="1" x14ac:dyDescent="0.2">
      <c r="A2596" s="99"/>
      <c r="B2596" s="99"/>
      <c r="C2596" s="102"/>
      <c r="D2596" s="102"/>
      <c r="E2596" s="102"/>
      <c r="F2596" s="102"/>
      <c r="G2596" s="102"/>
      <c r="H2596" s="102"/>
      <c r="I2596" s="102"/>
      <c r="J2596" s="102"/>
      <c r="K2596" s="102"/>
      <c r="L2596" s="102"/>
      <c r="M2596" s="102"/>
      <c r="N2596" s="102"/>
      <c r="O2596" s="102"/>
      <c r="P2596" s="102"/>
      <c r="Q2596" s="102"/>
      <c r="R2596" s="102"/>
    </row>
    <row r="2597" spans="1:18" ht="35.1" customHeight="1" x14ac:dyDescent="0.2">
      <c r="A2597" s="99"/>
      <c r="B2597" s="99"/>
      <c r="C2597" s="102"/>
      <c r="D2597" s="102"/>
      <c r="E2597" s="102"/>
      <c r="F2597" s="102"/>
      <c r="G2597" s="102"/>
      <c r="H2597" s="102"/>
      <c r="I2597" s="102"/>
      <c r="J2597" s="102"/>
      <c r="K2597" s="102"/>
      <c r="L2597" s="102"/>
      <c r="M2597" s="102"/>
      <c r="N2597" s="102"/>
      <c r="O2597" s="102"/>
      <c r="P2597" s="102"/>
      <c r="Q2597" s="102"/>
      <c r="R2597" s="102"/>
    </row>
    <row r="2598" spans="1:18" ht="35.1" customHeight="1" x14ac:dyDescent="0.2">
      <c r="A2598" s="99"/>
      <c r="B2598" s="99"/>
      <c r="C2598" s="102"/>
      <c r="D2598" s="102"/>
      <c r="E2598" s="102"/>
      <c r="F2598" s="102"/>
      <c r="G2598" s="102"/>
      <c r="H2598" s="102"/>
      <c r="I2598" s="102"/>
      <c r="J2598" s="102"/>
      <c r="K2598" s="102"/>
      <c r="L2598" s="102"/>
      <c r="M2598" s="102"/>
      <c r="N2598" s="102"/>
      <c r="O2598" s="102"/>
      <c r="P2598" s="102"/>
      <c r="Q2598" s="102"/>
      <c r="R2598" s="102"/>
    </row>
    <row r="2599" spans="1:18" ht="35.1" customHeight="1" x14ac:dyDescent="0.2">
      <c r="A2599" s="99"/>
      <c r="B2599" s="99"/>
      <c r="C2599" s="102"/>
      <c r="D2599" s="102"/>
      <c r="E2599" s="102"/>
      <c r="F2599" s="102"/>
      <c r="G2599" s="102"/>
      <c r="H2599" s="102"/>
      <c r="I2599" s="102"/>
      <c r="J2599" s="102"/>
      <c r="K2599" s="102"/>
      <c r="L2599" s="102"/>
      <c r="M2599" s="102"/>
      <c r="N2599" s="102"/>
      <c r="O2599" s="102"/>
      <c r="P2599" s="102"/>
      <c r="Q2599" s="102"/>
      <c r="R2599" s="102"/>
    </row>
    <row r="2600" spans="1:18" ht="35.1" customHeight="1" x14ac:dyDescent="0.2">
      <c r="A2600" s="99"/>
      <c r="B2600" s="99"/>
      <c r="C2600" s="102"/>
      <c r="D2600" s="102"/>
      <c r="E2600" s="102"/>
      <c r="F2600" s="102"/>
      <c r="G2600" s="102"/>
      <c r="H2600" s="102"/>
      <c r="I2600" s="102"/>
      <c r="J2600" s="102"/>
      <c r="K2600" s="102"/>
      <c r="L2600" s="102"/>
      <c r="M2600" s="102"/>
      <c r="N2600" s="102"/>
      <c r="O2600" s="102"/>
      <c r="P2600" s="102"/>
      <c r="Q2600" s="102"/>
      <c r="R2600" s="102"/>
    </row>
    <row r="2601" spans="1:18" ht="35.1" customHeight="1" x14ac:dyDescent="0.2">
      <c r="A2601" s="99"/>
      <c r="B2601" s="99"/>
      <c r="C2601" s="102"/>
      <c r="D2601" s="102"/>
      <c r="E2601" s="102"/>
      <c r="F2601" s="102"/>
      <c r="G2601" s="102"/>
      <c r="H2601" s="102"/>
      <c r="I2601" s="102"/>
      <c r="J2601" s="102"/>
      <c r="K2601" s="102"/>
      <c r="L2601" s="102"/>
      <c r="M2601" s="102"/>
      <c r="N2601" s="102"/>
      <c r="O2601" s="102"/>
      <c r="P2601" s="102"/>
      <c r="Q2601" s="102"/>
      <c r="R2601" s="102"/>
    </row>
    <row r="2602" spans="1:18" ht="35.1" customHeight="1" x14ac:dyDescent="0.2">
      <c r="A2602" s="99"/>
      <c r="B2602" s="99"/>
      <c r="C2602" s="102"/>
      <c r="D2602" s="102"/>
      <c r="E2602" s="102"/>
      <c r="F2602" s="102"/>
      <c r="G2602" s="102"/>
      <c r="H2602" s="102"/>
      <c r="I2602" s="102"/>
      <c r="J2602" s="102"/>
      <c r="K2602" s="102"/>
      <c r="L2602" s="102"/>
      <c r="M2602" s="102"/>
      <c r="N2602" s="102"/>
      <c r="O2602" s="102"/>
      <c r="P2602" s="102"/>
      <c r="Q2602" s="102"/>
      <c r="R2602" s="102"/>
    </row>
    <row r="2603" spans="1:18" ht="35.1" customHeight="1" x14ac:dyDescent="0.2">
      <c r="A2603" s="99"/>
      <c r="B2603" s="99"/>
      <c r="C2603" s="102"/>
      <c r="D2603" s="102"/>
      <c r="E2603" s="102"/>
      <c r="F2603" s="102"/>
      <c r="G2603" s="102"/>
      <c r="H2603" s="102"/>
      <c r="I2603" s="102"/>
      <c r="J2603" s="102"/>
      <c r="K2603" s="102"/>
      <c r="L2603" s="102"/>
      <c r="M2603" s="102"/>
      <c r="N2603" s="102"/>
      <c r="O2603" s="102"/>
      <c r="P2603" s="102"/>
      <c r="Q2603" s="102"/>
      <c r="R2603" s="102"/>
    </row>
    <row r="2604" spans="1:18" ht="35.1" customHeight="1" x14ac:dyDescent="0.2">
      <c r="A2604" s="99"/>
      <c r="B2604" s="99"/>
      <c r="C2604" s="102"/>
      <c r="D2604" s="102"/>
      <c r="E2604" s="102"/>
      <c r="F2604" s="102"/>
      <c r="G2604" s="102"/>
      <c r="H2604" s="102"/>
      <c r="I2604" s="102"/>
      <c r="J2604" s="102"/>
      <c r="K2604" s="102"/>
      <c r="L2604" s="102"/>
      <c r="M2604" s="102"/>
      <c r="N2604" s="102"/>
      <c r="O2604" s="102"/>
      <c r="P2604" s="102"/>
      <c r="Q2604" s="102"/>
      <c r="R2604" s="102"/>
    </row>
    <row r="2605" spans="1:18" ht="35.1" customHeight="1" x14ac:dyDescent="0.2">
      <c r="A2605" s="99"/>
      <c r="B2605" s="99"/>
      <c r="C2605" s="102"/>
      <c r="D2605" s="102"/>
      <c r="E2605" s="102"/>
      <c r="F2605" s="102"/>
      <c r="G2605" s="102"/>
      <c r="H2605" s="102"/>
      <c r="I2605" s="102"/>
      <c r="J2605" s="102"/>
      <c r="K2605" s="102"/>
      <c r="L2605" s="102"/>
      <c r="M2605" s="102"/>
      <c r="N2605" s="102"/>
      <c r="O2605" s="102"/>
      <c r="P2605" s="102"/>
      <c r="Q2605" s="102"/>
      <c r="R2605" s="102"/>
    </row>
    <row r="2606" spans="1:18" ht="35.1" customHeight="1" x14ac:dyDescent="0.2">
      <c r="A2606" s="99"/>
      <c r="B2606" s="99"/>
      <c r="C2606" s="102"/>
      <c r="D2606" s="102"/>
      <c r="E2606" s="102"/>
      <c r="F2606" s="102"/>
      <c r="G2606" s="102"/>
      <c r="H2606" s="102"/>
      <c r="I2606" s="102"/>
      <c r="J2606" s="102"/>
      <c r="K2606" s="102"/>
      <c r="L2606" s="102"/>
      <c r="M2606" s="102"/>
      <c r="N2606" s="102"/>
      <c r="O2606" s="102"/>
      <c r="P2606" s="102"/>
      <c r="Q2606" s="102"/>
      <c r="R2606" s="102"/>
    </row>
    <row r="2607" spans="1:18" ht="35.1" customHeight="1" x14ac:dyDescent="0.2">
      <c r="A2607" s="99"/>
      <c r="B2607" s="99"/>
      <c r="C2607" s="102"/>
      <c r="D2607" s="102"/>
      <c r="E2607" s="102"/>
      <c r="F2607" s="102"/>
      <c r="G2607" s="102"/>
      <c r="H2607" s="102"/>
      <c r="I2607" s="102"/>
      <c r="J2607" s="102"/>
      <c r="K2607" s="102"/>
      <c r="L2607" s="102"/>
      <c r="M2607" s="102"/>
      <c r="N2607" s="102"/>
      <c r="O2607" s="102"/>
      <c r="P2607" s="102"/>
      <c r="Q2607" s="102"/>
      <c r="R2607" s="102"/>
    </row>
    <row r="2608" spans="1:18" ht="35.1" customHeight="1" x14ac:dyDescent="0.2">
      <c r="A2608" s="99"/>
      <c r="B2608" s="99"/>
      <c r="C2608" s="102"/>
      <c r="D2608" s="102"/>
      <c r="E2608" s="102"/>
      <c r="F2608" s="102"/>
      <c r="G2608" s="102"/>
      <c r="H2608" s="102"/>
      <c r="I2608" s="102"/>
      <c r="J2608" s="102"/>
      <c r="K2608" s="102"/>
      <c r="L2608" s="102"/>
      <c r="M2608" s="102"/>
      <c r="N2608" s="102"/>
      <c r="O2608" s="102"/>
      <c r="P2608" s="102"/>
      <c r="Q2608" s="102"/>
      <c r="R2608" s="102"/>
    </row>
    <row r="2609" spans="1:18" ht="35.1" customHeight="1" x14ac:dyDescent="0.2">
      <c r="A2609" s="99"/>
      <c r="B2609" s="99"/>
      <c r="C2609" s="102"/>
      <c r="D2609" s="102"/>
      <c r="E2609" s="102"/>
      <c r="F2609" s="102"/>
      <c r="G2609" s="102"/>
      <c r="H2609" s="102"/>
      <c r="I2609" s="102"/>
      <c r="J2609" s="102"/>
      <c r="K2609" s="102"/>
      <c r="L2609" s="102"/>
      <c r="M2609" s="102"/>
      <c r="N2609" s="102"/>
      <c r="O2609" s="102"/>
      <c r="P2609" s="102"/>
      <c r="Q2609" s="102"/>
      <c r="R2609" s="102"/>
    </row>
    <row r="2610" spans="1:18" ht="35.1" customHeight="1" x14ac:dyDescent="0.2">
      <c r="A2610" s="99"/>
      <c r="B2610" s="99"/>
      <c r="C2610" s="102"/>
      <c r="D2610" s="102"/>
      <c r="E2610" s="102"/>
      <c r="F2610" s="102"/>
      <c r="G2610" s="102"/>
      <c r="H2610" s="102"/>
      <c r="I2610" s="102"/>
      <c r="J2610" s="102"/>
      <c r="K2610" s="102"/>
      <c r="L2610" s="102"/>
      <c r="M2610" s="102"/>
      <c r="N2610" s="102"/>
      <c r="O2610" s="102"/>
      <c r="P2610" s="102"/>
      <c r="Q2610" s="102"/>
      <c r="R2610" s="102"/>
    </row>
    <row r="2611" spans="1:18" ht="35.1" customHeight="1" x14ac:dyDescent="0.2">
      <c r="A2611" s="99"/>
      <c r="B2611" s="99"/>
      <c r="C2611" s="102"/>
      <c r="D2611" s="102"/>
      <c r="E2611" s="102"/>
      <c r="F2611" s="102"/>
      <c r="G2611" s="102"/>
      <c r="H2611" s="102"/>
      <c r="I2611" s="102"/>
      <c r="J2611" s="102"/>
      <c r="K2611" s="102"/>
      <c r="L2611" s="102"/>
      <c r="M2611" s="102"/>
      <c r="N2611" s="102"/>
      <c r="O2611" s="102"/>
      <c r="P2611" s="102"/>
      <c r="Q2611" s="102"/>
      <c r="R2611" s="102"/>
    </row>
    <row r="2612" spans="1:18" ht="35.1" customHeight="1" x14ac:dyDescent="0.2">
      <c r="A2612" s="99"/>
      <c r="B2612" s="99"/>
      <c r="C2612" s="102"/>
      <c r="D2612" s="102"/>
      <c r="E2612" s="102"/>
      <c r="F2612" s="102"/>
      <c r="G2612" s="102"/>
      <c r="H2612" s="102"/>
      <c r="I2612" s="102"/>
      <c r="J2612" s="102"/>
      <c r="K2612" s="102"/>
      <c r="L2612" s="102"/>
      <c r="M2612" s="102"/>
      <c r="N2612" s="102"/>
      <c r="O2612" s="102"/>
      <c r="P2612" s="102"/>
      <c r="Q2612" s="102"/>
      <c r="R2612" s="102"/>
    </row>
    <row r="2613" spans="1:18" ht="35.1" customHeight="1" x14ac:dyDescent="0.2">
      <c r="A2613" s="99"/>
      <c r="B2613" s="99"/>
      <c r="C2613" s="102"/>
      <c r="D2613" s="102"/>
      <c r="E2613" s="102"/>
      <c r="F2613" s="102"/>
      <c r="G2613" s="102"/>
      <c r="H2613" s="102"/>
      <c r="I2613" s="102"/>
      <c r="J2613" s="102"/>
      <c r="K2613" s="102"/>
      <c r="L2613" s="102"/>
      <c r="M2613" s="102"/>
      <c r="N2613" s="102"/>
      <c r="O2613" s="102"/>
      <c r="P2613" s="102"/>
      <c r="Q2613" s="102"/>
      <c r="R2613" s="102"/>
    </row>
    <row r="2614" spans="1:18" ht="35.1" customHeight="1" x14ac:dyDescent="0.2">
      <c r="A2614" s="99"/>
      <c r="B2614" s="99"/>
      <c r="C2614" s="102"/>
      <c r="D2614" s="102"/>
      <c r="E2614" s="102"/>
      <c r="F2614" s="102"/>
      <c r="G2614" s="102"/>
      <c r="H2614" s="102"/>
      <c r="I2614" s="102"/>
      <c r="J2614" s="102"/>
      <c r="K2614" s="102"/>
      <c r="L2614" s="102"/>
      <c r="M2614" s="102"/>
      <c r="N2614" s="102"/>
      <c r="O2614" s="102"/>
      <c r="P2614" s="102"/>
      <c r="Q2614" s="102"/>
      <c r="R2614" s="102"/>
    </row>
    <row r="2615" spans="1:18" ht="35.1" customHeight="1" x14ac:dyDescent="0.2">
      <c r="A2615" s="99"/>
      <c r="B2615" s="99"/>
      <c r="C2615" s="102"/>
      <c r="D2615" s="102"/>
      <c r="E2615" s="102"/>
      <c r="F2615" s="102"/>
      <c r="G2615" s="102"/>
      <c r="H2615" s="102"/>
      <c r="I2615" s="102"/>
      <c r="J2615" s="102"/>
      <c r="K2615" s="102"/>
      <c r="L2615" s="102"/>
      <c r="M2615" s="102"/>
      <c r="N2615" s="102"/>
      <c r="O2615" s="102"/>
      <c r="P2615" s="102"/>
      <c r="Q2615" s="102"/>
      <c r="R2615" s="102"/>
    </row>
    <row r="2616" spans="1:18" ht="35.1" customHeight="1" x14ac:dyDescent="0.2">
      <c r="A2616" s="99"/>
      <c r="B2616" s="99"/>
      <c r="C2616" s="102"/>
      <c r="D2616" s="102"/>
      <c r="E2616" s="102"/>
      <c r="F2616" s="102"/>
      <c r="G2616" s="102"/>
      <c r="H2616" s="102"/>
      <c r="I2616" s="102"/>
      <c r="J2616" s="102"/>
      <c r="K2616" s="102"/>
      <c r="L2616" s="102"/>
      <c r="M2616" s="102"/>
      <c r="N2616" s="102"/>
      <c r="O2616" s="102"/>
      <c r="P2616" s="102"/>
      <c r="Q2616" s="102"/>
      <c r="R2616" s="102"/>
    </row>
    <row r="2617" spans="1:18" ht="35.1" customHeight="1" x14ac:dyDescent="0.2">
      <c r="A2617" s="99"/>
      <c r="B2617" s="99"/>
      <c r="C2617" s="102"/>
      <c r="D2617" s="102"/>
      <c r="E2617" s="102"/>
      <c r="F2617" s="102"/>
      <c r="G2617" s="102"/>
      <c r="H2617" s="102"/>
      <c r="I2617" s="102"/>
      <c r="J2617" s="102"/>
      <c r="K2617" s="102"/>
      <c r="L2617" s="102"/>
      <c r="M2617" s="102"/>
      <c r="N2617" s="102"/>
      <c r="O2617" s="102"/>
      <c r="P2617" s="102"/>
      <c r="Q2617" s="102"/>
      <c r="R2617" s="102"/>
    </row>
    <row r="2618" spans="1:18" ht="35.1" customHeight="1" x14ac:dyDescent="0.2">
      <c r="A2618" s="99"/>
      <c r="B2618" s="99"/>
      <c r="C2618" s="102"/>
      <c r="D2618" s="102"/>
      <c r="E2618" s="102"/>
      <c r="F2618" s="102"/>
      <c r="G2618" s="102"/>
      <c r="H2618" s="102"/>
      <c r="I2618" s="102"/>
      <c r="J2618" s="102"/>
      <c r="K2618" s="102"/>
      <c r="L2618" s="102"/>
      <c r="M2618" s="102"/>
      <c r="N2618" s="102"/>
      <c r="O2618" s="102"/>
      <c r="P2618" s="102"/>
      <c r="Q2618" s="102"/>
      <c r="R2618" s="102"/>
    </row>
    <row r="2619" spans="1:18" ht="35.1" customHeight="1" x14ac:dyDescent="0.2">
      <c r="A2619" s="99"/>
      <c r="B2619" s="99"/>
      <c r="C2619" s="102"/>
      <c r="D2619" s="102"/>
      <c r="E2619" s="102"/>
      <c r="F2619" s="102"/>
      <c r="G2619" s="102"/>
      <c r="H2619" s="102"/>
      <c r="I2619" s="102"/>
      <c r="J2619" s="102"/>
      <c r="K2619" s="102"/>
      <c r="L2619" s="102"/>
      <c r="M2619" s="102"/>
      <c r="N2619" s="102"/>
      <c r="O2619" s="102"/>
      <c r="P2619" s="102"/>
      <c r="Q2619" s="102"/>
      <c r="R2619" s="102"/>
    </row>
    <row r="2620" spans="1:18" ht="35.1" customHeight="1" x14ac:dyDescent="0.2">
      <c r="A2620" s="99"/>
      <c r="B2620" s="99"/>
      <c r="C2620" s="102"/>
      <c r="D2620" s="102"/>
      <c r="E2620" s="102"/>
      <c r="F2620" s="102"/>
      <c r="G2620" s="102"/>
      <c r="H2620" s="102"/>
      <c r="I2620" s="102"/>
      <c r="J2620" s="102"/>
      <c r="K2620" s="102"/>
      <c r="L2620" s="102"/>
      <c r="M2620" s="102"/>
      <c r="N2620" s="102"/>
      <c r="O2620" s="102"/>
      <c r="P2620" s="102"/>
      <c r="Q2620" s="102"/>
      <c r="R2620" s="102"/>
    </row>
    <row r="2621" spans="1:18" ht="35.1" customHeight="1" x14ac:dyDescent="0.2">
      <c r="A2621" s="99"/>
      <c r="B2621" s="99"/>
      <c r="C2621" s="102"/>
      <c r="D2621" s="102"/>
      <c r="E2621" s="102"/>
      <c r="F2621" s="102"/>
      <c r="G2621" s="102"/>
      <c r="H2621" s="102"/>
      <c r="I2621" s="102"/>
      <c r="J2621" s="102"/>
      <c r="K2621" s="102"/>
      <c r="L2621" s="102"/>
      <c r="M2621" s="102"/>
      <c r="N2621" s="102"/>
      <c r="O2621" s="102"/>
      <c r="P2621" s="102"/>
      <c r="Q2621" s="102"/>
      <c r="R2621" s="102"/>
    </row>
    <row r="2622" spans="1:18" ht="35.1" customHeight="1" x14ac:dyDescent="0.2">
      <c r="A2622" s="99"/>
      <c r="B2622" s="99"/>
      <c r="C2622" s="102"/>
      <c r="D2622" s="102"/>
      <c r="E2622" s="102"/>
      <c r="F2622" s="102"/>
      <c r="G2622" s="102"/>
      <c r="H2622" s="102"/>
      <c r="I2622" s="102"/>
      <c r="J2622" s="102"/>
      <c r="K2622" s="102"/>
      <c r="L2622" s="102"/>
      <c r="M2622" s="102"/>
      <c r="N2622" s="102"/>
      <c r="O2622" s="102"/>
      <c r="P2622" s="102"/>
      <c r="Q2622" s="102"/>
      <c r="R2622" s="102"/>
    </row>
    <row r="2623" spans="1:18" ht="35.1" customHeight="1" x14ac:dyDescent="0.2">
      <c r="A2623" s="99"/>
      <c r="B2623" s="99"/>
      <c r="C2623" s="102"/>
      <c r="D2623" s="102"/>
      <c r="E2623" s="102"/>
      <c r="F2623" s="102"/>
      <c r="G2623" s="102"/>
      <c r="H2623" s="102"/>
      <c r="I2623" s="102"/>
      <c r="J2623" s="102"/>
      <c r="K2623" s="102"/>
      <c r="L2623" s="102"/>
      <c r="M2623" s="102"/>
      <c r="N2623" s="102"/>
      <c r="O2623" s="102"/>
      <c r="P2623" s="102"/>
      <c r="Q2623" s="102"/>
      <c r="R2623" s="102"/>
    </row>
    <row r="2624" spans="1:18" ht="35.1" customHeight="1" x14ac:dyDescent="0.2">
      <c r="A2624" s="99"/>
      <c r="B2624" s="99"/>
      <c r="C2624" s="102"/>
      <c r="D2624" s="102"/>
      <c r="E2624" s="102"/>
      <c r="F2624" s="102"/>
      <c r="G2624" s="102"/>
      <c r="H2624" s="102"/>
      <c r="I2624" s="102"/>
      <c r="J2624" s="102"/>
      <c r="K2624" s="102"/>
      <c r="L2624" s="102"/>
      <c r="M2624" s="102"/>
      <c r="N2624" s="102"/>
      <c r="O2624" s="102"/>
      <c r="P2624" s="102"/>
      <c r="Q2624" s="102"/>
      <c r="R2624" s="102"/>
    </row>
    <row r="2625" spans="1:18" ht="35.1" customHeight="1" x14ac:dyDescent="0.2">
      <c r="A2625" s="99"/>
      <c r="B2625" s="99"/>
      <c r="C2625" s="102"/>
      <c r="D2625" s="102"/>
      <c r="E2625" s="102"/>
      <c r="F2625" s="102"/>
      <c r="G2625" s="102"/>
      <c r="H2625" s="102"/>
      <c r="I2625" s="102"/>
      <c r="J2625" s="102"/>
      <c r="K2625" s="102"/>
      <c r="L2625" s="102"/>
      <c r="M2625" s="102"/>
      <c r="N2625" s="102"/>
      <c r="O2625" s="102"/>
      <c r="P2625" s="102"/>
      <c r="Q2625" s="102"/>
      <c r="R2625" s="102"/>
    </row>
    <row r="2626" spans="1:18" ht="35.1" customHeight="1" x14ac:dyDescent="0.2">
      <c r="A2626" s="99"/>
      <c r="B2626" s="99"/>
      <c r="C2626" s="102"/>
      <c r="D2626" s="102"/>
      <c r="E2626" s="102"/>
      <c r="F2626" s="102"/>
      <c r="G2626" s="102"/>
      <c r="H2626" s="102"/>
      <c r="I2626" s="102"/>
      <c r="J2626" s="102"/>
      <c r="K2626" s="102"/>
      <c r="L2626" s="102"/>
      <c r="M2626" s="102"/>
      <c r="N2626" s="102"/>
      <c r="O2626" s="102"/>
      <c r="P2626" s="102"/>
      <c r="Q2626" s="102"/>
      <c r="R2626" s="102"/>
    </row>
    <row r="2627" spans="1:18" ht="35.1" customHeight="1" x14ac:dyDescent="0.2">
      <c r="A2627" s="99"/>
      <c r="B2627" s="99"/>
      <c r="C2627" s="102"/>
      <c r="D2627" s="102"/>
      <c r="E2627" s="102"/>
      <c r="F2627" s="102"/>
      <c r="G2627" s="102"/>
      <c r="H2627" s="102"/>
      <c r="I2627" s="102"/>
      <c r="J2627" s="102"/>
      <c r="K2627" s="102"/>
      <c r="L2627" s="102"/>
      <c r="M2627" s="102"/>
      <c r="N2627" s="102"/>
      <c r="O2627" s="102"/>
      <c r="P2627" s="102"/>
      <c r="Q2627" s="102"/>
      <c r="R2627" s="102"/>
    </row>
    <row r="2628" spans="1:18" ht="35.1" customHeight="1" x14ac:dyDescent="0.2">
      <c r="A2628" s="99"/>
      <c r="B2628" s="99"/>
      <c r="C2628" s="102"/>
      <c r="D2628" s="102"/>
      <c r="E2628" s="102"/>
      <c r="F2628" s="102"/>
      <c r="G2628" s="102"/>
      <c r="H2628" s="102"/>
      <c r="I2628" s="102"/>
      <c r="J2628" s="102"/>
      <c r="K2628" s="102"/>
      <c r="L2628" s="102"/>
      <c r="M2628" s="102"/>
      <c r="N2628" s="102"/>
      <c r="O2628" s="102"/>
      <c r="P2628" s="102"/>
      <c r="Q2628" s="102"/>
      <c r="R2628" s="102"/>
    </row>
    <row r="2629" spans="1:18" ht="35.1" customHeight="1" x14ac:dyDescent="0.2">
      <c r="A2629" s="99"/>
      <c r="B2629" s="99"/>
      <c r="C2629" s="102"/>
      <c r="D2629" s="102"/>
      <c r="E2629" s="102"/>
      <c r="F2629" s="102"/>
      <c r="G2629" s="102"/>
      <c r="H2629" s="102"/>
      <c r="I2629" s="102"/>
      <c r="J2629" s="102"/>
      <c r="K2629" s="102"/>
      <c r="L2629" s="102"/>
      <c r="M2629" s="102"/>
      <c r="N2629" s="102"/>
      <c r="O2629" s="102"/>
      <c r="P2629" s="102"/>
      <c r="Q2629" s="102"/>
      <c r="R2629" s="102"/>
    </row>
    <row r="2630" spans="1:18" ht="35.1" customHeight="1" x14ac:dyDescent="0.2">
      <c r="A2630" s="99"/>
      <c r="B2630" s="99"/>
      <c r="C2630" s="102"/>
      <c r="D2630" s="102"/>
      <c r="E2630" s="102"/>
      <c r="F2630" s="102"/>
      <c r="G2630" s="102"/>
      <c r="H2630" s="102"/>
      <c r="I2630" s="102"/>
      <c r="J2630" s="102"/>
      <c r="K2630" s="102"/>
      <c r="L2630" s="102"/>
      <c r="M2630" s="102"/>
      <c r="N2630" s="102"/>
      <c r="O2630" s="102"/>
      <c r="P2630" s="102"/>
      <c r="Q2630" s="102"/>
      <c r="R2630" s="102"/>
    </row>
    <row r="2631" spans="1:18" ht="35.1" customHeight="1" x14ac:dyDescent="0.2">
      <c r="A2631" s="99"/>
      <c r="B2631" s="99"/>
      <c r="C2631" s="102"/>
      <c r="D2631" s="102"/>
      <c r="E2631" s="102"/>
      <c r="F2631" s="102"/>
      <c r="G2631" s="102"/>
      <c r="H2631" s="102"/>
      <c r="I2631" s="102"/>
      <c r="J2631" s="102"/>
      <c r="K2631" s="102"/>
      <c r="L2631" s="102"/>
      <c r="M2631" s="102"/>
      <c r="N2631" s="102"/>
      <c r="O2631" s="102"/>
      <c r="P2631" s="102"/>
      <c r="Q2631" s="102"/>
      <c r="R2631" s="102"/>
    </row>
    <row r="2632" spans="1:18" ht="35.1" customHeight="1" x14ac:dyDescent="0.2">
      <c r="A2632" s="99"/>
      <c r="B2632" s="99"/>
      <c r="C2632" s="102"/>
      <c r="D2632" s="102"/>
      <c r="E2632" s="102"/>
      <c r="F2632" s="102"/>
      <c r="G2632" s="102"/>
      <c r="H2632" s="102"/>
      <c r="I2632" s="102"/>
      <c r="J2632" s="102"/>
      <c r="K2632" s="102"/>
      <c r="L2632" s="102"/>
      <c r="M2632" s="102"/>
      <c r="N2632" s="102"/>
      <c r="O2632" s="102"/>
      <c r="P2632" s="102"/>
      <c r="Q2632" s="102"/>
      <c r="R2632" s="102"/>
    </row>
    <row r="2633" spans="1:18" ht="35.1" customHeight="1" x14ac:dyDescent="0.2">
      <c r="A2633" s="99"/>
      <c r="B2633" s="99"/>
      <c r="C2633" s="102"/>
      <c r="D2633" s="102"/>
      <c r="E2633" s="102"/>
      <c r="F2633" s="102"/>
      <c r="G2633" s="102"/>
      <c r="H2633" s="102"/>
      <c r="I2633" s="102"/>
      <c r="J2633" s="102"/>
      <c r="K2633" s="102"/>
      <c r="L2633" s="102"/>
      <c r="M2633" s="102"/>
      <c r="N2633" s="102"/>
      <c r="O2633" s="102"/>
      <c r="P2633" s="102"/>
      <c r="Q2633" s="102"/>
      <c r="R2633" s="102"/>
    </row>
    <row r="2634" spans="1:18" ht="35.1" customHeight="1" x14ac:dyDescent="0.2">
      <c r="A2634" s="99"/>
      <c r="B2634" s="99"/>
      <c r="C2634" s="102"/>
      <c r="D2634" s="102"/>
      <c r="E2634" s="102"/>
      <c r="F2634" s="102"/>
      <c r="G2634" s="102"/>
      <c r="H2634" s="102"/>
      <c r="I2634" s="102"/>
      <c r="J2634" s="102"/>
      <c r="K2634" s="102"/>
      <c r="L2634" s="102"/>
      <c r="M2634" s="102"/>
      <c r="N2634" s="102"/>
      <c r="O2634" s="102"/>
      <c r="P2634" s="102"/>
      <c r="Q2634" s="102"/>
      <c r="R2634" s="102"/>
    </row>
    <row r="2635" spans="1:18" ht="35.1" customHeight="1" x14ac:dyDescent="0.2">
      <c r="A2635" s="99"/>
      <c r="B2635" s="99"/>
      <c r="C2635" s="102"/>
      <c r="D2635" s="102"/>
      <c r="E2635" s="102"/>
      <c r="F2635" s="102"/>
      <c r="G2635" s="102"/>
      <c r="H2635" s="102"/>
      <c r="I2635" s="102"/>
      <c r="J2635" s="102"/>
      <c r="K2635" s="102"/>
      <c r="L2635" s="102"/>
      <c r="M2635" s="102"/>
      <c r="N2635" s="102"/>
      <c r="O2635" s="102"/>
      <c r="P2635" s="102"/>
      <c r="Q2635" s="102"/>
      <c r="R2635" s="102"/>
    </row>
    <row r="2636" spans="1:18" ht="35.1" customHeight="1" x14ac:dyDescent="0.2">
      <c r="A2636" s="99"/>
      <c r="B2636" s="99"/>
      <c r="C2636" s="102"/>
      <c r="D2636" s="102"/>
      <c r="E2636" s="102"/>
      <c r="F2636" s="102"/>
      <c r="G2636" s="102"/>
      <c r="H2636" s="102"/>
      <c r="I2636" s="102"/>
      <c r="J2636" s="102"/>
      <c r="K2636" s="102"/>
      <c r="L2636" s="102"/>
      <c r="M2636" s="102"/>
      <c r="N2636" s="102"/>
      <c r="O2636" s="102"/>
      <c r="P2636" s="102"/>
      <c r="Q2636" s="102"/>
      <c r="R2636" s="102"/>
    </row>
    <row r="2637" spans="1:18" ht="35.1" customHeight="1" x14ac:dyDescent="0.2">
      <c r="A2637" s="99"/>
      <c r="B2637" s="99"/>
      <c r="C2637" s="102"/>
      <c r="D2637" s="102"/>
      <c r="E2637" s="102"/>
      <c r="F2637" s="102"/>
      <c r="G2637" s="102"/>
      <c r="H2637" s="102"/>
      <c r="I2637" s="102"/>
      <c r="J2637" s="102"/>
      <c r="K2637" s="102"/>
      <c r="L2637" s="102"/>
      <c r="M2637" s="102"/>
      <c r="N2637" s="102"/>
      <c r="O2637" s="102"/>
      <c r="P2637" s="102"/>
      <c r="Q2637" s="102"/>
      <c r="R2637" s="102"/>
    </row>
    <row r="2638" spans="1:18" ht="35.1" customHeight="1" x14ac:dyDescent="0.2">
      <c r="A2638" s="99"/>
      <c r="B2638" s="99"/>
      <c r="C2638" s="102"/>
      <c r="D2638" s="102"/>
      <c r="E2638" s="102"/>
      <c r="F2638" s="102"/>
      <c r="G2638" s="102"/>
      <c r="H2638" s="102"/>
      <c r="I2638" s="102"/>
      <c r="J2638" s="102"/>
      <c r="K2638" s="102"/>
      <c r="L2638" s="102"/>
      <c r="M2638" s="102"/>
      <c r="N2638" s="102"/>
      <c r="O2638" s="102"/>
      <c r="P2638" s="102"/>
      <c r="Q2638" s="102"/>
      <c r="R2638" s="102"/>
    </row>
    <row r="2639" spans="1:18" ht="35.1" customHeight="1" x14ac:dyDescent="0.2">
      <c r="A2639" s="99"/>
      <c r="B2639" s="99"/>
      <c r="C2639" s="102"/>
      <c r="D2639" s="102"/>
      <c r="E2639" s="102"/>
      <c r="F2639" s="102"/>
      <c r="G2639" s="102"/>
      <c r="H2639" s="102"/>
      <c r="I2639" s="102"/>
      <c r="J2639" s="102"/>
      <c r="K2639" s="102"/>
      <c r="L2639" s="102"/>
      <c r="M2639" s="102"/>
      <c r="N2639" s="102"/>
      <c r="O2639" s="102"/>
      <c r="P2639" s="102"/>
      <c r="Q2639" s="102"/>
      <c r="R2639" s="102"/>
    </row>
    <row r="2640" spans="1:18" ht="35.1" customHeight="1" x14ac:dyDescent="0.2">
      <c r="A2640" s="99"/>
      <c r="B2640" s="99"/>
      <c r="C2640" s="102"/>
      <c r="D2640" s="102"/>
      <c r="E2640" s="102"/>
      <c r="F2640" s="102"/>
      <c r="G2640" s="102"/>
      <c r="H2640" s="102"/>
      <c r="I2640" s="102"/>
      <c r="J2640" s="102"/>
      <c r="K2640" s="102"/>
      <c r="L2640" s="102"/>
      <c r="M2640" s="102"/>
      <c r="N2640" s="102"/>
      <c r="O2640" s="102"/>
      <c r="P2640" s="102"/>
      <c r="Q2640" s="102"/>
      <c r="R2640" s="102"/>
    </row>
    <row r="2641" spans="1:18" ht="35.1" customHeight="1" x14ac:dyDescent="0.2">
      <c r="A2641" s="99"/>
      <c r="B2641" s="99"/>
      <c r="C2641" s="102"/>
      <c r="D2641" s="102"/>
      <c r="E2641" s="102"/>
      <c r="F2641" s="102"/>
      <c r="G2641" s="102"/>
      <c r="H2641" s="102"/>
      <c r="I2641" s="102"/>
      <c r="J2641" s="102"/>
      <c r="K2641" s="102"/>
      <c r="L2641" s="102"/>
      <c r="M2641" s="102"/>
      <c r="N2641" s="102"/>
      <c r="O2641" s="102"/>
      <c r="P2641" s="102"/>
      <c r="Q2641" s="102"/>
      <c r="R2641" s="102"/>
    </row>
    <row r="2642" spans="1:18" ht="35.1" customHeight="1" x14ac:dyDescent="0.2">
      <c r="A2642" s="99"/>
      <c r="B2642" s="99"/>
      <c r="C2642" s="102"/>
      <c r="D2642" s="102"/>
      <c r="E2642" s="102"/>
      <c r="F2642" s="102"/>
      <c r="G2642" s="102"/>
      <c r="H2642" s="102"/>
      <c r="I2642" s="102"/>
      <c r="J2642" s="102"/>
      <c r="K2642" s="102"/>
      <c r="L2642" s="102"/>
      <c r="M2642" s="102"/>
      <c r="N2642" s="102"/>
      <c r="O2642" s="102"/>
      <c r="P2642" s="102"/>
      <c r="Q2642" s="102"/>
      <c r="R2642" s="102"/>
    </row>
    <row r="2643" spans="1:18" ht="35.1" customHeight="1" x14ac:dyDescent="0.2">
      <c r="A2643" s="99"/>
      <c r="B2643" s="99"/>
      <c r="C2643" s="102"/>
      <c r="D2643" s="102"/>
      <c r="E2643" s="102"/>
      <c r="F2643" s="102"/>
      <c r="G2643" s="102"/>
      <c r="H2643" s="102"/>
      <c r="I2643" s="102"/>
      <c r="J2643" s="102"/>
      <c r="K2643" s="102"/>
      <c r="L2643" s="102"/>
      <c r="M2643" s="102"/>
      <c r="N2643" s="102"/>
      <c r="O2643" s="102"/>
      <c r="P2643" s="102"/>
      <c r="Q2643" s="102"/>
      <c r="R2643" s="102"/>
    </row>
    <row r="2644" spans="1:18" ht="35.1" customHeight="1" x14ac:dyDescent="0.2">
      <c r="A2644" s="99"/>
      <c r="B2644" s="99"/>
      <c r="C2644" s="102"/>
      <c r="D2644" s="102"/>
      <c r="E2644" s="102"/>
      <c r="F2644" s="102"/>
      <c r="G2644" s="102"/>
      <c r="H2644" s="102"/>
      <c r="I2644" s="102"/>
      <c r="J2644" s="102"/>
      <c r="K2644" s="102"/>
      <c r="L2644" s="102"/>
      <c r="M2644" s="102"/>
      <c r="N2644" s="102"/>
      <c r="O2644" s="102"/>
      <c r="P2644" s="102"/>
      <c r="Q2644" s="102"/>
      <c r="R2644" s="102"/>
    </row>
    <row r="2645" spans="1:18" ht="35.1" customHeight="1" x14ac:dyDescent="0.2">
      <c r="A2645" s="99"/>
      <c r="B2645" s="99"/>
      <c r="C2645" s="102"/>
      <c r="D2645" s="102"/>
      <c r="E2645" s="102"/>
      <c r="F2645" s="102"/>
      <c r="G2645" s="102"/>
      <c r="H2645" s="102"/>
      <c r="I2645" s="102"/>
      <c r="J2645" s="102"/>
      <c r="K2645" s="102"/>
      <c r="L2645" s="102"/>
      <c r="M2645" s="102"/>
      <c r="N2645" s="102"/>
      <c r="O2645" s="102"/>
      <c r="P2645" s="102"/>
      <c r="Q2645" s="102"/>
      <c r="R2645" s="102"/>
    </row>
    <row r="2646" spans="1:18" ht="35.1" customHeight="1" x14ac:dyDescent="0.2">
      <c r="A2646" s="99"/>
      <c r="B2646" s="99"/>
      <c r="C2646" s="102"/>
      <c r="D2646" s="102"/>
      <c r="E2646" s="102"/>
      <c r="F2646" s="102"/>
      <c r="G2646" s="102"/>
      <c r="H2646" s="102"/>
      <c r="I2646" s="102"/>
      <c r="J2646" s="102"/>
      <c r="K2646" s="102"/>
      <c r="L2646" s="102"/>
      <c r="M2646" s="102"/>
      <c r="N2646" s="102"/>
      <c r="O2646" s="102"/>
      <c r="P2646" s="102"/>
      <c r="Q2646" s="102"/>
      <c r="R2646" s="102"/>
    </row>
    <row r="2647" spans="1:18" ht="35.1" customHeight="1" x14ac:dyDescent="0.2">
      <c r="A2647" s="99"/>
      <c r="B2647" s="99"/>
      <c r="C2647" s="102"/>
      <c r="D2647" s="102"/>
      <c r="E2647" s="102"/>
      <c r="F2647" s="102"/>
      <c r="G2647" s="102"/>
      <c r="H2647" s="102"/>
      <c r="I2647" s="102"/>
      <c r="J2647" s="102"/>
      <c r="K2647" s="102"/>
      <c r="L2647" s="102"/>
      <c r="M2647" s="102"/>
      <c r="N2647" s="102"/>
      <c r="O2647" s="102"/>
      <c r="P2647" s="102"/>
      <c r="Q2647" s="102"/>
      <c r="R2647" s="102"/>
    </row>
    <row r="2648" spans="1:18" ht="35.1" customHeight="1" x14ac:dyDescent="0.2">
      <c r="A2648" s="99"/>
      <c r="B2648" s="99"/>
      <c r="C2648" s="102"/>
      <c r="D2648" s="102"/>
      <c r="E2648" s="102"/>
      <c r="F2648" s="102"/>
      <c r="G2648" s="102"/>
      <c r="H2648" s="102"/>
      <c r="I2648" s="102"/>
      <c r="J2648" s="102"/>
      <c r="K2648" s="102"/>
      <c r="L2648" s="102"/>
      <c r="M2648" s="102"/>
      <c r="N2648" s="102"/>
      <c r="O2648" s="102"/>
      <c r="P2648" s="102"/>
      <c r="Q2648" s="102"/>
      <c r="R2648" s="102"/>
    </row>
    <row r="2649" spans="1:18" ht="35.1" customHeight="1" x14ac:dyDescent="0.2">
      <c r="A2649" s="99"/>
      <c r="B2649" s="99"/>
      <c r="C2649" s="102"/>
      <c r="D2649" s="102"/>
      <c r="E2649" s="102"/>
      <c r="F2649" s="102"/>
      <c r="G2649" s="102"/>
      <c r="H2649" s="102"/>
      <c r="I2649" s="102"/>
      <c r="J2649" s="102"/>
      <c r="K2649" s="102"/>
      <c r="L2649" s="102"/>
      <c r="M2649" s="102"/>
      <c r="N2649" s="102"/>
      <c r="O2649" s="102"/>
      <c r="P2649" s="102"/>
      <c r="Q2649" s="102"/>
      <c r="R2649" s="102"/>
    </row>
    <row r="2650" spans="1:18" ht="35.1" customHeight="1" x14ac:dyDescent="0.2">
      <c r="A2650" s="99"/>
      <c r="B2650" s="99"/>
      <c r="C2650" s="102"/>
      <c r="D2650" s="102"/>
      <c r="E2650" s="102"/>
      <c r="F2650" s="102"/>
      <c r="G2650" s="102"/>
      <c r="H2650" s="102"/>
      <c r="I2650" s="102"/>
      <c r="J2650" s="102"/>
      <c r="K2650" s="102"/>
      <c r="L2650" s="102"/>
      <c r="M2650" s="102"/>
      <c r="N2650" s="102"/>
      <c r="O2650" s="102"/>
      <c r="P2650" s="102"/>
      <c r="Q2650" s="102"/>
      <c r="R2650" s="102"/>
    </row>
    <row r="2651" spans="1:18" ht="35.1" customHeight="1" x14ac:dyDescent="0.2">
      <c r="A2651" s="99"/>
      <c r="B2651" s="99"/>
      <c r="C2651" s="102"/>
      <c r="D2651" s="102"/>
      <c r="E2651" s="102"/>
      <c r="F2651" s="102"/>
      <c r="G2651" s="102"/>
      <c r="H2651" s="102"/>
      <c r="I2651" s="102"/>
      <c r="J2651" s="102"/>
      <c r="K2651" s="102"/>
      <c r="L2651" s="102"/>
      <c r="M2651" s="102"/>
      <c r="N2651" s="102"/>
      <c r="O2651" s="102"/>
      <c r="P2651" s="102"/>
      <c r="Q2651" s="102"/>
      <c r="R2651" s="102"/>
    </row>
    <row r="2652" spans="1:18" ht="35.1" customHeight="1" x14ac:dyDescent="0.2">
      <c r="A2652" s="99"/>
      <c r="B2652" s="99"/>
      <c r="C2652" s="102"/>
      <c r="D2652" s="102"/>
      <c r="E2652" s="102"/>
      <c r="F2652" s="102"/>
      <c r="G2652" s="102"/>
      <c r="H2652" s="102"/>
      <c r="I2652" s="102"/>
      <c r="J2652" s="102"/>
      <c r="K2652" s="102"/>
      <c r="L2652" s="102"/>
      <c r="M2652" s="102"/>
      <c r="N2652" s="102"/>
      <c r="O2652" s="102"/>
      <c r="P2652" s="102"/>
      <c r="Q2652" s="102"/>
      <c r="R2652" s="102"/>
    </row>
    <row r="2653" spans="1:18" ht="35.1" customHeight="1" x14ac:dyDescent="0.2">
      <c r="A2653" s="99"/>
      <c r="B2653" s="99"/>
      <c r="C2653" s="102"/>
      <c r="D2653" s="102"/>
      <c r="E2653" s="102"/>
      <c r="F2653" s="102"/>
      <c r="G2653" s="102"/>
      <c r="H2653" s="102"/>
      <c r="I2653" s="102"/>
      <c r="J2653" s="102"/>
      <c r="K2653" s="102"/>
      <c r="L2653" s="102"/>
      <c r="M2653" s="102"/>
      <c r="N2653" s="102"/>
      <c r="O2653" s="102"/>
      <c r="P2653" s="102"/>
      <c r="Q2653" s="102"/>
      <c r="R2653" s="102"/>
    </row>
    <row r="2654" spans="1:18" ht="35.1" customHeight="1" x14ac:dyDescent="0.2">
      <c r="A2654" s="99"/>
      <c r="B2654" s="99"/>
      <c r="C2654" s="102"/>
      <c r="D2654" s="102"/>
      <c r="E2654" s="102"/>
      <c r="F2654" s="102"/>
      <c r="G2654" s="102"/>
      <c r="H2654" s="102"/>
      <c r="I2654" s="102"/>
      <c r="J2654" s="102"/>
      <c r="K2654" s="102"/>
      <c r="L2654" s="102"/>
      <c r="M2654" s="102"/>
      <c r="N2654" s="102"/>
      <c r="O2654" s="102"/>
      <c r="P2654" s="102"/>
      <c r="Q2654" s="102"/>
      <c r="R2654" s="102"/>
    </row>
    <row r="2655" spans="1:18" ht="35.1" customHeight="1" x14ac:dyDescent="0.2">
      <c r="A2655" s="99"/>
      <c r="B2655" s="99"/>
      <c r="C2655" s="102"/>
      <c r="D2655" s="102"/>
      <c r="E2655" s="102"/>
      <c r="F2655" s="102"/>
      <c r="G2655" s="102"/>
      <c r="H2655" s="102"/>
      <c r="I2655" s="102"/>
      <c r="J2655" s="102"/>
      <c r="K2655" s="102"/>
      <c r="L2655" s="102"/>
      <c r="M2655" s="102"/>
      <c r="N2655" s="102"/>
      <c r="O2655" s="102"/>
      <c r="P2655" s="102"/>
      <c r="Q2655" s="102"/>
      <c r="R2655" s="102"/>
    </row>
    <row r="2656" spans="1:18" ht="35.1" customHeight="1" x14ac:dyDescent="0.2">
      <c r="A2656" s="99"/>
      <c r="B2656" s="99"/>
      <c r="C2656" s="102"/>
      <c r="D2656" s="102"/>
      <c r="E2656" s="102"/>
      <c r="F2656" s="102"/>
      <c r="G2656" s="102"/>
      <c r="H2656" s="102"/>
      <c r="I2656" s="102"/>
      <c r="J2656" s="102"/>
      <c r="K2656" s="102"/>
      <c r="L2656" s="102"/>
      <c r="M2656" s="102"/>
      <c r="N2656" s="102"/>
      <c r="O2656" s="102"/>
      <c r="P2656" s="102"/>
      <c r="Q2656" s="102"/>
      <c r="R2656" s="102"/>
    </row>
    <row r="2657" spans="1:18" ht="35.1" customHeight="1" x14ac:dyDescent="0.2">
      <c r="A2657" s="99"/>
      <c r="B2657" s="99"/>
      <c r="C2657" s="102"/>
      <c r="D2657" s="102"/>
      <c r="E2657" s="102"/>
      <c r="F2657" s="102"/>
      <c r="G2657" s="102"/>
      <c r="H2657" s="102"/>
      <c r="I2657" s="102"/>
      <c r="J2657" s="102"/>
      <c r="K2657" s="102"/>
      <c r="L2657" s="102"/>
      <c r="M2657" s="102"/>
      <c r="N2657" s="102"/>
      <c r="O2657" s="102"/>
      <c r="P2657" s="102"/>
      <c r="Q2657" s="102"/>
      <c r="R2657" s="102"/>
    </row>
    <row r="2658" spans="1:18" ht="35.1" customHeight="1" x14ac:dyDescent="0.2">
      <c r="A2658" s="99"/>
      <c r="B2658" s="99"/>
      <c r="C2658" s="102"/>
      <c r="D2658" s="102"/>
      <c r="E2658" s="102"/>
      <c r="F2658" s="102"/>
      <c r="G2658" s="102"/>
      <c r="H2658" s="102"/>
      <c r="I2658" s="102"/>
      <c r="J2658" s="102"/>
      <c r="K2658" s="102"/>
      <c r="L2658" s="102"/>
      <c r="M2658" s="102"/>
      <c r="N2658" s="102"/>
      <c r="O2658" s="102"/>
      <c r="P2658" s="102"/>
      <c r="Q2658" s="102"/>
      <c r="R2658" s="102"/>
    </row>
    <row r="2659" spans="1:18" ht="35.1" customHeight="1" x14ac:dyDescent="0.2">
      <c r="A2659" s="99"/>
      <c r="B2659" s="99"/>
      <c r="C2659" s="102"/>
      <c r="D2659" s="102"/>
      <c r="E2659" s="102"/>
      <c r="F2659" s="102"/>
      <c r="G2659" s="102"/>
      <c r="H2659" s="102"/>
      <c r="I2659" s="102"/>
      <c r="J2659" s="102"/>
      <c r="K2659" s="102"/>
      <c r="L2659" s="102"/>
      <c r="M2659" s="102"/>
      <c r="N2659" s="102"/>
      <c r="O2659" s="102"/>
      <c r="P2659" s="102"/>
      <c r="Q2659" s="102"/>
      <c r="R2659" s="102"/>
    </row>
    <row r="2660" spans="1:18" ht="35.1" customHeight="1" x14ac:dyDescent="0.2">
      <c r="A2660" s="99"/>
      <c r="B2660" s="99"/>
      <c r="C2660" s="102"/>
      <c r="D2660" s="102"/>
      <c r="E2660" s="102"/>
      <c r="F2660" s="102"/>
      <c r="G2660" s="102"/>
      <c r="H2660" s="102"/>
      <c r="I2660" s="102"/>
      <c r="J2660" s="102"/>
      <c r="K2660" s="102"/>
      <c r="L2660" s="102"/>
      <c r="M2660" s="102"/>
      <c r="N2660" s="102"/>
      <c r="O2660" s="102"/>
      <c r="P2660" s="102"/>
      <c r="Q2660" s="102"/>
      <c r="R2660" s="102"/>
    </row>
    <row r="2661" spans="1:18" ht="35.1" customHeight="1" x14ac:dyDescent="0.2">
      <c r="A2661" s="99"/>
      <c r="B2661" s="99"/>
      <c r="C2661" s="102"/>
      <c r="D2661" s="102"/>
      <c r="E2661" s="102"/>
      <c r="F2661" s="102"/>
      <c r="G2661" s="102"/>
      <c r="H2661" s="102"/>
      <c r="I2661" s="102"/>
      <c r="J2661" s="102"/>
      <c r="K2661" s="102"/>
      <c r="L2661" s="102"/>
      <c r="M2661" s="102"/>
      <c r="N2661" s="102"/>
      <c r="O2661" s="102"/>
      <c r="P2661" s="102"/>
      <c r="Q2661" s="102"/>
      <c r="R2661" s="102"/>
    </row>
    <row r="2662" spans="1:18" ht="35.1" customHeight="1" x14ac:dyDescent="0.2">
      <c r="A2662" s="99"/>
      <c r="B2662" s="99"/>
      <c r="C2662" s="102"/>
      <c r="D2662" s="102"/>
      <c r="E2662" s="102"/>
      <c r="F2662" s="102"/>
      <c r="G2662" s="102"/>
      <c r="H2662" s="102"/>
      <c r="I2662" s="102"/>
      <c r="J2662" s="102"/>
      <c r="K2662" s="102"/>
      <c r="L2662" s="102"/>
      <c r="M2662" s="102"/>
      <c r="N2662" s="102"/>
      <c r="O2662" s="102"/>
      <c r="P2662" s="102"/>
      <c r="Q2662" s="102"/>
      <c r="R2662" s="102"/>
    </row>
    <row r="2663" spans="1:18" ht="35.1" customHeight="1" x14ac:dyDescent="0.2">
      <c r="A2663" s="99"/>
      <c r="B2663" s="99"/>
      <c r="C2663" s="102"/>
      <c r="D2663" s="102"/>
      <c r="E2663" s="102"/>
      <c r="F2663" s="102"/>
      <c r="G2663" s="102"/>
      <c r="H2663" s="102"/>
      <c r="I2663" s="102"/>
      <c r="J2663" s="102"/>
      <c r="K2663" s="102"/>
      <c r="L2663" s="102"/>
      <c r="M2663" s="102"/>
      <c r="N2663" s="102"/>
      <c r="O2663" s="102"/>
      <c r="P2663" s="102"/>
      <c r="Q2663" s="102"/>
      <c r="R2663" s="102"/>
    </row>
    <row r="2664" spans="1:18" ht="35.1" customHeight="1" x14ac:dyDescent="0.2">
      <c r="A2664" s="99"/>
      <c r="B2664" s="99"/>
      <c r="C2664" s="102"/>
      <c r="D2664" s="102"/>
      <c r="E2664" s="102"/>
      <c r="F2664" s="102"/>
      <c r="G2664" s="102"/>
      <c r="H2664" s="102"/>
      <c r="I2664" s="102"/>
      <c r="J2664" s="102"/>
      <c r="K2664" s="102"/>
      <c r="L2664" s="102"/>
      <c r="M2664" s="102"/>
      <c r="N2664" s="102"/>
      <c r="O2664" s="102"/>
      <c r="P2664" s="102"/>
      <c r="Q2664" s="102"/>
      <c r="R2664" s="102"/>
    </row>
    <row r="2665" spans="1:18" ht="35.1" customHeight="1" x14ac:dyDescent="0.2">
      <c r="A2665" s="99"/>
      <c r="B2665" s="99"/>
      <c r="C2665" s="102"/>
      <c r="D2665" s="102"/>
      <c r="E2665" s="102"/>
      <c r="F2665" s="102"/>
      <c r="G2665" s="102"/>
      <c r="H2665" s="102"/>
      <c r="I2665" s="102"/>
      <c r="J2665" s="102"/>
      <c r="K2665" s="102"/>
      <c r="L2665" s="102"/>
      <c r="M2665" s="102"/>
      <c r="N2665" s="102"/>
      <c r="O2665" s="102"/>
      <c r="P2665" s="102"/>
      <c r="Q2665" s="102"/>
      <c r="R2665" s="102"/>
    </row>
    <row r="2666" spans="1:18" ht="35.1" customHeight="1" x14ac:dyDescent="0.2">
      <c r="A2666" s="99"/>
      <c r="B2666" s="99"/>
      <c r="C2666" s="102"/>
      <c r="D2666" s="102"/>
      <c r="E2666" s="102"/>
      <c r="F2666" s="102"/>
      <c r="G2666" s="102"/>
      <c r="H2666" s="102"/>
      <c r="I2666" s="102"/>
      <c r="J2666" s="102"/>
      <c r="K2666" s="102"/>
      <c r="L2666" s="102"/>
      <c r="M2666" s="102"/>
      <c r="N2666" s="102"/>
      <c r="O2666" s="102"/>
      <c r="P2666" s="102"/>
      <c r="Q2666" s="102"/>
      <c r="R2666" s="102"/>
    </row>
    <row r="2667" spans="1:18" ht="35.1" customHeight="1" x14ac:dyDescent="0.2">
      <c r="A2667" s="99"/>
      <c r="B2667" s="99"/>
      <c r="C2667" s="102"/>
      <c r="D2667" s="102"/>
      <c r="E2667" s="102"/>
      <c r="F2667" s="102"/>
      <c r="G2667" s="102"/>
      <c r="H2667" s="102"/>
      <c r="I2667" s="102"/>
      <c r="J2667" s="102"/>
      <c r="K2667" s="102"/>
      <c r="L2667" s="102"/>
      <c r="M2667" s="102"/>
      <c r="N2667" s="102"/>
      <c r="O2667" s="102"/>
      <c r="P2667" s="102"/>
      <c r="Q2667" s="102"/>
      <c r="R2667" s="102"/>
    </row>
    <row r="2668" spans="1:18" ht="35.1" customHeight="1" x14ac:dyDescent="0.2">
      <c r="A2668" s="99"/>
      <c r="B2668" s="99"/>
      <c r="C2668" s="102"/>
      <c r="D2668" s="102"/>
      <c r="E2668" s="102"/>
      <c r="F2668" s="102"/>
      <c r="G2668" s="102"/>
      <c r="H2668" s="102"/>
      <c r="I2668" s="102"/>
      <c r="J2668" s="102"/>
      <c r="K2668" s="102"/>
      <c r="L2668" s="102"/>
      <c r="M2668" s="102"/>
      <c r="N2668" s="102"/>
      <c r="O2668" s="102"/>
      <c r="P2668" s="102"/>
      <c r="Q2668" s="102"/>
      <c r="R2668" s="102"/>
    </row>
    <row r="2669" spans="1:18" ht="35.1" customHeight="1" x14ac:dyDescent="0.2">
      <c r="A2669" s="99"/>
      <c r="B2669" s="99"/>
      <c r="C2669" s="102"/>
      <c r="D2669" s="102"/>
      <c r="E2669" s="102"/>
      <c r="F2669" s="102"/>
      <c r="G2669" s="102"/>
      <c r="H2669" s="102"/>
      <c r="I2669" s="102"/>
      <c r="J2669" s="102"/>
      <c r="K2669" s="102"/>
      <c r="L2669" s="102"/>
      <c r="M2669" s="102"/>
      <c r="N2669" s="102"/>
      <c r="O2669" s="102"/>
      <c r="P2669" s="102"/>
      <c r="Q2669" s="102"/>
      <c r="R2669" s="102"/>
    </row>
    <row r="2670" spans="1:18" ht="35.1" customHeight="1" x14ac:dyDescent="0.2">
      <c r="A2670" s="99"/>
      <c r="B2670" s="99"/>
      <c r="C2670" s="102"/>
      <c r="D2670" s="102"/>
      <c r="E2670" s="102"/>
      <c r="F2670" s="102"/>
      <c r="G2670" s="102"/>
      <c r="H2670" s="102"/>
      <c r="I2670" s="102"/>
      <c r="J2670" s="102"/>
      <c r="K2670" s="102"/>
      <c r="L2670" s="102"/>
      <c r="M2670" s="102"/>
      <c r="N2670" s="102"/>
      <c r="O2670" s="102"/>
      <c r="P2670" s="102"/>
      <c r="Q2670" s="102"/>
      <c r="R2670" s="102"/>
    </row>
    <row r="2671" spans="1:18" ht="35.1" customHeight="1" x14ac:dyDescent="0.2">
      <c r="A2671" s="99"/>
      <c r="B2671" s="99"/>
      <c r="C2671" s="102"/>
      <c r="D2671" s="102"/>
      <c r="E2671" s="102"/>
      <c r="F2671" s="102"/>
      <c r="G2671" s="102"/>
      <c r="H2671" s="102"/>
      <c r="I2671" s="102"/>
      <c r="J2671" s="102"/>
      <c r="K2671" s="102"/>
      <c r="L2671" s="102"/>
      <c r="M2671" s="102"/>
      <c r="N2671" s="102"/>
      <c r="O2671" s="102"/>
      <c r="P2671" s="102"/>
      <c r="Q2671" s="102"/>
      <c r="R2671" s="102"/>
    </row>
    <row r="2672" spans="1:18" ht="35.1" customHeight="1" x14ac:dyDescent="0.2">
      <c r="A2672" s="99"/>
      <c r="B2672" s="99"/>
      <c r="C2672" s="102"/>
      <c r="D2672" s="102"/>
      <c r="E2672" s="102"/>
      <c r="F2672" s="102"/>
      <c r="G2672" s="102"/>
      <c r="H2672" s="102"/>
      <c r="I2672" s="102"/>
      <c r="J2672" s="102"/>
      <c r="K2672" s="102"/>
      <c r="L2672" s="102"/>
      <c r="M2672" s="102"/>
      <c r="N2672" s="102"/>
      <c r="O2672" s="102"/>
      <c r="P2672" s="102"/>
      <c r="Q2672" s="102"/>
      <c r="R2672" s="102"/>
    </row>
    <row r="2673" spans="1:18" ht="35.1" customHeight="1" x14ac:dyDescent="0.2">
      <c r="A2673" s="99"/>
      <c r="B2673" s="99"/>
      <c r="C2673" s="102"/>
      <c r="D2673" s="102"/>
      <c r="E2673" s="102"/>
      <c r="F2673" s="102"/>
      <c r="G2673" s="102"/>
      <c r="H2673" s="102"/>
      <c r="I2673" s="102"/>
      <c r="J2673" s="102"/>
      <c r="K2673" s="102"/>
      <c r="L2673" s="102"/>
      <c r="M2673" s="102"/>
      <c r="N2673" s="102"/>
      <c r="O2673" s="102"/>
      <c r="P2673" s="102"/>
      <c r="Q2673" s="102"/>
      <c r="R2673" s="102"/>
    </row>
    <row r="2674" spans="1:18" ht="35.1" customHeight="1" x14ac:dyDescent="0.2">
      <c r="A2674" s="99"/>
      <c r="B2674" s="99"/>
      <c r="C2674" s="102"/>
      <c r="D2674" s="102"/>
      <c r="E2674" s="102"/>
      <c r="F2674" s="102"/>
      <c r="G2674" s="102"/>
      <c r="H2674" s="102"/>
      <c r="I2674" s="102"/>
      <c r="J2674" s="102"/>
      <c r="K2674" s="102"/>
      <c r="L2674" s="102"/>
      <c r="M2674" s="102"/>
      <c r="N2674" s="102"/>
      <c r="O2674" s="102"/>
      <c r="P2674" s="102"/>
      <c r="Q2674" s="102"/>
      <c r="R2674" s="102"/>
    </row>
    <row r="2675" spans="1:18" ht="35.1" customHeight="1" x14ac:dyDescent="0.2">
      <c r="A2675" s="99"/>
      <c r="B2675" s="99"/>
      <c r="C2675" s="102"/>
      <c r="D2675" s="102"/>
      <c r="E2675" s="102"/>
      <c r="F2675" s="102"/>
      <c r="G2675" s="102"/>
      <c r="H2675" s="102"/>
      <c r="I2675" s="102"/>
      <c r="J2675" s="102"/>
      <c r="K2675" s="102"/>
      <c r="L2675" s="102"/>
      <c r="M2675" s="102"/>
      <c r="N2675" s="102"/>
      <c r="O2675" s="102"/>
      <c r="P2675" s="102"/>
      <c r="Q2675" s="102"/>
      <c r="R2675" s="102"/>
    </row>
    <row r="2676" spans="1:18" ht="35.1" customHeight="1" x14ac:dyDescent="0.2">
      <c r="A2676" s="99"/>
      <c r="B2676" s="99"/>
      <c r="C2676" s="102"/>
      <c r="D2676" s="102"/>
      <c r="E2676" s="102"/>
      <c r="F2676" s="102"/>
      <c r="G2676" s="102"/>
      <c r="H2676" s="102"/>
      <c r="I2676" s="102"/>
      <c r="J2676" s="102"/>
      <c r="K2676" s="102"/>
      <c r="L2676" s="102"/>
      <c r="M2676" s="102"/>
      <c r="N2676" s="102"/>
      <c r="O2676" s="102"/>
      <c r="P2676" s="102"/>
      <c r="Q2676" s="102"/>
      <c r="R2676" s="102"/>
    </row>
    <row r="2677" spans="1:18" ht="35.1" customHeight="1" x14ac:dyDescent="0.2">
      <c r="A2677" s="99"/>
      <c r="B2677" s="99"/>
      <c r="C2677" s="102"/>
      <c r="D2677" s="102"/>
      <c r="E2677" s="102"/>
      <c r="F2677" s="102"/>
      <c r="G2677" s="102"/>
      <c r="H2677" s="102"/>
      <c r="I2677" s="102"/>
      <c r="J2677" s="102"/>
      <c r="K2677" s="102"/>
      <c r="L2677" s="102"/>
      <c r="M2677" s="102"/>
      <c r="N2677" s="102"/>
      <c r="O2677" s="102"/>
      <c r="P2677" s="102"/>
      <c r="Q2677" s="102"/>
      <c r="R2677" s="102"/>
    </row>
    <row r="2678" spans="1:18" ht="35.1" customHeight="1" x14ac:dyDescent="0.2">
      <c r="A2678" s="99"/>
      <c r="B2678" s="99"/>
      <c r="C2678" s="102"/>
      <c r="D2678" s="102"/>
      <c r="E2678" s="102"/>
      <c r="F2678" s="102"/>
      <c r="G2678" s="102"/>
      <c r="H2678" s="102"/>
      <c r="I2678" s="102"/>
      <c r="J2678" s="102"/>
      <c r="K2678" s="102"/>
      <c r="L2678" s="102"/>
      <c r="M2678" s="102"/>
      <c r="N2678" s="102"/>
      <c r="O2678" s="102"/>
      <c r="P2678" s="102"/>
      <c r="Q2678" s="102"/>
      <c r="R2678" s="102"/>
    </row>
    <row r="2679" spans="1:18" ht="35.1" customHeight="1" x14ac:dyDescent="0.2">
      <c r="A2679" s="99"/>
      <c r="B2679" s="99"/>
      <c r="C2679" s="102"/>
      <c r="D2679" s="102"/>
      <c r="E2679" s="102"/>
      <c r="F2679" s="102"/>
      <c r="G2679" s="102"/>
      <c r="H2679" s="102"/>
      <c r="I2679" s="102"/>
      <c r="J2679" s="102"/>
      <c r="K2679" s="102"/>
      <c r="L2679" s="102"/>
      <c r="M2679" s="102"/>
      <c r="N2679" s="102"/>
      <c r="O2679" s="102"/>
      <c r="P2679" s="102"/>
      <c r="Q2679" s="102"/>
      <c r="R2679" s="102"/>
    </row>
    <row r="2680" spans="1:18" ht="35.1" customHeight="1" x14ac:dyDescent="0.2">
      <c r="A2680" s="99"/>
      <c r="B2680" s="99"/>
      <c r="C2680" s="102"/>
      <c r="D2680" s="102"/>
      <c r="E2680" s="102"/>
      <c r="F2680" s="102"/>
      <c r="G2680" s="102"/>
      <c r="H2680" s="102"/>
      <c r="I2680" s="102"/>
      <c r="J2680" s="102"/>
      <c r="K2680" s="102"/>
      <c r="L2680" s="102"/>
      <c r="M2680" s="102"/>
      <c r="N2680" s="102"/>
      <c r="O2680" s="102"/>
      <c r="P2680" s="102"/>
      <c r="Q2680" s="102"/>
      <c r="R2680" s="102"/>
    </row>
    <row r="2681" spans="1:18" ht="35.1" customHeight="1" x14ac:dyDescent="0.2">
      <c r="A2681" s="99"/>
      <c r="B2681" s="99"/>
      <c r="C2681" s="102"/>
      <c r="D2681" s="102"/>
      <c r="E2681" s="102"/>
      <c r="F2681" s="102"/>
      <c r="G2681" s="102"/>
      <c r="H2681" s="102"/>
      <c r="I2681" s="102"/>
      <c r="J2681" s="102"/>
      <c r="K2681" s="102"/>
      <c r="L2681" s="102"/>
      <c r="M2681" s="102"/>
      <c r="N2681" s="102"/>
      <c r="O2681" s="102"/>
      <c r="P2681" s="102"/>
      <c r="Q2681" s="102"/>
      <c r="R2681" s="102"/>
    </row>
    <row r="2682" spans="1:18" ht="35.1" customHeight="1" x14ac:dyDescent="0.2">
      <c r="A2682" s="99"/>
      <c r="B2682" s="99"/>
      <c r="C2682" s="102"/>
      <c r="D2682" s="102"/>
      <c r="E2682" s="102"/>
      <c r="F2682" s="102"/>
      <c r="G2682" s="102"/>
      <c r="H2682" s="102"/>
      <c r="I2682" s="102"/>
      <c r="J2682" s="102"/>
      <c r="K2682" s="102"/>
      <c r="L2682" s="102"/>
      <c r="M2682" s="102"/>
      <c r="N2682" s="102"/>
      <c r="O2682" s="102"/>
      <c r="P2682" s="102"/>
      <c r="Q2682" s="102"/>
      <c r="R2682" s="102"/>
    </row>
    <row r="2683" spans="1:18" ht="35.1" customHeight="1" x14ac:dyDescent="0.2">
      <c r="A2683" s="99"/>
      <c r="B2683" s="99"/>
      <c r="C2683" s="102"/>
      <c r="D2683" s="102"/>
      <c r="E2683" s="102"/>
      <c r="F2683" s="102"/>
      <c r="G2683" s="102"/>
      <c r="H2683" s="102"/>
      <c r="I2683" s="102"/>
      <c r="J2683" s="102"/>
      <c r="K2683" s="102"/>
      <c r="L2683" s="102"/>
      <c r="M2683" s="102"/>
      <c r="N2683" s="102"/>
      <c r="O2683" s="102"/>
      <c r="P2683" s="102"/>
      <c r="Q2683" s="102"/>
      <c r="R2683" s="102"/>
    </row>
    <row r="2684" spans="1:18" ht="35.1" customHeight="1" x14ac:dyDescent="0.2">
      <c r="A2684" s="99"/>
      <c r="B2684" s="99"/>
      <c r="C2684" s="102"/>
      <c r="D2684" s="102"/>
      <c r="E2684" s="102"/>
      <c r="F2684" s="102"/>
      <c r="G2684" s="102"/>
      <c r="H2684" s="102"/>
      <c r="I2684" s="102"/>
      <c r="J2684" s="102"/>
      <c r="K2684" s="102"/>
      <c r="L2684" s="102"/>
      <c r="M2684" s="102"/>
      <c r="N2684" s="102"/>
      <c r="O2684" s="102"/>
      <c r="P2684" s="102"/>
      <c r="Q2684" s="102"/>
      <c r="R2684" s="102"/>
    </row>
    <row r="2685" spans="1:18" ht="35.1" customHeight="1" x14ac:dyDescent="0.2">
      <c r="A2685" s="99"/>
      <c r="B2685" s="99"/>
      <c r="C2685" s="102"/>
      <c r="D2685" s="102"/>
      <c r="E2685" s="102"/>
      <c r="F2685" s="102"/>
      <c r="G2685" s="102"/>
      <c r="H2685" s="102"/>
      <c r="I2685" s="102"/>
      <c r="J2685" s="102"/>
      <c r="K2685" s="102"/>
      <c r="L2685" s="102"/>
      <c r="M2685" s="102"/>
      <c r="N2685" s="102"/>
      <c r="O2685" s="102"/>
      <c r="P2685" s="102"/>
      <c r="Q2685" s="102"/>
      <c r="R2685" s="102"/>
    </row>
    <row r="2686" spans="1:18" ht="35.1" customHeight="1" x14ac:dyDescent="0.2">
      <c r="A2686" s="99"/>
      <c r="B2686" s="99"/>
      <c r="C2686" s="102"/>
      <c r="D2686" s="102"/>
      <c r="E2686" s="102"/>
      <c r="F2686" s="102"/>
      <c r="G2686" s="102"/>
      <c r="H2686" s="102"/>
      <c r="I2686" s="102"/>
      <c r="J2686" s="102"/>
      <c r="K2686" s="102"/>
      <c r="L2686" s="102"/>
      <c r="M2686" s="102"/>
      <c r="N2686" s="102"/>
      <c r="O2686" s="102"/>
      <c r="P2686" s="102"/>
      <c r="Q2686" s="102"/>
      <c r="R2686" s="102"/>
    </row>
    <row r="2687" spans="1:18" ht="35.1" customHeight="1" x14ac:dyDescent="0.2">
      <c r="A2687" s="99"/>
      <c r="B2687" s="99"/>
      <c r="C2687" s="102"/>
      <c r="D2687" s="102"/>
      <c r="E2687" s="102"/>
      <c r="F2687" s="102"/>
      <c r="G2687" s="102"/>
      <c r="H2687" s="102"/>
      <c r="I2687" s="102"/>
      <c r="J2687" s="102"/>
      <c r="K2687" s="102"/>
      <c r="L2687" s="102"/>
      <c r="M2687" s="102"/>
      <c r="N2687" s="102"/>
      <c r="O2687" s="102"/>
      <c r="P2687" s="102"/>
      <c r="Q2687" s="102"/>
      <c r="R2687" s="102"/>
    </row>
    <row r="2688" spans="1:18" ht="35.1" customHeight="1" x14ac:dyDescent="0.2">
      <c r="A2688" s="99"/>
      <c r="B2688" s="99"/>
      <c r="C2688" s="102"/>
      <c r="D2688" s="102"/>
      <c r="E2688" s="102"/>
      <c r="F2688" s="102"/>
      <c r="G2688" s="102"/>
      <c r="H2688" s="102"/>
      <c r="I2688" s="102"/>
      <c r="J2688" s="102"/>
      <c r="K2688" s="102"/>
      <c r="L2688" s="102"/>
      <c r="M2688" s="102"/>
      <c r="N2688" s="102"/>
      <c r="O2688" s="102"/>
      <c r="P2688" s="102"/>
      <c r="Q2688" s="102"/>
      <c r="R2688" s="102"/>
    </row>
    <row r="2689" spans="1:18" ht="35.1" customHeight="1" x14ac:dyDescent="0.2">
      <c r="A2689" s="99"/>
      <c r="B2689" s="99"/>
      <c r="C2689" s="102"/>
      <c r="D2689" s="102"/>
      <c r="E2689" s="102"/>
      <c r="F2689" s="102"/>
      <c r="G2689" s="102"/>
      <c r="H2689" s="102"/>
      <c r="I2689" s="102"/>
      <c r="J2689" s="102"/>
      <c r="K2689" s="102"/>
      <c r="L2689" s="102"/>
      <c r="M2689" s="102"/>
      <c r="N2689" s="102"/>
      <c r="O2689" s="102"/>
      <c r="P2689" s="102"/>
      <c r="Q2689" s="102"/>
      <c r="R2689" s="102"/>
    </row>
    <row r="2690" spans="1:18" ht="35.1" customHeight="1" x14ac:dyDescent="0.2">
      <c r="A2690" s="99"/>
      <c r="B2690" s="99"/>
      <c r="C2690" s="102"/>
      <c r="D2690" s="102"/>
      <c r="E2690" s="102"/>
      <c r="F2690" s="102"/>
      <c r="G2690" s="102"/>
      <c r="H2690" s="102"/>
      <c r="I2690" s="102"/>
      <c r="J2690" s="102"/>
      <c r="K2690" s="102"/>
      <c r="L2690" s="102"/>
      <c r="M2690" s="102"/>
      <c r="N2690" s="102"/>
      <c r="O2690" s="102"/>
      <c r="P2690" s="102"/>
      <c r="Q2690" s="102"/>
      <c r="R2690" s="102"/>
    </row>
    <row r="2691" spans="1:18" ht="35.1" customHeight="1" x14ac:dyDescent="0.2">
      <c r="A2691" s="99"/>
      <c r="B2691" s="99"/>
      <c r="C2691" s="102"/>
      <c r="D2691" s="102"/>
      <c r="E2691" s="102"/>
      <c r="F2691" s="102"/>
      <c r="G2691" s="102"/>
      <c r="H2691" s="102"/>
      <c r="I2691" s="102"/>
      <c r="J2691" s="102"/>
      <c r="K2691" s="102"/>
      <c r="L2691" s="102"/>
      <c r="M2691" s="102"/>
      <c r="N2691" s="102"/>
      <c r="O2691" s="102"/>
      <c r="P2691" s="102"/>
      <c r="Q2691" s="102"/>
      <c r="R2691" s="102"/>
    </row>
    <row r="2692" spans="1:18" ht="35.1" customHeight="1" x14ac:dyDescent="0.2">
      <c r="A2692" s="99"/>
      <c r="B2692" s="99"/>
      <c r="C2692" s="102"/>
      <c r="D2692" s="102"/>
      <c r="E2692" s="102"/>
      <c r="F2692" s="102"/>
      <c r="G2692" s="102"/>
      <c r="H2692" s="102"/>
      <c r="I2692" s="102"/>
      <c r="J2692" s="102"/>
      <c r="K2692" s="102"/>
      <c r="L2692" s="102"/>
      <c r="M2692" s="102"/>
      <c r="N2692" s="102"/>
      <c r="O2692" s="102"/>
      <c r="P2692" s="102"/>
      <c r="Q2692" s="102"/>
      <c r="R2692" s="102"/>
    </row>
    <row r="2693" spans="1:18" ht="35.1" customHeight="1" x14ac:dyDescent="0.2">
      <c r="A2693" s="99"/>
      <c r="B2693" s="99"/>
      <c r="C2693" s="102"/>
      <c r="D2693" s="102"/>
      <c r="E2693" s="102"/>
      <c r="F2693" s="102"/>
      <c r="G2693" s="102"/>
      <c r="H2693" s="102"/>
      <c r="I2693" s="102"/>
      <c r="J2693" s="102"/>
      <c r="K2693" s="102"/>
      <c r="L2693" s="102"/>
      <c r="M2693" s="102"/>
      <c r="N2693" s="102"/>
      <c r="O2693" s="102"/>
      <c r="P2693" s="102"/>
      <c r="Q2693" s="102"/>
      <c r="R2693" s="102"/>
    </row>
    <row r="2694" spans="1:18" ht="35.1" customHeight="1" x14ac:dyDescent="0.2">
      <c r="A2694" s="99"/>
      <c r="B2694" s="99"/>
      <c r="C2694" s="102"/>
      <c r="D2694" s="102"/>
      <c r="E2694" s="102"/>
      <c r="F2694" s="102"/>
      <c r="G2694" s="102"/>
      <c r="H2694" s="102"/>
      <c r="I2694" s="102"/>
      <c r="J2694" s="102"/>
      <c r="K2694" s="102"/>
      <c r="L2694" s="102"/>
      <c r="M2694" s="102"/>
      <c r="N2694" s="102"/>
      <c r="O2694" s="102"/>
      <c r="P2694" s="102"/>
      <c r="Q2694" s="102"/>
      <c r="R2694" s="102"/>
    </row>
    <row r="2695" spans="1:18" ht="35.1" customHeight="1" x14ac:dyDescent="0.2">
      <c r="A2695" s="99"/>
      <c r="B2695" s="99"/>
      <c r="C2695" s="102"/>
      <c r="D2695" s="102"/>
      <c r="E2695" s="102"/>
      <c r="F2695" s="102"/>
      <c r="G2695" s="102"/>
      <c r="H2695" s="102"/>
      <c r="I2695" s="102"/>
      <c r="J2695" s="102"/>
      <c r="K2695" s="102"/>
      <c r="L2695" s="102"/>
      <c r="M2695" s="102"/>
      <c r="N2695" s="102"/>
      <c r="O2695" s="102"/>
      <c r="P2695" s="102"/>
      <c r="Q2695" s="102"/>
      <c r="R2695" s="102"/>
    </row>
    <row r="2696" spans="1:18" ht="35.1" customHeight="1" x14ac:dyDescent="0.2">
      <c r="A2696" s="99"/>
      <c r="B2696" s="99"/>
      <c r="C2696" s="102"/>
      <c r="D2696" s="102"/>
      <c r="E2696" s="102"/>
      <c r="F2696" s="102"/>
      <c r="G2696" s="102"/>
      <c r="H2696" s="102"/>
      <c r="I2696" s="102"/>
      <c r="J2696" s="102"/>
      <c r="K2696" s="102"/>
      <c r="L2696" s="102"/>
      <c r="M2696" s="102"/>
      <c r="N2696" s="102"/>
      <c r="O2696" s="102"/>
      <c r="P2696" s="102"/>
      <c r="Q2696" s="102"/>
      <c r="R2696" s="102"/>
    </row>
    <row r="2697" spans="1:18" ht="35.1" customHeight="1" x14ac:dyDescent="0.2">
      <c r="A2697" s="99"/>
      <c r="B2697" s="99"/>
      <c r="C2697" s="102"/>
      <c r="D2697" s="102"/>
      <c r="E2697" s="102"/>
      <c r="F2697" s="102"/>
      <c r="G2697" s="102"/>
      <c r="H2697" s="102"/>
      <c r="I2697" s="102"/>
      <c r="J2697" s="102"/>
      <c r="K2697" s="102"/>
      <c r="L2697" s="102"/>
      <c r="M2697" s="102"/>
      <c r="N2697" s="102"/>
      <c r="O2697" s="102"/>
      <c r="P2697" s="102"/>
      <c r="Q2697" s="102"/>
      <c r="R2697" s="102"/>
    </row>
    <row r="2698" spans="1:18" ht="35.1" customHeight="1" x14ac:dyDescent="0.2">
      <c r="A2698" s="99"/>
      <c r="B2698" s="99"/>
      <c r="C2698" s="102"/>
      <c r="D2698" s="102"/>
      <c r="E2698" s="102"/>
      <c r="F2698" s="102"/>
      <c r="G2698" s="102"/>
      <c r="H2698" s="102"/>
      <c r="I2698" s="102"/>
      <c r="J2698" s="102"/>
      <c r="K2698" s="102"/>
      <c r="L2698" s="102"/>
      <c r="M2698" s="102"/>
      <c r="N2698" s="102"/>
      <c r="O2698" s="102"/>
      <c r="P2698" s="102"/>
      <c r="Q2698" s="102"/>
      <c r="R2698" s="102"/>
    </row>
    <row r="2699" spans="1:18" ht="35.1" customHeight="1" x14ac:dyDescent="0.2">
      <c r="A2699" s="99"/>
      <c r="B2699" s="99"/>
      <c r="C2699" s="102"/>
      <c r="D2699" s="102"/>
      <c r="E2699" s="102"/>
      <c r="F2699" s="102"/>
      <c r="G2699" s="102"/>
      <c r="H2699" s="102"/>
      <c r="I2699" s="102"/>
      <c r="J2699" s="102"/>
      <c r="K2699" s="102"/>
      <c r="L2699" s="102"/>
      <c r="M2699" s="102"/>
      <c r="N2699" s="102"/>
      <c r="O2699" s="102"/>
      <c r="P2699" s="102"/>
      <c r="Q2699" s="102"/>
      <c r="R2699" s="102"/>
    </row>
    <row r="2700" spans="1:18" ht="35.1" customHeight="1" x14ac:dyDescent="0.2">
      <c r="A2700" s="99"/>
      <c r="B2700" s="99"/>
      <c r="C2700" s="102"/>
      <c r="D2700" s="102"/>
      <c r="E2700" s="102"/>
      <c r="F2700" s="102"/>
      <c r="G2700" s="102"/>
      <c r="H2700" s="102"/>
      <c r="I2700" s="102"/>
      <c r="J2700" s="102"/>
      <c r="K2700" s="102"/>
      <c r="L2700" s="102"/>
      <c r="M2700" s="102"/>
      <c r="N2700" s="102"/>
      <c r="O2700" s="102"/>
      <c r="P2700" s="102"/>
      <c r="Q2700" s="102"/>
      <c r="R2700" s="102"/>
    </row>
    <row r="2701" spans="1:18" ht="35.1" customHeight="1" x14ac:dyDescent="0.2">
      <c r="A2701" s="99"/>
      <c r="B2701" s="99"/>
      <c r="C2701" s="102"/>
      <c r="D2701" s="102"/>
      <c r="E2701" s="102"/>
      <c r="F2701" s="102"/>
      <c r="G2701" s="102"/>
      <c r="H2701" s="102"/>
      <c r="I2701" s="102"/>
      <c r="J2701" s="102"/>
      <c r="K2701" s="102"/>
      <c r="L2701" s="102"/>
      <c r="M2701" s="102"/>
      <c r="N2701" s="102"/>
      <c r="O2701" s="102"/>
      <c r="P2701" s="102"/>
      <c r="Q2701" s="102"/>
      <c r="R2701" s="102"/>
    </row>
    <row r="2702" spans="1:18" ht="35.1" customHeight="1" x14ac:dyDescent="0.2">
      <c r="A2702" s="99"/>
      <c r="B2702" s="99"/>
      <c r="C2702" s="102"/>
      <c r="D2702" s="102"/>
      <c r="E2702" s="102"/>
      <c r="F2702" s="102"/>
      <c r="G2702" s="102"/>
      <c r="H2702" s="102"/>
      <c r="I2702" s="102"/>
      <c r="J2702" s="102"/>
      <c r="K2702" s="102"/>
      <c r="L2702" s="102"/>
      <c r="M2702" s="102"/>
      <c r="N2702" s="102"/>
      <c r="O2702" s="102"/>
      <c r="P2702" s="102"/>
      <c r="Q2702" s="102"/>
      <c r="R2702" s="102"/>
    </row>
    <row r="2703" spans="1:18" ht="35.1" customHeight="1" x14ac:dyDescent="0.2">
      <c r="A2703" s="99"/>
      <c r="B2703" s="99"/>
      <c r="C2703" s="102"/>
      <c r="D2703" s="102"/>
      <c r="E2703" s="102"/>
      <c r="F2703" s="102"/>
      <c r="G2703" s="102"/>
      <c r="H2703" s="102"/>
      <c r="I2703" s="102"/>
      <c r="J2703" s="102"/>
      <c r="K2703" s="102"/>
      <c r="L2703" s="102"/>
      <c r="M2703" s="102"/>
      <c r="N2703" s="102"/>
      <c r="O2703" s="102"/>
      <c r="P2703" s="102"/>
      <c r="Q2703" s="102"/>
      <c r="R2703" s="102"/>
    </row>
    <row r="2704" spans="1:18" ht="35.1" customHeight="1" x14ac:dyDescent="0.2">
      <c r="A2704" s="99"/>
      <c r="B2704" s="99"/>
      <c r="C2704" s="102"/>
      <c r="D2704" s="102"/>
      <c r="E2704" s="102"/>
      <c r="F2704" s="102"/>
      <c r="G2704" s="102"/>
      <c r="H2704" s="102"/>
      <c r="I2704" s="102"/>
      <c r="J2704" s="102"/>
      <c r="K2704" s="102"/>
      <c r="L2704" s="102"/>
      <c r="M2704" s="102"/>
      <c r="N2704" s="102"/>
      <c r="O2704" s="102"/>
      <c r="P2704" s="102"/>
      <c r="Q2704" s="102"/>
      <c r="R2704" s="102"/>
    </row>
    <row r="2705" spans="1:18" ht="35.1" customHeight="1" x14ac:dyDescent="0.2">
      <c r="A2705" s="99"/>
      <c r="B2705" s="99"/>
      <c r="C2705" s="102"/>
      <c r="D2705" s="102"/>
      <c r="E2705" s="102"/>
      <c r="F2705" s="102"/>
      <c r="G2705" s="102"/>
      <c r="H2705" s="102"/>
      <c r="I2705" s="102"/>
      <c r="J2705" s="102"/>
      <c r="K2705" s="102"/>
      <c r="L2705" s="102"/>
      <c r="M2705" s="102"/>
      <c r="N2705" s="102"/>
      <c r="O2705" s="102"/>
      <c r="P2705" s="102"/>
      <c r="Q2705" s="102"/>
      <c r="R2705" s="102"/>
    </row>
    <row r="2706" spans="1:18" ht="35.1" customHeight="1" x14ac:dyDescent="0.2">
      <c r="A2706" s="99"/>
      <c r="B2706" s="99"/>
      <c r="C2706" s="102"/>
      <c r="D2706" s="102"/>
      <c r="E2706" s="102"/>
      <c r="F2706" s="102"/>
      <c r="G2706" s="102"/>
      <c r="H2706" s="102"/>
      <c r="I2706" s="102"/>
      <c r="J2706" s="102"/>
      <c r="K2706" s="102"/>
      <c r="L2706" s="102"/>
      <c r="M2706" s="102"/>
      <c r="N2706" s="102"/>
      <c r="O2706" s="102"/>
      <c r="P2706" s="102"/>
      <c r="Q2706" s="102"/>
      <c r="R2706" s="102"/>
    </row>
    <row r="2707" spans="1:18" ht="35.1" customHeight="1" x14ac:dyDescent="0.2">
      <c r="A2707" s="99"/>
      <c r="B2707" s="99"/>
      <c r="C2707" s="102"/>
      <c r="D2707" s="102"/>
      <c r="E2707" s="102"/>
      <c r="F2707" s="102"/>
      <c r="G2707" s="102"/>
      <c r="H2707" s="102"/>
      <c r="I2707" s="102"/>
      <c r="J2707" s="102"/>
      <c r="K2707" s="102"/>
      <c r="L2707" s="102"/>
      <c r="M2707" s="102"/>
      <c r="N2707" s="102"/>
      <c r="O2707" s="102"/>
      <c r="P2707" s="102"/>
      <c r="Q2707" s="102"/>
      <c r="R2707" s="102"/>
    </row>
    <row r="2708" spans="1:18" ht="35.1" customHeight="1" x14ac:dyDescent="0.2">
      <c r="A2708" s="99"/>
      <c r="B2708" s="99"/>
      <c r="C2708" s="102"/>
      <c r="D2708" s="102"/>
      <c r="E2708" s="102"/>
      <c r="F2708" s="102"/>
      <c r="G2708" s="102"/>
      <c r="H2708" s="102"/>
      <c r="I2708" s="102"/>
      <c r="J2708" s="102"/>
      <c r="K2708" s="102"/>
      <c r="L2708" s="102"/>
      <c r="M2708" s="102"/>
      <c r="N2708" s="102"/>
      <c r="O2708" s="102"/>
      <c r="P2708" s="102"/>
      <c r="Q2708" s="102"/>
      <c r="R2708" s="102"/>
    </row>
    <row r="2709" spans="1:18" ht="35.1" customHeight="1" x14ac:dyDescent="0.2">
      <c r="A2709" s="99"/>
      <c r="B2709" s="99"/>
      <c r="C2709" s="102"/>
      <c r="D2709" s="102"/>
      <c r="E2709" s="102"/>
      <c r="F2709" s="102"/>
      <c r="G2709" s="102"/>
      <c r="H2709" s="102"/>
      <c r="I2709" s="102"/>
      <c r="J2709" s="102"/>
      <c r="K2709" s="102"/>
      <c r="L2709" s="102"/>
      <c r="M2709" s="102"/>
      <c r="N2709" s="102"/>
      <c r="O2709" s="102"/>
      <c r="P2709" s="102"/>
      <c r="Q2709" s="102"/>
      <c r="R2709" s="102"/>
    </row>
    <row r="2710" spans="1:18" ht="35.1" customHeight="1" x14ac:dyDescent="0.2">
      <c r="A2710" s="99"/>
      <c r="B2710" s="99"/>
      <c r="C2710" s="102"/>
      <c r="D2710" s="102"/>
      <c r="E2710" s="102"/>
      <c r="F2710" s="102"/>
      <c r="G2710" s="102"/>
      <c r="H2710" s="102"/>
      <c r="I2710" s="102"/>
      <c r="J2710" s="102"/>
      <c r="K2710" s="102"/>
      <c r="L2710" s="102"/>
      <c r="M2710" s="102"/>
      <c r="N2710" s="102"/>
      <c r="O2710" s="102"/>
      <c r="P2710" s="102"/>
      <c r="Q2710" s="102"/>
      <c r="R2710" s="102"/>
    </row>
    <row r="2711" spans="1:18" ht="35.1" customHeight="1" x14ac:dyDescent="0.2">
      <c r="A2711" s="99"/>
      <c r="B2711" s="99"/>
      <c r="C2711" s="102"/>
      <c r="D2711" s="102"/>
      <c r="E2711" s="102"/>
      <c r="F2711" s="102"/>
      <c r="G2711" s="102"/>
      <c r="H2711" s="102"/>
      <c r="I2711" s="102"/>
      <c r="J2711" s="102"/>
      <c r="K2711" s="102"/>
      <c r="L2711" s="102"/>
      <c r="M2711" s="102"/>
      <c r="N2711" s="102"/>
      <c r="O2711" s="102"/>
      <c r="P2711" s="102"/>
      <c r="Q2711" s="102"/>
      <c r="R2711" s="102"/>
    </row>
    <row r="2712" spans="1:18" ht="35.1" customHeight="1" x14ac:dyDescent="0.2">
      <c r="A2712" s="99"/>
      <c r="B2712" s="99"/>
      <c r="C2712" s="102"/>
      <c r="D2712" s="102"/>
      <c r="E2712" s="102"/>
      <c r="F2712" s="102"/>
      <c r="G2712" s="102"/>
      <c r="H2712" s="102"/>
      <c r="I2712" s="102"/>
      <c r="J2712" s="102"/>
      <c r="K2712" s="102"/>
      <c r="L2712" s="102"/>
      <c r="M2712" s="102"/>
      <c r="N2712" s="102"/>
      <c r="O2712" s="102"/>
      <c r="P2712" s="102"/>
      <c r="Q2712" s="102"/>
      <c r="R2712" s="102"/>
    </row>
    <row r="2713" spans="1:18" ht="35.1" customHeight="1" x14ac:dyDescent="0.2">
      <c r="A2713" s="99"/>
      <c r="B2713" s="99"/>
      <c r="C2713" s="102"/>
      <c r="D2713" s="102"/>
      <c r="E2713" s="102"/>
      <c r="F2713" s="102"/>
      <c r="G2713" s="102"/>
      <c r="H2713" s="102"/>
      <c r="I2713" s="102"/>
      <c r="J2713" s="102"/>
      <c r="K2713" s="102"/>
      <c r="L2713" s="102"/>
      <c r="M2713" s="102"/>
      <c r="N2713" s="102"/>
      <c r="O2713" s="102"/>
      <c r="P2713" s="102"/>
      <c r="Q2713" s="102"/>
      <c r="R2713" s="102"/>
    </row>
    <row r="2714" spans="1:18" ht="35.1" customHeight="1" x14ac:dyDescent="0.2">
      <c r="A2714" s="99"/>
      <c r="B2714" s="99"/>
      <c r="C2714" s="102"/>
      <c r="D2714" s="102"/>
      <c r="E2714" s="102"/>
      <c r="F2714" s="102"/>
      <c r="G2714" s="102"/>
      <c r="H2714" s="102"/>
      <c r="I2714" s="102"/>
      <c r="J2714" s="102"/>
      <c r="K2714" s="102"/>
      <c r="L2714" s="102"/>
      <c r="M2714" s="102"/>
      <c r="N2714" s="102"/>
      <c r="O2714" s="102"/>
      <c r="P2714" s="102"/>
      <c r="Q2714" s="102"/>
      <c r="R2714" s="102"/>
    </row>
    <row r="2715" spans="1:18" ht="35.1" customHeight="1" x14ac:dyDescent="0.2">
      <c r="A2715" s="99"/>
      <c r="B2715" s="99"/>
      <c r="C2715" s="102"/>
      <c r="D2715" s="102"/>
      <c r="E2715" s="102"/>
      <c r="F2715" s="102"/>
      <c r="G2715" s="102"/>
      <c r="H2715" s="102"/>
      <c r="I2715" s="102"/>
      <c r="J2715" s="102"/>
      <c r="K2715" s="102"/>
      <c r="L2715" s="102"/>
      <c r="M2715" s="102"/>
      <c r="N2715" s="102"/>
      <c r="O2715" s="102"/>
      <c r="P2715" s="102"/>
      <c r="Q2715" s="102"/>
      <c r="R2715" s="102"/>
    </row>
    <row r="2716" spans="1:18" ht="35.1" customHeight="1" x14ac:dyDescent="0.2">
      <c r="A2716" s="99"/>
      <c r="B2716" s="99"/>
      <c r="C2716" s="102"/>
      <c r="D2716" s="102"/>
      <c r="E2716" s="102"/>
      <c r="F2716" s="102"/>
      <c r="G2716" s="102"/>
      <c r="H2716" s="102"/>
      <c r="I2716" s="102"/>
      <c r="J2716" s="102"/>
      <c r="K2716" s="102"/>
      <c r="L2716" s="102"/>
      <c r="M2716" s="102"/>
      <c r="N2716" s="102"/>
      <c r="O2716" s="102"/>
      <c r="P2716" s="102"/>
      <c r="Q2716" s="102"/>
      <c r="R2716" s="102"/>
    </row>
    <row r="2717" spans="1:18" ht="35.1" customHeight="1" x14ac:dyDescent="0.2">
      <c r="A2717" s="99"/>
      <c r="B2717" s="99"/>
      <c r="C2717" s="102"/>
      <c r="D2717" s="102"/>
      <c r="E2717" s="102"/>
      <c r="F2717" s="102"/>
      <c r="G2717" s="102"/>
      <c r="H2717" s="102"/>
      <c r="I2717" s="102"/>
      <c r="J2717" s="102"/>
      <c r="K2717" s="102"/>
      <c r="L2717" s="102"/>
      <c r="M2717" s="102"/>
      <c r="N2717" s="102"/>
      <c r="O2717" s="102"/>
      <c r="P2717" s="102"/>
      <c r="Q2717" s="102"/>
      <c r="R2717" s="102"/>
    </row>
    <row r="2718" spans="1:18" ht="35.1" customHeight="1" x14ac:dyDescent="0.2">
      <c r="A2718" s="99"/>
      <c r="B2718" s="99"/>
      <c r="C2718" s="102"/>
      <c r="D2718" s="102"/>
      <c r="E2718" s="102"/>
      <c r="F2718" s="102"/>
      <c r="G2718" s="102"/>
      <c r="H2718" s="102"/>
      <c r="I2718" s="102"/>
      <c r="J2718" s="102"/>
      <c r="K2718" s="102"/>
      <c r="L2718" s="102"/>
      <c r="M2718" s="102"/>
      <c r="N2718" s="102"/>
      <c r="O2718" s="102"/>
      <c r="P2718" s="102"/>
      <c r="Q2718" s="102"/>
      <c r="R2718" s="102"/>
    </row>
    <row r="2719" spans="1:18" ht="35.1" customHeight="1" x14ac:dyDescent="0.2">
      <c r="A2719" s="99"/>
      <c r="B2719" s="99"/>
      <c r="C2719" s="102"/>
      <c r="D2719" s="102"/>
      <c r="E2719" s="102"/>
      <c r="F2719" s="102"/>
      <c r="G2719" s="102"/>
      <c r="H2719" s="102"/>
      <c r="I2719" s="102"/>
      <c r="J2719" s="102"/>
      <c r="K2719" s="102"/>
      <c r="L2719" s="102"/>
      <c r="M2719" s="102"/>
      <c r="N2719" s="102"/>
      <c r="O2719" s="102"/>
      <c r="P2719" s="102"/>
      <c r="Q2719" s="102"/>
      <c r="R2719" s="102"/>
    </row>
    <row r="2720" spans="1:18" ht="35.1" customHeight="1" x14ac:dyDescent="0.2">
      <c r="A2720" s="99"/>
      <c r="B2720" s="99"/>
      <c r="C2720" s="102"/>
      <c r="D2720" s="102"/>
      <c r="E2720" s="102"/>
      <c r="F2720" s="102"/>
      <c r="G2720" s="102"/>
      <c r="H2720" s="102"/>
      <c r="I2720" s="102"/>
      <c r="J2720" s="102"/>
      <c r="K2720" s="102"/>
      <c r="L2720" s="102"/>
      <c r="M2720" s="102"/>
      <c r="N2720" s="102"/>
      <c r="O2720" s="102"/>
      <c r="P2720" s="102"/>
      <c r="Q2720" s="102"/>
      <c r="R2720" s="102"/>
    </row>
    <row r="2721" spans="1:18" ht="35.1" customHeight="1" x14ac:dyDescent="0.2">
      <c r="A2721" s="99"/>
      <c r="B2721" s="99"/>
      <c r="C2721" s="102"/>
      <c r="D2721" s="102"/>
      <c r="E2721" s="102"/>
      <c r="F2721" s="102"/>
      <c r="G2721" s="102"/>
      <c r="H2721" s="102"/>
      <c r="I2721" s="102"/>
      <c r="J2721" s="102"/>
      <c r="K2721" s="102"/>
      <c r="L2721" s="102"/>
      <c r="M2721" s="102"/>
      <c r="N2721" s="102"/>
      <c r="O2721" s="102"/>
      <c r="P2721" s="102"/>
      <c r="Q2721" s="102"/>
      <c r="R2721" s="102"/>
    </row>
    <row r="2722" spans="1:18" ht="35.1" customHeight="1" x14ac:dyDescent="0.2">
      <c r="A2722" s="99"/>
      <c r="B2722" s="99"/>
      <c r="C2722" s="102"/>
      <c r="D2722" s="102"/>
      <c r="E2722" s="102"/>
      <c r="F2722" s="102"/>
      <c r="G2722" s="102"/>
      <c r="H2722" s="102"/>
      <c r="I2722" s="102"/>
      <c r="J2722" s="102"/>
      <c r="K2722" s="102"/>
      <c r="L2722" s="102"/>
      <c r="M2722" s="102"/>
      <c r="N2722" s="102"/>
      <c r="O2722" s="102"/>
      <c r="P2722" s="102"/>
      <c r="Q2722" s="102"/>
      <c r="R2722" s="102"/>
    </row>
    <row r="2723" spans="1:18" ht="35.1" customHeight="1" x14ac:dyDescent="0.2">
      <c r="A2723" s="99"/>
      <c r="B2723" s="99"/>
      <c r="C2723" s="102"/>
      <c r="D2723" s="102"/>
      <c r="E2723" s="102"/>
      <c r="F2723" s="102"/>
      <c r="G2723" s="102"/>
      <c r="H2723" s="102"/>
      <c r="I2723" s="102"/>
      <c r="J2723" s="102"/>
      <c r="K2723" s="102"/>
      <c r="L2723" s="102"/>
      <c r="M2723" s="102"/>
      <c r="N2723" s="102"/>
      <c r="O2723" s="102"/>
      <c r="P2723" s="102"/>
      <c r="Q2723" s="102"/>
      <c r="R2723" s="102"/>
    </row>
    <row r="2724" spans="1:18" ht="35.1" customHeight="1" x14ac:dyDescent="0.2">
      <c r="A2724" s="99"/>
      <c r="B2724" s="99"/>
      <c r="C2724" s="102"/>
      <c r="D2724" s="102"/>
      <c r="E2724" s="102"/>
      <c r="F2724" s="102"/>
      <c r="G2724" s="102"/>
      <c r="H2724" s="102"/>
      <c r="I2724" s="102"/>
      <c r="J2724" s="102"/>
      <c r="K2724" s="102"/>
      <c r="L2724" s="102"/>
      <c r="M2724" s="102"/>
      <c r="N2724" s="102"/>
      <c r="O2724" s="102"/>
      <c r="P2724" s="102"/>
      <c r="Q2724" s="102"/>
      <c r="R2724" s="102"/>
    </row>
    <row r="2725" spans="1:18" ht="35.1" customHeight="1" x14ac:dyDescent="0.2">
      <c r="A2725" s="99"/>
      <c r="B2725" s="99"/>
      <c r="C2725" s="102"/>
      <c r="D2725" s="102"/>
      <c r="E2725" s="102"/>
      <c r="F2725" s="102"/>
      <c r="G2725" s="102"/>
      <c r="H2725" s="102"/>
      <c r="I2725" s="102"/>
      <c r="J2725" s="102"/>
      <c r="K2725" s="102"/>
      <c r="L2725" s="102"/>
      <c r="M2725" s="102"/>
      <c r="N2725" s="102"/>
      <c r="O2725" s="102"/>
      <c r="P2725" s="102"/>
      <c r="Q2725" s="102"/>
      <c r="R2725" s="102"/>
    </row>
    <row r="2726" spans="1:18" ht="35.1" customHeight="1" x14ac:dyDescent="0.2">
      <c r="A2726" s="99"/>
      <c r="B2726" s="99"/>
      <c r="C2726" s="102"/>
      <c r="D2726" s="102"/>
      <c r="E2726" s="102"/>
      <c r="F2726" s="102"/>
      <c r="G2726" s="102"/>
      <c r="H2726" s="102"/>
      <c r="I2726" s="102"/>
      <c r="J2726" s="102"/>
      <c r="K2726" s="102"/>
      <c r="L2726" s="102"/>
      <c r="M2726" s="102"/>
      <c r="N2726" s="102"/>
      <c r="O2726" s="102"/>
      <c r="P2726" s="102"/>
      <c r="Q2726" s="102"/>
      <c r="R2726" s="102"/>
    </row>
    <row r="2727" spans="1:18" ht="35.1" customHeight="1" x14ac:dyDescent="0.2">
      <c r="A2727" s="99"/>
      <c r="B2727" s="99"/>
      <c r="C2727" s="102"/>
      <c r="D2727" s="102"/>
      <c r="E2727" s="102"/>
      <c r="F2727" s="102"/>
      <c r="G2727" s="102"/>
      <c r="H2727" s="102"/>
      <c r="I2727" s="102"/>
      <c r="J2727" s="102"/>
      <c r="K2727" s="102"/>
      <c r="L2727" s="102"/>
      <c r="M2727" s="102"/>
      <c r="N2727" s="102"/>
      <c r="O2727" s="102"/>
      <c r="P2727" s="102"/>
      <c r="Q2727" s="102"/>
      <c r="R2727" s="102"/>
    </row>
    <row r="2728" spans="1:18" ht="35.1" customHeight="1" x14ac:dyDescent="0.2">
      <c r="A2728" s="99"/>
      <c r="B2728" s="99"/>
      <c r="C2728" s="102"/>
      <c r="D2728" s="102"/>
      <c r="E2728" s="102"/>
      <c r="F2728" s="102"/>
      <c r="G2728" s="102"/>
      <c r="H2728" s="102"/>
      <c r="I2728" s="102"/>
      <c r="J2728" s="102"/>
      <c r="K2728" s="102"/>
      <c r="L2728" s="102"/>
      <c r="M2728" s="102"/>
      <c r="N2728" s="102"/>
      <c r="O2728" s="102"/>
      <c r="P2728" s="102"/>
      <c r="Q2728" s="102"/>
      <c r="R2728" s="102"/>
    </row>
    <row r="2729" spans="1:18" ht="35.1" customHeight="1" x14ac:dyDescent="0.2">
      <c r="A2729" s="99"/>
      <c r="B2729" s="99"/>
      <c r="C2729" s="102"/>
      <c r="D2729" s="102"/>
      <c r="E2729" s="102"/>
      <c r="F2729" s="102"/>
      <c r="G2729" s="102"/>
      <c r="H2729" s="102"/>
      <c r="I2729" s="102"/>
      <c r="J2729" s="102"/>
      <c r="K2729" s="102"/>
      <c r="L2729" s="102"/>
      <c r="M2729" s="102"/>
      <c r="N2729" s="102"/>
      <c r="O2729" s="102"/>
      <c r="P2729" s="102"/>
      <c r="Q2729" s="102"/>
      <c r="R2729" s="102"/>
    </row>
    <row r="2730" spans="1:18" ht="35.1" customHeight="1" x14ac:dyDescent="0.2">
      <c r="A2730" s="99"/>
      <c r="B2730" s="99"/>
      <c r="C2730" s="102"/>
      <c r="D2730" s="102"/>
      <c r="E2730" s="102"/>
      <c r="F2730" s="102"/>
      <c r="G2730" s="102"/>
      <c r="H2730" s="102"/>
      <c r="I2730" s="102"/>
      <c r="J2730" s="102"/>
      <c r="K2730" s="102"/>
      <c r="L2730" s="102"/>
      <c r="M2730" s="102"/>
      <c r="N2730" s="102"/>
      <c r="O2730" s="102"/>
      <c r="P2730" s="102"/>
      <c r="Q2730" s="102"/>
      <c r="R2730" s="102"/>
    </row>
    <row r="2731" spans="1:18" ht="35.1" customHeight="1" x14ac:dyDescent="0.2">
      <c r="A2731" s="99"/>
      <c r="B2731" s="99"/>
      <c r="C2731" s="102"/>
      <c r="D2731" s="102"/>
      <c r="E2731" s="102"/>
      <c r="F2731" s="102"/>
      <c r="G2731" s="102"/>
      <c r="H2731" s="102"/>
      <c r="I2731" s="102"/>
      <c r="J2731" s="102"/>
      <c r="K2731" s="102"/>
      <c r="L2731" s="102"/>
      <c r="M2731" s="102"/>
      <c r="N2731" s="102"/>
      <c r="O2731" s="102"/>
      <c r="P2731" s="102"/>
      <c r="Q2731" s="102"/>
      <c r="R2731" s="102"/>
    </row>
    <row r="2732" spans="1:18" ht="35.1" customHeight="1" x14ac:dyDescent="0.2">
      <c r="A2732" s="99"/>
      <c r="B2732" s="99"/>
      <c r="C2732" s="102"/>
      <c r="D2732" s="102"/>
      <c r="E2732" s="102"/>
      <c r="F2732" s="102"/>
      <c r="G2732" s="102"/>
      <c r="H2732" s="102"/>
      <c r="I2732" s="102"/>
      <c r="J2732" s="102"/>
      <c r="K2732" s="102"/>
      <c r="L2732" s="102"/>
      <c r="M2732" s="102"/>
      <c r="N2732" s="102"/>
      <c r="O2732" s="102"/>
      <c r="P2732" s="102"/>
      <c r="Q2732" s="102"/>
      <c r="R2732" s="102"/>
    </row>
    <row r="2733" spans="1:18" ht="35.1" customHeight="1" x14ac:dyDescent="0.2">
      <c r="A2733" s="99"/>
      <c r="B2733" s="99"/>
      <c r="C2733" s="102"/>
      <c r="D2733" s="102"/>
      <c r="E2733" s="102"/>
      <c r="F2733" s="102"/>
      <c r="G2733" s="102"/>
      <c r="H2733" s="102"/>
      <c r="I2733" s="102"/>
      <c r="J2733" s="102"/>
      <c r="K2733" s="102"/>
      <c r="L2733" s="102"/>
      <c r="M2733" s="102"/>
      <c r="N2733" s="102"/>
      <c r="O2733" s="102"/>
      <c r="P2733" s="102"/>
      <c r="Q2733" s="102"/>
      <c r="R2733" s="102"/>
    </row>
    <row r="2734" spans="1:18" ht="35.1" customHeight="1" x14ac:dyDescent="0.2">
      <c r="A2734" s="99"/>
      <c r="B2734" s="99"/>
      <c r="C2734" s="102"/>
      <c r="D2734" s="102"/>
      <c r="E2734" s="102"/>
      <c r="F2734" s="102"/>
      <c r="G2734" s="102"/>
      <c r="H2734" s="102"/>
      <c r="I2734" s="102"/>
      <c r="J2734" s="102"/>
      <c r="K2734" s="102"/>
      <c r="L2734" s="102"/>
      <c r="M2734" s="102"/>
      <c r="N2734" s="102"/>
      <c r="O2734" s="102"/>
      <c r="P2734" s="102"/>
      <c r="Q2734" s="102"/>
      <c r="R2734" s="102"/>
    </row>
    <row r="2735" spans="1:18" ht="35.1" customHeight="1" x14ac:dyDescent="0.2">
      <c r="A2735" s="99"/>
      <c r="B2735" s="99"/>
      <c r="C2735" s="102"/>
      <c r="D2735" s="102"/>
      <c r="E2735" s="102"/>
      <c r="F2735" s="102"/>
      <c r="G2735" s="102"/>
      <c r="H2735" s="102"/>
      <c r="I2735" s="102"/>
      <c r="J2735" s="102"/>
      <c r="K2735" s="102"/>
      <c r="L2735" s="102"/>
      <c r="M2735" s="102"/>
      <c r="N2735" s="102"/>
      <c r="O2735" s="102"/>
      <c r="P2735" s="102"/>
      <c r="Q2735" s="102"/>
      <c r="R2735" s="102"/>
    </row>
    <row r="2736" spans="1:18" ht="35.1" customHeight="1" x14ac:dyDescent="0.2">
      <c r="A2736" s="99"/>
      <c r="B2736" s="99"/>
      <c r="C2736" s="102"/>
      <c r="D2736" s="102"/>
      <c r="E2736" s="102"/>
      <c r="F2736" s="102"/>
      <c r="G2736" s="102"/>
      <c r="H2736" s="102"/>
      <c r="I2736" s="102"/>
      <c r="J2736" s="102"/>
      <c r="K2736" s="102"/>
      <c r="L2736" s="102"/>
      <c r="M2736" s="102"/>
      <c r="N2736" s="102"/>
      <c r="O2736" s="102"/>
      <c r="P2736" s="102"/>
      <c r="Q2736" s="102"/>
      <c r="R2736" s="102"/>
    </row>
    <row r="2737" spans="1:18" ht="35.1" customHeight="1" x14ac:dyDescent="0.2">
      <c r="A2737" s="99"/>
      <c r="B2737" s="99"/>
      <c r="C2737" s="102"/>
      <c r="D2737" s="102"/>
      <c r="E2737" s="102"/>
      <c r="F2737" s="102"/>
      <c r="G2737" s="102"/>
      <c r="H2737" s="102"/>
      <c r="I2737" s="102"/>
      <c r="J2737" s="102"/>
      <c r="K2737" s="102"/>
      <c r="L2737" s="102"/>
      <c r="M2737" s="102"/>
      <c r="N2737" s="102"/>
      <c r="O2737" s="102"/>
      <c r="P2737" s="102"/>
      <c r="Q2737" s="102"/>
      <c r="R2737" s="102"/>
    </row>
    <row r="2738" spans="1:18" ht="35.1" customHeight="1" x14ac:dyDescent="0.2">
      <c r="A2738" s="99"/>
      <c r="B2738" s="99"/>
      <c r="C2738" s="102"/>
      <c r="D2738" s="102"/>
      <c r="E2738" s="102"/>
      <c r="F2738" s="102"/>
      <c r="G2738" s="102"/>
      <c r="H2738" s="102"/>
      <c r="I2738" s="102"/>
      <c r="J2738" s="102"/>
      <c r="K2738" s="102"/>
      <c r="L2738" s="102"/>
      <c r="M2738" s="102"/>
      <c r="N2738" s="102"/>
      <c r="O2738" s="102"/>
      <c r="P2738" s="102"/>
      <c r="Q2738" s="102"/>
      <c r="R2738" s="102"/>
    </row>
    <row r="2739" spans="1:18" ht="35.1" customHeight="1" x14ac:dyDescent="0.2">
      <c r="A2739" s="99"/>
      <c r="B2739" s="99"/>
      <c r="C2739" s="102"/>
      <c r="D2739" s="102"/>
      <c r="E2739" s="102"/>
      <c r="F2739" s="102"/>
      <c r="G2739" s="102"/>
      <c r="H2739" s="102"/>
      <c r="I2739" s="102"/>
      <c r="J2739" s="102"/>
      <c r="K2739" s="102"/>
      <c r="L2739" s="102"/>
      <c r="M2739" s="102"/>
      <c r="N2739" s="102"/>
      <c r="O2739" s="102"/>
      <c r="P2739" s="102"/>
      <c r="Q2739" s="102"/>
      <c r="R2739" s="102"/>
    </row>
    <row r="2740" spans="1:18" ht="35.1" customHeight="1" x14ac:dyDescent="0.2">
      <c r="A2740" s="99"/>
      <c r="B2740" s="99"/>
      <c r="C2740" s="102"/>
      <c r="D2740" s="102"/>
      <c r="E2740" s="102"/>
      <c r="F2740" s="102"/>
      <c r="G2740" s="102"/>
      <c r="H2740" s="102"/>
      <c r="I2740" s="102"/>
      <c r="J2740" s="102"/>
      <c r="K2740" s="102"/>
      <c r="L2740" s="102"/>
      <c r="M2740" s="102"/>
      <c r="N2740" s="102"/>
      <c r="O2740" s="102"/>
      <c r="P2740" s="102"/>
      <c r="Q2740" s="102"/>
      <c r="R2740" s="102"/>
    </row>
    <row r="2741" spans="1:18" ht="35.1" customHeight="1" x14ac:dyDescent="0.2">
      <c r="A2741" s="99"/>
      <c r="B2741" s="99"/>
      <c r="C2741" s="102"/>
      <c r="D2741" s="102"/>
      <c r="E2741" s="102"/>
      <c r="F2741" s="102"/>
      <c r="G2741" s="102"/>
      <c r="H2741" s="102"/>
      <c r="I2741" s="102"/>
      <c r="J2741" s="102"/>
      <c r="K2741" s="102"/>
      <c r="L2741" s="102"/>
      <c r="M2741" s="102"/>
      <c r="N2741" s="102"/>
      <c r="O2741" s="102"/>
      <c r="P2741" s="102"/>
      <c r="Q2741" s="102"/>
      <c r="R2741" s="102"/>
    </row>
    <row r="2742" spans="1:18" ht="35.1" customHeight="1" x14ac:dyDescent="0.2">
      <c r="A2742" s="99"/>
      <c r="B2742" s="99"/>
      <c r="C2742" s="102"/>
      <c r="D2742" s="102"/>
      <c r="E2742" s="102"/>
      <c r="F2742" s="102"/>
      <c r="G2742" s="102"/>
      <c r="H2742" s="102"/>
      <c r="I2742" s="102"/>
      <c r="J2742" s="102"/>
      <c r="K2742" s="102"/>
      <c r="L2742" s="102"/>
      <c r="M2742" s="102"/>
      <c r="N2742" s="102"/>
      <c r="O2742" s="102"/>
      <c r="P2742" s="102"/>
      <c r="Q2742" s="102"/>
      <c r="R2742" s="102"/>
    </row>
    <row r="2743" spans="1:18" ht="35.1" customHeight="1" x14ac:dyDescent="0.2">
      <c r="A2743" s="99"/>
      <c r="B2743" s="99"/>
      <c r="C2743" s="102"/>
      <c r="D2743" s="102"/>
      <c r="E2743" s="102"/>
      <c r="F2743" s="102"/>
      <c r="G2743" s="102"/>
      <c r="H2743" s="102"/>
      <c r="I2743" s="102"/>
      <c r="J2743" s="102"/>
      <c r="K2743" s="102"/>
      <c r="L2743" s="102"/>
      <c r="M2743" s="102"/>
      <c r="N2743" s="102"/>
      <c r="O2743" s="102"/>
      <c r="P2743" s="102"/>
      <c r="Q2743" s="102"/>
      <c r="R2743" s="102"/>
    </row>
    <row r="2744" spans="1:18" ht="35.1" customHeight="1" x14ac:dyDescent="0.2">
      <c r="A2744" s="99"/>
      <c r="B2744" s="99"/>
      <c r="C2744" s="102"/>
      <c r="D2744" s="102"/>
      <c r="E2744" s="102"/>
      <c r="F2744" s="102"/>
      <c r="G2744" s="102"/>
      <c r="H2744" s="102"/>
      <c r="I2744" s="102"/>
      <c r="J2744" s="102"/>
      <c r="K2744" s="102"/>
      <c r="L2744" s="102"/>
      <c r="M2744" s="102"/>
      <c r="N2744" s="102"/>
      <c r="O2744" s="102"/>
      <c r="P2744" s="102"/>
      <c r="Q2744" s="102"/>
      <c r="R2744" s="102"/>
    </row>
    <row r="2745" spans="1:18" ht="35.1" customHeight="1" x14ac:dyDescent="0.2">
      <c r="A2745" s="99"/>
      <c r="B2745" s="99"/>
      <c r="C2745" s="102"/>
      <c r="D2745" s="102"/>
      <c r="E2745" s="102"/>
      <c r="F2745" s="102"/>
      <c r="G2745" s="102"/>
      <c r="H2745" s="102"/>
      <c r="I2745" s="102"/>
      <c r="J2745" s="102"/>
      <c r="K2745" s="102"/>
      <c r="L2745" s="102"/>
      <c r="M2745" s="102"/>
      <c r="N2745" s="102"/>
      <c r="O2745" s="102"/>
      <c r="P2745" s="102"/>
      <c r="Q2745" s="102"/>
      <c r="R2745" s="102"/>
    </row>
    <row r="2746" spans="1:18" ht="35.1" customHeight="1" x14ac:dyDescent="0.2">
      <c r="A2746" s="99"/>
      <c r="B2746" s="99"/>
      <c r="C2746" s="102"/>
      <c r="D2746" s="102"/>
      <c r="E2746" s="102"/>
      <c r="F2746" s="102"/>
      <c r="G2746" s="102"/>
      <c r="H2746" s="102"/>
      <c r="I2746" s="102"/>
      <c r="J2746" s="102"/>
      <c r="K2746" s="102"/>
      <c r="L2746" s="102"/>
      <c r="M2746" s="102"/>
      <c r="N2746" s="102"/>
      <c r="O2746" s="102"/>
      <c r="P2746" s="102"/>
      <c r="Q2746" s="102"/>
      <c r="R2746" s="102"/>
    </row>
    <row r="2747" spans="1:18" ht="35.1" customHeight="1" x14ac:dyDescent="0.2">
      <c r="A2747" s="99"/>
      <c r="B2747" s="99"/>
      <c r="C2747" s="102"/>
      <c r="D2747" s="102"/>
      <c r="E2747" s="102"/>
      <c r="F2747" s="102"/>
      <c r="G2747" s="102"/>
      <c r="H2747" s="102"/>
      <c r="I2747" s="102"/>
      <c r="J2747" s="102"/>
      <c r="K2747" s="102"/>
      <c r="L2747" s="102"/>
      <c r="M2747" s="102"/>
      <c r="N2747" s="102"/>
      <c r="O2747" s="102"/>
      <c r="P2747" s="102"/>
      <c r="Q2747" s="102"/>
      <c r="R2747" s="102"/>
    </row>
    <row r="2748" spans="1:18" ht="35.1" customHeight="1" x14ac:dyDescent="0.2">
      <c r="A2748" s="99"/>
      <c r="B2748" s="99"/>
      <c r="C2748" s="102"/>
      <c r="D2748" s="102"/>
      <c r="E2748" s="102"/>
      <c r="F2748" s="102"/>
      <c r="G2748" s="102"/>
      <c r="H2748" s="102"/>
      <c r="I2748" s="102"/>
      <c r="J2748" s="102"/>
      <c r="K2748" s="102"/>
      <c r="L2748" s="102"/>
      <c r="M2748" s="102"/>
      <c r="N2748" s="102"/>
      <c r="O2748" s="102"/>
      <c r="P2748" s="102"/>
      <c r="Q2748" s="102"/>
      <c r="R2748" s="102"/>
    </row>
    <row r="2749" spans="1:18" ht="35.1" customHeight="1" x14ac:dyDescent="0.2">
      <c r="A2749" s="99"/>
      <c r="B2749" s="99"/>
      <c r="C2749" s="102"/>
      <c r="D2749" s="102"/>
      <c r="E2749" s="102"/>
      <c r="F2749" s="102"/>
      <c r="G2749" s="102"/>
      <c r="H2749" s="102"/>
      <c r="I2749" s="102"/>
      <c r="J2749" s="102"/>
      <c r="K2749" s="102"/>
      <c r="L2749" s="102"/>
      <c r="M2749" s="102"/>
      <c r="N2749" s="102"/>
      <c r="O2749" s="102"/>
      <c r="P2749" s="102"/>
      <c r="Q2749" s="102"/>
      <c r="R2749" s="102"/>
    </row>
    <row r="2750" spans="1:18" ht="35.1" customHeight="1" x14ac:dyDescent="0.2">
      <c r="A2750" s="99"/>
      <c r="B2750" s="99"/>
      <c r="C2750" s="102"/>
      <c r="D2750" s="102"/>
      <c r="E2750" s="102"/>
      <c r="F2750" s="102"/>
      <c r="G2750" s="102"/>
      <c r="H2750" s="102"/>
      <c r="I2750" s="102"/>
      <c r="J2750" s="102"/>
      <c r="K2750" s="102"/>
      <c r="L2750" s="102"/>
      <c r="M2750" s="102"/>
      <c r="N2750" s="102"/>
      <c r="O2750" s="102"/>
      <c r="P2750" s="102"/>
      <c r="Q2750" s="102"/>
      <c r="R2750" s="102"/>
    </row>
    <row r="2751" spans="1:18" ht="35.1" customHeight="1" x14ac:dyDescent="0.2">
      <c r="A2751" s="99"/>
      <c r="B2751" s="99"/>
      <c r="C2751" s="102"/>
      <c r="D2751" s="102"/>
      <c r="E2751" s="102"/>
      <c r="F2751" s="102"/>
      <c r="G2751" s="102"/>
      <c r="H2751" s="102"/>
      <c r="I2751" s="102"/>
      <c r="J2751" s="102"/>
      <c r="K2751" s="102"/>
      <c r="L2751" s="102"/>
      <c r="M2751" s="102"/>
      <c r="N2751" s="102"/>
      <c r="O2751" s="102"/>
      <c r="P2751" s="102"/>
      <c r="Q2751" s="102"/>
      <c r="R2751" s="102"/>
    </row>
    <row r="2752" spans="1:18" ht="35.1" customHeight="1" x14ac:dyDescent="0.2">
      <c r="A2752" s="99"/>
      <c r="B2752" s="99"/>
      <c r="C2752" s="102"/>
      <c r="D2752" s="102"/>
      <c r="E2752" s="102"/>
      <c r="F2752" s="102"/>
      <c r="G2752" s="102"/>
      <c r="H2752" s="102"/>
      <c r="I2752" s="102"/>
      <c r="J2752" s="102"/>
      <c r="K2752" s="102"/>
      <c r="L2752" s="102"/>
      <c r="M2752" s="102"/>
      <c r="N2752" s="102"/>
      <c r="O2752" s="102"/>
      <c r="P2752" s="102"/>
      <c r="Q2752" s="102"/>
      <c r="R2752" s="102"/>
    </row>
    <row r="2753" spans="1:18" ht="35.1" customHeight="1" x14ac:dyDescent="0.2">
      <c r="A2753" s="99"/>
      <c r="B2753" s="99"/>
      <c r="C2753" s="102"/>
      <c r="D2753" s="102"/>
      <c r="E2753" s="102"/>
      <c r="F2753" s="102"/>
      <c r="G2753" s="102"/>
      <c r="H2753" s="102"/>
      <c r="I2753" s="102"/>
      <c r="J2753" s="102"/>
      <c r="K2753" s="102"/>
      <c r="L2753" s="102"/>
      <c r="M2753" s="102"/>
      <c r="N2753" s="102"/>
      <c r="O2753" s="102"/>
      <c r="P2753" s="102"/>
      <c r="Q2753" s="102"/>
      <c r="R2753" s="102"/>
    </row>
    <row r="2754" spans="1:18" ht="35.1" customHeight="1" x14ac:dyDescent="0.2">
      <c r="A2754" s="99"/>
      <c r="B2754" s="99"/>
      <c r="C2754" s="102"/>
      <c r="D2754" s="102"/>
      <c r="E2754" s="102"/>
      <c r="F2754" s="102"/>
      <c r="G2754" s="102"/>
      <c r="H2754" s="102"/>
      <c r="I2754" s="102"/>
      <c r="J2754" s="102"/>
      <c r="K2754" s="102"/>
      <c r="L2754" s="102"/>
      <c r="M2754" s="102"/>
      <c r="N2754" s="102"/>
      <c r="O2754" s="102"/>
      <c r="P2754" s="102"/>
      <c r="Q2754" s="102"/>
      <c r="R2754" s="102"/>
    </row>
    <row r="2755" spans="1:18" ht="35.1" customHeight="1" x14ac:dyDescent="0.2">
      <c r="A2755" s="99"/>
      <c r="B2755" s="99"/>
      <c r="C2755" s="102"/>
      <c r="D2755" s="102"/>
      <c r="E2755" s="102"/>
      <c r="F2755" s="102"/>
      <c r="G2755" s="102"/>
      <c r="H2755" s="102"/>
      <c r="I2755" s="102"/>
      <c r="J2755" s="102"/>
      <c r="K2755" s="102"/>
      <c r="L2755" s="102"/>
      <c r="M2755" s="102"/>
      <c r="N2755" s="102"/>
      <c r="O2755" s="102"/>
      <c r="P2755" s="102"/>
      <c r="Q2755" s="102"/>
      <c r="R2755" s="102"/>
    </row>
    <row r="2756" spans="1:18" ht="35.1" customHeight="1" x14ac:dyDescent="0.2">
      <c r="A2756" s="99"/>
      <c r="B2756" s="99"/>
      <c r="C2756" s="102"/>
      <c r="D2756" s="102"/>
      <c r="E2756" s="102"/>
      <c r="F2756" s="102"/>
      <c r="G2756" s="102"/>
      <c r="H2756" s="102"/>
      <c r="I2756" s="102"/>
      <c r="J2756" s="102"/>
      <c r="K2756" s="102"/>
      <c r="L2756" s="102"/>
      <c r="M2756" s="102"/>
      <c r="N2756" s="102"/>
      <c r="O2756" s="102"/>
      <c r="P2756" s="102"/>
      <c r="Q2756" s="102"/>
      <c r="R2756" s="102"/>
    </row>
    <row r="2757" spans="1:18" ht="35.1" customHeight="1" x14ac:dyDescent="0.2">
      <c r="A2757" s="99"/>
      <c r="B2757" s="99"/>
      <c r="C2757" s="102"/>
      <c r="D2757" s="102"/>
      <c r="E2757" s="102"/>
      <c r="F2757" s="102"/>
      <c r="G2757" s="102"/>
      <c r="H2757" s="102"/>
      <c r="I2757" s="102"/>
      <c r="J2757" s="102"/>
      <c r="K2757" s="102"/>
      <c r="L2757" s="102"/>
      <c r="M2757" s="102"/>
      <c r="N2757" s="102"/>
      <c r="O2757" s="102"/>
      <c r="P2757" s="102"/>
      <c r="Q2757" s="102"/>
      <c r="R2757" s="102"/>
    </row>
    <row r="2758" spans="1:18" ht="35.1" customHeight="1" x14ac:dyDescent="0.2">
      <c r="A2758" s="99"/>
      <c r="B2758" s="99"/>
      <c r="C2758" s="102"/>
      <c r="D2758" s="102"/>
      <c r="E2758" s="102"/>
      <c r="F2758" s="102"/>
      <c r="G2758" s="102"/>
      <c r="H2758" s="102"/>
      <c r="I2758" s="102"/>
      <c r="J2758" s="102"/>
      <c r="K2758" s="102"/>
      <c r="L2758" s="102"/>
      <c r="M2758" s="102"/>
      <c r="N2758" s="102"/>
      <c r="O2758" s="102"/>
      <c r="P2758" s="102"/>
      <c r="Q2758" s="102"/>
      <c r="R2758" s="102"/>
    </row>
    <row r="2759" spans="1:18" ht="35.1" customHeight="1" x14ac:dyDescent="0.2">
      <c r="A2759" s="99"/>
      <c r="B2759" s="99"/>
      <c r="C2759" s="102"/>
      <c r="D2759" s="102"/>
      <c r="E2759" s="102"/>
      <c r="F2759" s="102"/>
      <c r="G2759" s="102"/>
      <c r="H2759" s="102"/>
      <c r="I2759" s="102"/>
      <c r="J2759" s="102"/>
      <c r="K2759" s="102"/>
      <c r="L2759" s="102"/>
      <c r="M2759" s="102"/>
      <c r="N2759" s="102"/>
      <c r="O2759" s="102"/>
      <c r="P2759" s="102"/>
      <c r="Q2759" s="102"/>
      <c r="R2759" s="102"/>
    </row>
    <row r="2760" spans="1:18" ht="35.1" customHeight="1" x14ac:dyDescent="0.2">
      <c r="A2760" s="99"/>
      <c r="B2760" s="99"/>
      <c r="C2760" s="102"/>
      <c r="D2760" s="102"/>
      <c r="E2760" s="102"/>
      <c r="F2760" s="102"/>
      <c r="G2760" s="102"/>
      <c r="H2760" s="102"/>
      <c r="I2760" s="102"/>
      <c r="J2760" s="102"/>
      <c r="K2760" s="102"/>
      <c r="L2760" s="102"/>
      <c r="M2760" s="102"/>
      <c r="N2760" s="102"/>
      <c r="O2760" s="102"/>
      <c r="P2760" s="102"/>
      <c r="Q2760" s="102"/>
      <c r="R2760" s="102"/>
    </row>
    <row r="2761" spans="1:18" ht="35.1" customHeight="1" x14ac:dyDescent="0.2">
      <c r="A2761" s="99"/>
      <c r="B2761" s="99"/>
      <c r="C2761" s="102"/>
      <c r="D2761" s="102"/>
      <c r="E2761" s="102"/>
      <c r="F2761" s="102"/>
      <c r="G2761" s="102"/>
      <c r="H2761" s="102"/>
      <c r="I2761" s="102"/>
      <c r="J2761" s="102"/>
      <c r="K2761" s="102"/>
      <c r="L2761" s="102"/>
      <c r="M2761" s="102"/>
      <c r="N2761" s="102"/>
      <c r="O2761" s="102"/>
      <c r="P2761" s="102"/>
      <c r="Q2761" s="102"/>
      <c r="R2761" s="102"/>
    </row>
    <row r="2762" spans="1:18" ht="35.1" customHeight="1" x14ac:dyDescent="0.2">
      <c r="A2762" s="99"/>
      <c r="B2762" s="99"/>
      <c r="C2762" s="102"/>
      <c r="D2762" s="102"/>
      <c r="E2762" s="102"/>
      <c r="F2762" s="102"/>
      <c r="G2762" s="102"/>
      <c r="H2762" s="102"/>
      <c r="I2762" s="102"/>
      <c r="J2762" s="102"/>
      <c r="K2762" s="102"/>
      <c r="L2762" s="102"/>
      <c r="M2762" s="102"/>
      <c r="N2762" s="102"/>
      <c r="O2762" s="102"/>
      <c r="P2762" s="102"/>
      <c r="Q2762" s="102"/>
      <c r="R2762" s="102"/>
    </row>
    <row r="2763" spans="1:18" ht="35.1" customHeight="1" x14ac:dyDescent="0.2">
      <c r="A2763" s="99"/>
      <c r="B2763" s="99"/>
      <c r="C2763" s="102"/>
      <c r="D2763" s="102"/>
      <c r="E2763" s="102"/>
      <c r="F2763" s="102"/>
      <c r="G2763" s="102"/>
      <c r="H2763" s="102"/>
      <c r="I2763" s="102"/>
      <c r="J2763" s="102"/>
      <c r="K2763" s="102"/>
      <c r="L2763" s="102"/>
      <c r="M2763" s="102"/>
      <c r="N2763" s="102"/>
      <c r="O2763" s="102"/>
      <c r="P2763" s="102"/>
      <c r="Q2763" s="102"/>
      <c r="R2763" s="102"/>
    </row>
    <row r="2764" spans="1:18" ht="35.1" customHeight="1" x14ac:dyDescent="0.2">
      <c r="A2764" s="99"/>
      <c r="B2764" s="99"/>
      <c r="C2764" s="102"/>
      <c r="D2764" s="102"/>
      <c r="E2764" s="102"/>
      <c r="F2764" s="102"/>
      <c r="G2764" s="102"/>
      <c r="H2764" s="102"/>
      <c r="I2764" s="102"/>
      <c r="J2764" s="102"/>
      <c r="K2764" s="102"/>
      <c r="L2764" s="102"/>
      <c r="M2764" s="102"/>
      <c r="N2764" s="102"/>
      <c r="O2764" s="102"/>
      <c r="P2764" s="102"/>
      <c r="Q2764" s="102"/>
      <c r="R2764" s="102"/>
    </row>
    <row r="2765" spans="1:18" ht="35.1" customHeight="1" x14ac:dyDescent="0.2">
      <c r="A2765" s="99"/>
      <c r="B2765" s="99"/>
      <c r="C2765" s="102"/>
      <c r="D2765" s="102"/>
      <c r="E2765" s="102"/>
      <c r="F2765" s="102"/>
      <c r="G2765" s="102"/>
      <c r="H2765" s="102"/>
      <c r="I2765" s="102"/>
      <c r="J2765" s="102"/>
      <c r="K2765" s="102"/>
      <c r="L2765" s="102"/>
      <c r="M2765" s="102"/>
      <c r="N2765" s="102"/>
      <c r="O2765" s="102"/>
      <c r="P2765" s="102"/>
      <c r="Q2765" s="102"/>
      <c r="R2765" s="102"/>
    </row>
    <row r="2766" spans="1:18" ht="35.1" customHeight="1" x14ac:dyDescent="0.2">
      <c r="A2766" s="99"/>
      <c r="B2766" s="99"/>
      <c r="C2766" s="102"/>
      <c r="D2766" s="102"/>
      <c r="E2766" s="102"/>
      <c r="F2766" s="102"/>
      <c r="G2766" s="102"/>
      <c r="H2766" s="102"/>
      <c r="I2766" s="102"/>
      <c r="J2766" s="102"/>
      <c r="K2766" s="102"/>
      <c r="L2766" s="102"/>
      <c r="M2766" s="102"/>
      <c r="N2766" s="102"/>
      <c r="O2766" s="102"/>
      <c r="P2766" s="102"/>
      <c r="Q2766" s="102"/>
      <c r="R2766" s="102"/>
    </row>
    <row r="2767" spans="1:18" ht="35.1" customHeight="1" x14ac:dyDescent="0.2">
      <c r="A2767" s="99"/>
      <c r="B2767" s="99"/>
      <c r="C2767" s="102"/>
      <c r="D2767" s="102"/>
      <c r="E2767" s="102"/>
      <c r="F2767" s="102"/>
      <c r="G2767" s="102"/>
      <c r="H2767" s="102"/>
      <c r="I2767" s="102"/>
      <c r="J2767" s="102"/>
      <c r="K2767" s="102"/>
      <c r="L2767" s="102"/>
      <c r="M2767" s="102"/>
      <c r="N2767" s="102"/>
      <c r="O2767" s="102"/>
      <c r="P2767" s="102"/>
      <c r="Q2767" s="102"/>
      <c r="R2767" s="102"/>
    </row>
    <row r="2768" spans="1:18" ht="35.1" customHeight="1" x14ac:dyDescent="0.2">
      <c r="A2768" s="99"/>
      <c r="B2768" s="99"/>
      <c r="C2768" s="102"/>
      <c r="D2768" s="102"/>
      <c r="E2768" s="102"/>
      <c r="F2768" s="102"/>
      <c r="G2768" s="102"/>
      <c r="H2768" s="102"/>
      <c r="I2768" s="102"/>
      <c r="J2768" s="102"/>
      <c r="K2768" s="102"/>
      <c r="L2768" s="102"/>
      <c r="M2768" s="102"/>
      <c r="N2768" s="102"/>
      <c r="O2768" s="102"/>
      <c r="P2768" s="102"/>
      <c r="Q2768" s="102"/>
      <c r="R2768" s="102"/>
    </row>
    <row r="2769" spans="1:18" ht="35.1" customHeight="1" x14ac:dyDescent="0.2">
      <c r="A2769" s="99"/>
      <c r="B2769" s="99"/>
      <c r="C2769" s="102"/>
      <c r="D2769" s="102"/>
      <c r="E2769" s="102"/>
      <c r="F2769" s="102"/>
      <c r="G2769" s="102"/>
      <c r="H2769" s="102"/>
      <c r="I2769" s="102"/>
      <c r="J2769" s="102"/>
      <c r="K2769" s="102"/>
      <c r="L2769" s="102"/>
      <c r="M2769" s="102"/>
      <c r="N2769" s="102"/>
      <c r="O2769" s="102"/>
      <c r="P2769" s="102"/>
      <c r="Q2769" s="102"/>
      <c r="R2769" s="102"/>
    </row>
    <row r="2770" spans="1:18" ht="35.1" customHeight="1" x14ac:dyDescent="0.2">
      <c r="A2770" s="99"/>
      <c r="B2770" s="99"/>
      <c r="C2770" s="102"/>
      <c r="D2770" s="102"/>
      <c r="E2770" s="102"/>
      <c r="F2770" s="102"/>
      <c r="G2770" s="102"/>
      <c r="H2770" s="102"/>
      <c r="I2770" s="102"/>
      <c r="J2770" s="102"/>
      <c r="K2770" s="102"/>
      <c r="L2770" s="102"/>
      <c r="M2770" s="102"/>
      <c r="N2770" s="102"/>
      <c r="O2770" s="102"/>
      <c r="P2770" s="102"/>
      <c r="Q2770" s="102"/>
      <c r="R2770" s="102"/>
    </row>
    <row r="2771" spans="1:18" ht="35.1" customHeight="1" x14ac:dyDescent="0.2">
      <c r="A2771" s="99"/>
      <c r="B2771" s="99"/>
      <c r="C2771" s="102"/>
      <c r="D2771" s="102"/>
      <c r="E2771" s="102"/>
      <c r="F2771" s="102"/>
      <c r="G2771" s="102"/>
      <c r="H2771" s="102"/>
      <c r="I2771" s="102"/>
      <c r="J2771" s="102"/>
      <c r="K2771" s="102"/>
      <c r="L2771" s="102"/>
      <c r="M2771" s="102"/>
      <c r="N2771" s="102"/>
      <c r="O2771" s="102"/>
      <c r="P2771" s="102"/>
      <c r="Q2771" s="102"/>
      <c r="R2771" s="102"/>
    </row>
    <row r="2772" spans="1:18" ht="35.1" customHeight="1" x14ac:dyDescent="0.2">
      <c r="A2772" s="99"/>
      <c r="B2772" s="99"/>
      <c r="C2772" s="102"/>
      <c r="D2772" s="102"/>
      <c r="E2772" s="102"/>
      <c r="F2772" s="102"/>
      <c r="G2772" s="102"/>
      <c r="H2772" s="102"/>
      <c r="I2772" s="102"/>
      <c r="J2772" s="102"/>
      <c r="K2772" s="102"/>
      <c r="L2772" s="102"/>
      <c r="M2772" s="102"/>
      <c r="N2772" s="102"/>
      <c r="O2772" s="102"/>
      <c r="P2772" s="102"/>
      <c r="Q2772" s="102"/>
      <c r="R2772" s="102"/>
    </row>
    <row r="2773" spans="1:18" ht="35.1" customHeight="1" x14ac:dyDescent="0.2">
      <c r="A2773" s="99"/>
      <c r="B2773" s="99"/>
      <c r="C2773" s="102"/>
      <c r="D2773" s="102"/>
      <c r="E2773" s="102"/>
      <c r="F2773" s="102"/>
      <c r="G2773" s="102"/>
      <c r="H2773" s="102"/>
      <c r="I2773" s="102"/>
      <c r="J2773" s="102"/>
      <c r="K2773" s="102"/>
      <c r="L2773" s="102"/>
      <c r="M2773" s="102"/>
      <c r="N2773" s="102"/>
      <c r="O2773" s="102"/>
      <c r="P2773" s="102"/>
      <c r="Q2773" s="102"/>
      <c r="R2773" s="102"/>
    </row>
    <row r="2774" spans="1:18" ht="35.1" customHeight="1" x14ac:dyDescent="0.2">
      <c r="A2774" s="99"/>
      <c r="B2774" s="99"/>
      <c r="C2774" s="102"/>
      <c r="D2774" s="102"/>
      <c r="E2774" s="102"/>
      <c r="F2774" s="102"/>
      <c r="G2774" s="102"/>
      <c r="H2774" s="102"/>
      <c r="I2774" s="102"/>
      <c r="J2774" s="102"/>
      <c r="K2774" s="102"/>
      <c r="L2774" s="102"/>
      <c r="M2774" s="102"/>
      <c r="N2774" s="102"/>
      <c r="O2774" s="102"/>
      <c r="P2774" s="102"/>
      <c r="Q2774" s="102"/>
      <c r="R2774" s="102"/>
    </row>
    <row r="2775" spans="1:18" ht="35.1" customHeight="1" x14ac:dyDescent="0.2">
      <c r="A2775" s="99"/>
      <c r="B2775" s="99"/>
      <c r="C2775" s="102"/>
      <c r="D2775" s="102"/>
      <c r="E2775" s="102"/>
      <c r="F2775" s="102"/>
      <c r="G2775" s="102"/>
      <c r="H2775" s="102"/>
      <c r="I2775" s="102"/>
      <c r="J2775" s="102"/>
      <c r="K2775" s="102"/>
      <c r="L2775" s="102"/>
      <c r="M2775" s="102"/>
      <c r="N2775" s="102"/>
      <c r="O2775" s="102"/>
      <c r="P2775" s="102"/>
      <c r="Q2775" s="102"/>
      <c r="R2775" s="102"/>
    </row>
    <row r="2776" spans="1:18" ht="35.1" customHeight="1" x14ac:dyDescent="0.2">
      <c r="A2776" s="99"/>
      <c r="B2776" s="99"/>
      <c r="C2776" s="102"/>
      <c r="D2776" s="102"/>
      <c r="E2776" s="102"/>
      <c r="F2776" s="102"/>
      <c r="G2776" s="102"/>
      <c r="H2776" s="102"/>
      <c r="I2776" s="102"/>
      <c r="J2776" s="102"/>
      <c r="K2776" s="102"/>
      <c r="L2776" s="102"/>
      <c r="M2776" s="102"/>
      <c r="N2776" s="102"/>
      <c r="O2776" s="102"/>
      <c r="P2776" s="102"/>
      <c r="Q2776" s="102"/>
      <c r="R2776" s="102"/>
    </row>
    <row r="2777" spans="1:18" ht="35.1" customHeight="1" x14ac:dyDescent="0.2">
      <c r="A2777" s="99"/>
      <c r="B2777" s="99"/>
      <c r="C2777" s="102"/>
      <c r="D2777" s="102"/>
      <c r="E2777" s="102"/>
      <c r="F2777" s="102"/>
      <c r="G2777" s="102"/>
      <c r="H2777" s="102"/>
      <c r="I2777" s="102"/>
      <c r="J2777" s="102"/>
      <c r="K2777" s="102"/>
      <c r="L2777" s="102"/>
      <c r="M2777" s="102"/>
      <c r="N2777" s="102"/>
      <c r="O2777" s="102"/>
      <c r="P2777" s="102"/>
      <c r="Q2777" s="102"/>
      <c r="R2777" s="102"/>
    </row>
    <row r="2778" spans="1:18" ht="35.1" customHeight="1" x14ac:dyDescent="0.2">
      <c r="A2778" s="99"/>
      <c r="B2778" s="99"/>
      <c r="C2778" s="102"/>
      <c r="D2778" s="102"/>
      <c r="E2778" s="102"/>
      <c r="F2778" s="102"/>
      <c r="G2778" s="102"/>
      <c r="H2778" s="102"/>
      <c r="I2778" s="102"/>
      <c r="J2778" s="102"/>
      <c r="K2778" s="102"/>
      <c r="L2778" s="102"/>
      <c r="M2778" s="102"/>
      <c r="N2778" s="102"/>
      <c r="O2778" s="102"/>
      <c r="P2778" s="102"/>
      <c r="Q2778" s="102"/>
      <c r="R2778" s="102"/>
    </row>
    <row r="2779" spans="1:18" ht="35.1" customHeight="1" x14ac:dyDescent="0.2">
      <c r="A2779" s="99"/>
      <c r="B2779" s="99"/>
      <c r="C2779" s="102"/>
      <c r="D2779" s="102"/>
      <c r="E2779" s="102"/>
      <c r="F2779" s="102"/>
      <c r="G2779" s="102"/>
      <c r="H2779" s="102"/>
      <c r="I2779" s="102"/>
      <c r="J2779" s="102"/>
      <c r="K2779" s="102"/>
      <c r="L2779" s="102"/>
      <c r="M2779" s="102"/>
      <c r="N2779" s="102"/>
      <c r="O2779" s="102"/>
      <c r="P2779" s="102"/>
      <c r="Q2779" s="102"/>
      <c r="R2779" s="102"/>
    </row>
    <row r="2780" spans="1:18" ht="35.1" customHeight="1" x14ac:dyDescent="0.2">
      <c r="A2780" s="99"/>
      <c r="B2780" s="99"/>
      <c r="C2780" s="102"/>
      <c r="D2780" s="102"/>
      <c r="E2780" s="102"/>
      <c r="F2780" s="102"/>
      <c r="G2780" s="102"/>
      <c r="H2780" s="102"/>
      <c r="I2780" s="102"/>
      <c r="J2780" s="102"/>
      <c r="K2780" s="102"/>
      <c r="L2780" s="102"/>
      <c r="M2780" s="102"/>
      <c r="N2780" s="102"/>
      <c r="O2780" s="102"/>
      <c r="P2780" s="102"/>
      <c r="Q2780" s="102"/>
      <c r="R2780" s="102"/>
    </row>
    <row r="2781" spans="1:18" ht="35.1" customHeight="1" x14ac:dyDescent="0.2">
      <c r="A2781" s="99"/>
      <c r="B2781" s="99"/>
      <c r="C2781" s="102"/>
      <c r="D2781" s="102"/>
      <c r="E2781" s="102"/>
      <c r="F2781" s="102"/>
      <c r="G2781" s="102"/>
      <c r="H2781" s="102"/>
      <c r="I2781" s="102"/>
      <c r="J2781" s="102"/>
      <c r="K2781" s="102"/>
      <c r="L2781" s="102"/>
      <c r="M2781" s="102"/>
      <c r="N2781" s="102"/>
      <c r="O2781" s="102"/>
      <c r="P2781" s="102"/>
      <c r="Q2781" s="102"/>
      <c r="R2781" s="102"/>
    </row>
    <row r="2782" spans="1:18" ht="35.1" customHeight="1" x14ac:dyDescent="0.2">
      <c r="A2782" s="99"/>
      <c r="B2782" s="99"/>
      <c r="C2782" s="102"/>
      <c r="D2782" s="102"/>
      <c r="E2782" s="102"/>
      <c r="F2782" s="102"/>
      <c r="G2782" s="102"/>
      <c r="H2782" s="102"/>
      <c r="I2782" s="102"/>
      <c r="J2782" s="102"/>
      <c r="K2782" s="102"/>
      <c r="L2782" s="102"/>
      <c r="M2782" s="102"/>
      <c r="N2782" s="102"/>
      <c r="O2782" s="102"/>
      <c r="P2782" s="102"/>
      <c r="Q2782" s="102"/>
      <c r="R2782" s="102"/>
    </row>
    <row r="2783" spans="1:18" ht="35.1" customHeight="1" x14ac:dyDescent="0.2">
      <c r="A2783" s="99"/>
      <c r="B2783" s="99"/>
      <c r="C2783" s="102"/>
      <c r="D2783" s="102"/>
      <c r="E2783" s="102"/>
      <c r="F2783" s="102"/>
      <c r="G2783" s="102"/>
      <c r="H2783" s="102"/>
      <c r="I2783" s="102"/>
      <c r="J2783" s="102"/>
      <c r="K2783" s="102"/>
      <c r="L2783" s="102"/>
      <c r="M2783" s="102"/>
      <c r="N2783" s="102"/>
      <c r="O2783" s="102"/>
      <c r="P2783" s="102"/>
      <c r="Q2783" s="102"/>
      <c r="R2783" s="102"/>
    </row>
    <row r="2784" spans="1:18" ht="35.1" customHeight="1" x14ac:dyDescent="0.2">
      <c r="A2784" s="99"/>
      <c r="B2784" s="99"/>
      <c r="C2784" s="102"/>
      <c r="D2784" s="102"/>
      <c r="E2784" s="102"/>
      <c r="F2784" s="102"/>
      <c r="G2784" s="102"/>
      <c r="H2784" s="102"/>
      <c r="I2784" s="102"/>
      <c r="J2784" s="102"/>
      <c r="K2784" s="102"/>
      <c r="L2784" s="102"/>
      <c r="M2784" s="102"/>
      <c r="N2784" s="102"/>
      <c r="O2784" s="102"/>
      <c r="P2784" s="102"/>
      <c r="Q2784" s="102"/>
      <c r="R2784" s="102"/>
    </row>
    <row r="2785" spans="1:18" ht="35.1" customHeight="1" x14ac:dyDescent="0.2">
      <c r="A2785" s="99"/>
      <c r="B2785" s="99"/>
      <c r="C2785" s="102"/>
      <c r="D2785" s="102"/>
      <c r="E2785" s="102"/>
      <c r="F2785" s="102"/>
      <c r="G2785" s="102"/>
      <c r="H2785" s="102"/>
      <c r="I2785" s="102"/>
      <c r="J2785" s="102"/>
      <c r="K2785" s="102"/>
      <c r="L2785" s="102"/>
      <c r="M2785" s="102"/>
      <c r="N2785" s="102"/>
      <c r="O2785" s="102"/>
      <c r="P2785" s="102"/>
      <c r="Q2785" s="102"/>
      <c r="R2785" s="102"/>
    </row>
    <row r="2786" spans="1:18" ht="35.1" customHeight="1" x14ac:dyDescent="0.2">
      <c r="A2786" s="99"/>
      <c r="B2786" s="99"/>
      <c r="C2786" s="102"/>
      <c r="D2786" s="102"/>
      <c r="E2786" s="102"/>
      <c r="F2786" s="102"/>
      <c r="G2786" s="102"/>
      <c r="H2786" s="102"/>
      <c r="I2786" s="102"/>
      <c r="J2786" s="102"/>
      <c r="K2786" s="102"/>
      <c r="L2786" s="102"/>
      <c r="M2786" s="102"/>
      <c r="N2786" s="102"/>
      <c r="O2786" s="102"/>
      <c r="P2786" s="102"/>
      <c r="Q2786" s="102"/>
      <c r="R2786" s="102"/>
    </row>
    <row r="2787" spans="1:18" ht="35.1" customHeight="1" x14ac:dyDescent="0.2">
      <c r="A2787" s="99"/>
      <c r="B2787" s="99"/>
      <c r="C2787" s="102"/>
      <c r="D2787" s="102"/>
      <c r="E2787" s="102"/>
      <c r="F2787" s="102"/>
      <c r="G2787" s="102"/>
      <c r="H2787" s="102"/>
      <c r="I2787" s="102"/>
      <c r="J2787" s="102"/>
      <c r="K2787" s="102"/>
      <c r="L2787" s="102"/>
      <c r="M2787" s="102"/>
      <c r="N2787" s="102"/>
      <c r="O2787" s="102"/>
      <c r="P2787" s="102"/>
      <c r="Q2787" s="102"/>
      <c r="R2787" s="102"/>
    </row>
    <row r="2788" spans="1:18" ht="35.1" customHeight="1" x14ac:dyDescent="0.2">
      <c r="A2788" s="99"/>
      <c r="B2788" s="99"/>
      <c r="C2788" s="102"/>
      <c r="D2788" s="102"/>
      <c r="E2788" s="102"/>
      <c r="F2788" s="102"/>
      <c r="G2788" s="102"/>
      <c r="H2788" s="102"/>
      <c r="I2788" s="102"/>
      <c r="J2788" s="102"/>
      <c r="K2788" s="102"/>
      <c r="L2788" s="102"/>
      <c r="M2788" s="102"/>
      <c r="N2788" s="102"/>
      <c r="O2788" s="102"/>
      <c r="P2788" s="102"/>
      <c r="Q2788" s="102"/>
      <c r="R2788" s="102"/>
    </row>
    <row r="2789" spans="1:18" ht="35.1" customHeight="1" x14ac:dyDescent="0.2">
      <c r="A2789" s="99"/>
      <c r="B2789" s="99"/>
      <c r="C2789" s="102"/>
      <c r="D2789" s="102"/>
      <c r="E2789" s="102"/>
      <c r="F2789" s="102"/>
      <c r="G2789" s="102"/>
      <c r="H2789" s="102"/>
      <c r="I2789" s="102"/>
      <c r="J2789" s="102"/>
      <c r="K2789" s="102"/>
      <c r="L2789" s="102"/>
      <c r="M2789" s="102"/>
      <c r="N2789" s="102"/>
      <c r="O2789" s="102"/>
      <c r="P2789" s="102"/>
      <c r="Q2789" s="102"/>
      <c r="R2789" s="102"/>
    </row>
    <row r="2790" spans="1:18" ht="35.1" customHeight="1" x14ac:dyDescent="0.2">
      <c r="A2790" s="99"/>
      <c r="B2790" s="99"/>
      <c r="C2790" s="102"/>
      <c r="D2790" s="102"/>
      <c r="E2790" s="102"/>
      <c r="F2790" s="102"/>
      <c r="G2790" s="102"/>
      <c r="H2790" s="102"/>
      <c r="I2790" s="102"/>
      <c r="J2790" s="102"/>
      <c r="K2790" s="102"/>
      <c r="L2790" s="102"/>
      <c r="M2790" s="102"/>
      <c r="N2790" s="102"/>
      <c r="O2790" s="102"/>
      <c r="P2790" s="102"/>
      <c r="Q2790" s="102"/>
      <c r="R2790" s="102"/>
    </row>
    <row r="2791" spans="1:18" ht="35.1" customHeight="1" x14ac:dyDescent="0.2">
      <c r="A2791" s="99"/>
      <c r="B2791" s="99"/>
      <c r="C2791" s="102"/>
      <c r="D2791" s="102"/>
      <c r="E2791" s="102"/>
      <c r="F2791" s="102"/>
      <c r="G2791" s="102"/>
      <c r="H2791" s="102"/>
      <c r="I2791" s="102"/>
      <c r="J2791" s="102"/>
      <c r="K2791" s="102"/>
      <c r="L2791" s="102"/>
      <c r="M2791" s="102"/>
      <c r="N2791" s="102"/>
      <c r="O2791" s="102"/>
      <c r="P2791" s="102"/>
      <c r="Q2791" s="102"/>
      <c r="R2791" s="102"/>
    </row>
    <row r="2792" spans="1:18" ht="35.1" customHeight="1" x14ac:dyDescent="0.2">
      <c r="A2792" s="99"/>
      <c r="B2792" s="99"/>
      <c r="C2792" s="102"/>
      <c r="D2792" s="102"/>
      <c r="E2792" s="102"/>
      <c r="F2792" s="102"/>
      <c r="G2792" s="102"/>
      <c r="H2792" s="102"/>
      <c r="I2792" s="102"/>
      <c r="J2792" s="102"/>
      <c r="K2792" s="102"/>
      <c r="L2792" s="102"/>
      <c r="M2792" s="102"/>
      <c r="N2792" s="102"/>
      <c r="O2792" s="102"/>
      <c r="P2792" s="102"/>
      <c r="Q2792" s="102"/>
      <c r="R2792" s="102"/>
    </row>
    <row r="2793" spans="1:18" ht="35.1" customHeight="1" x14ac:dyDescent="0.2">
      <c r="A2793" s="99"/>
      <c r="B2793" s="99"/>
      <c r="C2793" s="102"/>
      <c r="D2793" s="102"/>
      <c r="E2793" s="102"/>
      <c r="F2793" s="102"/>
      <c r="G2793" s="102"/>
      <c r="H2793" s="102"/>
      <c r="I2793" s="102"/>
      <c r="J2793" s="102"/>
      <c r="K2793" s="102"/>
      <c r="L2793" s="102"/>
      <c r="M2793" s="102"/>
      <c r="N2793" s="102"/>
      <c r="O2793" s="102"/>
      <c r="P2793" s="102"/>
      <c r="Q2793" s="102"/>
      <c r="R2793" s="102"/>
    </row>
    <row r="2794" spans="1:18" ht="35.1" customHeight="1" x14ac:dyDescent="0.2">
      <c r="A2794" s="99"/>
      <c r="B2794" s="99"/>
      <c r="C2794" s="102"/>
      <c r="D2794" s="102"/>
      <c r="E2794" s="102"/>
      <c r="F2794" s="102"/>
      <c r="G2794" s="102"/>
      <c r="H2794" s="102"/>
      <c r="I2794" s="102"/>
      <c r="J2794" s="102"/>
      <c r="K2794" s="102"/>
      <c r="L2794" s="102"/>
      <c r="M2794" s="102"/>
      <c r="N2794" s="102"/>
      <c r="O2794" s="102"/>
      <c r="P2794" s="102"/>
      <c r="Q2794" s="102"/>
      <c r="R2794" s="102"/>
    </row>
    <row r="2795" spans="1:18" ht="35.1" customHeight="1" x14ac:dyDescent="0.2">
      <c r="A2795" s="99"/>
      <c r="B2795" s="99"/>
      <c r="C2795" s="102"/>
      <c r="D2795" s="102"/>
      <c r="E2795" s="102"/>
      <c r="F2795" s="102"/>
      <c r="G2795" s="102"/>
      <c r="H2795" s="102"/>
      <c r="I2795" s="102"/>
      <c r="J2795" s="102"/>
      <c r="K2795" s="102"/>
      <c r="L2795" s="102"/>
      <c r="M2795" s="102"/>
      <c r="N2795" s="102"/>
      <c r="O2795" s="102"/>
      <c r="P2795" s="102"/>
      <c r="Q2795" s="102"/>
      <c r="R2795" s="102"/>
    </row>
    <row r="2796" spans="1:18" ht="35.1" customHeight="1" x14ac:dyDescent="0.2">
      <c r="A2796" s="99"/>
      <c r="B2796" s="99"/>
      <c r="C2796" s="102"/>
      <c r="D2796" s="102"/>
      <c r="E2796" s="102"/>
      <c r="F2796" s="102"/>
      <c r="G2796" s="102"/>
      <c r="H2796" s="102"/>
      <c r="I2796" s="102"/>
      <c r="J2796" s="102"/>
      <c r="K2796" s="102"/>
      <c r="L2796" s="102"/>
      <c r="M2796" s="102"/>
      <c r="N2796" s="102"/>
      <c r="O2796" s="102"/>
      <c r="P2796" s="102"/>
      <c r="Q2796" s="102"/>
      <c r="R2796" s="102"/>
    </row>
    <row r="2797" spans="1:18" ht="35.1" customHeight="1" x14ac:dyDescent="0.2">
      <c r="A2797" s="99"/>
      <c r="B2797" s="99"/>
      <c r="C2797" s="102"/>
      <c r="D2797" s="102"/>
      <c r="E2797" s="102"/>
      <c r="F2797" s="102"/>
      <c r="G2797" s="102"/>
      <c r="H2797" s="102"/>
      <c r="I2797" s="102"/>
      <c r="J2797" s="102"/>
      <c r="K2797" s="102"/>
      <c r="L2797" s="102"/>
      <c r="M2797" s="102"/>
      <c r="N2797" s="102"/>
      <c r="O2797" s="102"/>
      <c r="P2797" s="102"/>
      <c r="Q2797" s="102"/>
      <c r="R2797" s="102"/>
    </row>
    <row r="2798" spans="1:18" ht="35.1" customHeight="1" x14ac:dyDescent="0.2">
      <c r="A2798" s="99"/>
      <c r="B2798" s="99"/>
      <c r="C2798" s="102"/>
      <c r="D2798" s="102"/>
      <c r="E2798" s="102"/>
      <c r="F2798" s="102"/>
      <c r="G2798" s="102"/>
      <c r="H2798" s="102"/>
      <c r="I2798" s="102"/>
      <c r="J2798" s="102"/>
      <c r="K2798" s="102"/>
      <c r="L2798" s="102"/>
      <c r="M2798" s="102"/>
      <c r="N2798" s="102"/>
      <c r="O2798" s="102"/>
      <c r="P2798" s="102"/>
      <c r="Q2798" s="102"/>
      <c r="R2798" s="102"/>
    </row>
    <row r="2799" spans="1:18" ht="35.1" customHeight="1" x14ac:dyDescent="0.2">
      <c r="A2799" s="99"/>
      <c r="B2799" s="99"/>
      <c r="C2799" s="102"/>
      <c r="D2799" s="102"/>
      <c r="E2799" s="102"/>
      <c r="F2799" s="102"/>
      <c r="G2799" s="102"/>
      <c r="H2799" s="102"/>
      <c r="I2799" s="102"/>
      <c r="J2799" s="102"/>
      <c r="K2799" s="102"/>
      <c r="L2799" s="102"/>
      <c r="M2799" s="102"/>
      <c r="N2799" s="102"/>
      <c r="O2799" s="102"/>
      <c r="P2799" s="102"/>
      <c r="Q2799" s="102"/>
      <c r="R2799" s="102"/>
    </row>
    <row r="2800" spans="1:18" ht="35.1" customHeight="1" x14ac:dyDescent="0.2">
      <c r="A2800" s="99"/>
      <c r="B2800" s="99"/>
      <c r="C2800" s="102"/>
      <c r="D2800" s="102"/>
      <c r="E2800" s="102"/>
      <c r="F2800" s="102"/>
      <c r="G2800" s="102"/>
      <c r="H2800" s="102"/>
      <c r="I2800" s="102"/>
      <c r="J2800" s="102"/>
      <c r="K2800" s="102"/>
      <c r="L2800" s="102"/>
      <c r="M2800" s="102"/>
      <c r="N2800" s="102"/>
      <c r="O2800" s="102"/>
      <c r="P2800" s="102"/>
      <c r="Q2800" s="102"/>
      <c r="R2800" s="102"/>
    </row>
    <row r="2801" spans="1:18" ht="35.1" customHeight="1" x14ac:dyDescent="0.2">
      <c r="A2801" s="99"/>
      <c r="B2801" s="99"/>
      <c r="C2801" s="102"/>
      <c r="D2801" s="102"/>
      <c r="E2801" s="102"/>
      <c r="F2801" s="102"/>
      <c r="G2801" s="102"/>
      <c r="H2801" s="102"/>
      <c r="I2801" s="102"/>
      <c r="J2801" s="102"/>
      <c r="K2801" s="102"/>
      <c r="L2801" s="102"/>
      <c r="M2801" s="102"/>
      <c r="N2801" s="102"/>
      <c r="O2801" s="102"/>
      <c r="P2801" s="102"/>
      <c r="Q2801" s="102"/>
      <c r="R2801" s="102"/>
    </row>
    <row r="2802" spans="1:18" ht="35.1" customHeight="1" x14ac:dyDescent="0.2">
      <c r="A2802" s="99"/>
      <c r="B2802" s="99"/>
      <c r="C2802" s="102"/>
      <c r="D2802" s="102"/>
      <c r="E2802" s="102"/>
      <c r="F2802" s="102"/>
      <c r="G2802" s="102"/>
      <c r="H2802" s="102"/>
      <c r="I2802" s="102"/>
      <c r="J2802" s="102"/>
      <c r="K2802" s="102"/>
      <c r="L2802" s="102"/>
      <c r="M2802" s="102"/>
      <c r="N2802" s="102"/>
      <c r="O2802" s="102"/>
      <c r="P2802" s="102"/>
      <c r="Q2802" s="102"/>
      <c r="R2802" s="102"/>
    </row>
    <row r="2803" spans="1:18" ht="35.1" customHeight="1" x14ac:dyDescent="0.2">
      <c r="A2803" s="99"/>
      <c r="B2803" s="99"/>
      <c r="C2803" s="102"/>
      <c r="D2803" s="102"/>
      <c r="E2803" s="102"/>
      <c r="F2803" s="102"/>
      <c r="G2803" s="102"/>
      <c r="H2803" s="102"/>
      <c r="I2803" s="102"/>
      <c r="J2803" s="102"/>
      <c r="K2803" s="102"/>
      <c r="L2803" s="102"/>
      <c r="M2803" s="102"/>
      <c r="N2803" s="102"/>
      <c r="O2803" s="102"/>
      <c r="P2803" s="102"/>
      <c r="Q2803" s="102"/>
      <c r="R2803" s="102"/>
    </row>
    <row r="2804" spans="1:18" ht="35.1" customHeight="1" x14ac:dyDescent="0.2">
      <c r="A2804" s="99"/>
      <c r="B2804" s="99"/>
      <c r="C2804" s="102"/>
      <c r="D2804" s="102"/>
      <c r="E2804" s="102"/>
      <c r="F2804" s="102"/>
      <c r="G2804" s="102"/>
      <c r="H2804" s="102"/>
      <c r="I2804" s="102"/>
      <c r="J2804" s="102"/>
      <c r="K2804" s="102"/>
      <c r="L2804" s="102"/>
      <c r="M2804" s="102"/>
      <c r="N2804" s="102"/>
      <c r="O2804" s="102"/>
      <c r="P2804" s="102"/>
      <c r="Q2804" s="102"/>
      <c r="R2804" s="102"/>
    </row>
    <row r="2805" spans="1:18" ht="35.1" customHeight="1" x14ac:dyDescent="0.2">
      <c r="A2805" s="99"/>
      <c r="B2805" s="99"/>
      <c r="C2805" s="102"/>
      <c r="D2805" s="102"/>
      <c r="E2805" s="102"/>
      <c r="F2805" s="102"/>
      <c r="G2805" s="102"/>
      <c r="H2805" s="102"/>
      <c r="I2805" s="102"/>
      <c r="J2805" s="102"/>
      <c r="K2805" s="102"/>
      <c r="L2805" s="102"/>
      <c r="M2805" s="102"/>
      <c r="N2805" s="102"/>
      <c r="O2805" s="102"/>
      <c r="P2805" s="102"/>
      <c r="Q2805" s="102"/>
      <c r="R2805" s="102"/>
    </row>
    <row r="2806" spans="1:18" ht="35.1" customHeight="1" x14ac:dyDescent="0.2">
      <c r="A2806" s="99"/>
      <c r="B2806" s="99"/>
      <c r="C2806" s="102"/>
      <c r="D2806" s="102"/>
      <c r="E2806" s="102"/>
      <c r="F2806" s="102"/>
      <c r="G2806" s="102"/>
      <c r="H2806" s="102"/>
      <c r="I2806" s="102"/>
      <c r="J2806" s="102"/>
      <c r="K2806" s="102"/>
      <c r="L2806" s="102"/>
      <c r="M2806" s="102"/>
      <c r="N2806" s="102"/>
      <c r="O2806" s="102"/>
      <c r="P2806" s="102"/>
      <c r="Q2806" s="102"/>
      <c r="R2806" s="102"/>
    </row>
    <row r="2807" spans="1:18" ht="35.1" customHeight="1" x14ac:dyDescent="0.2">
      <c r="A2807" s="99"/>
      <c r="B2807" s="99"/>
      <c r="C2807" s="102"/>
      <c r="D2807" s="102"/>
      <c r="E2807" s="102"/>
      <c r="F2807" s="102"/>
      <c r="G2807" s="102"/>
      <c r="H2807" s="102"/>
      <c r="I2807" s="102"/>
      <c r="J2807" s="102"/>
      <c r="K2807" s="102"/>
      <c r="L2807" s="102"/>
      <c r="M2807" s="102"/>
      <c r="N2807" s="102"/>
      <c r="O2807" s="102"/>
      <c r="P2807" s="102"/>
      <c r="Q2807" s="102"/>
      <c r="R2807" s="102"/>
    </row>
    <row r="2808" spans="1:18" ht="35.1" customHeight="1" x14ac:dyDescent="0.2">
      <c r="A2808" s="99"/>
      <c r="B2808" s="99"/>
      <c r="C2808" s="102"/>
      <c r="D2808" s="102"/>
      <c r="E2808" s="102"/>
      <c r="F2808" s="102"/>
      <c r="G2808" s="102"/>
      <c r="H2808" s="102"/>
      <c r="I2808" s="102"/>
      <c r="J2808" s="102"/>
      <c r="K2808" s="102"/>
      <c r="L2808" s="102"/>
      <c r="M2808" s="102"/>
      <c r="N2808" s="102"/>
      <c r="O2808" s="102"/>
      <c r="P2808" s="102"/>
      <c r="Q2808" s="102"/>
      <c r="R2808" s="102"/>
    </row>
    <row r="2809" spans="1:18" ht="35.1" customHeight="1" x14ac:dyDescent="0.2">
      <c r="A2809" s="99"/>
      <c r="B2809" s="99"/>
      <c r="C2809" s="102"/>
      <c r="D2809" s="102"/>
      <c r="E2809" s="102"/>
      <c r="F2809" s="102"/>
      <c r="G2809" s="102"/>
      <c r="H2809" s="102"/>
      <c r="I2809" s="102"/>
      <c r="J2809" s="102"/>
      <c r="K2809" s="102"/>
      <c r="L2809" s="102"/>
      <c r="M2809" s="102"/>
      <c r="N2809" s="102"/>
      <c r="O2809" s="102"/>
      <c r="P2809" s="102"/>
      <c r="Q2809" s="102"/>
      <c r="R2809" s="102"/>
    </row>
    <row r="2810" spans="1:18" ht="35.1" customHeight="1" x14ac:dyDescent="0.2">
      <c r="A2810" s="99"/>
      <c r="B2810" s="99"/>
      <c r="C2810" s="102"/>
      <c r="D2810" s="102"/>
      <c r="E2810" s="102"/>
      <c r="F2810" s="102"/>
      <c r="G2810" s="102"/>
      <c r="H2810" s="102"/>
      <c r="I2810" s="102"/>
      <c r="J2810" s="102"/>
      <c r="K2810" s="102"/>
      <c r="L2810" s="102"/>
      <c r="M2810" s="102"/>
      <c r="N2810" s="102"/>
      <c r="O2810" s="102"/>
      <c r="P2810" s="102"/>
      <c r="Q2810" s="102"/>
      <c r="R2810" s="102"/>
    </row>
    <row r="2811" spans="1:18" ht="35.1" customHeight="1" x14ac:dyDescent="0.2">
      <c r="A2811" s="99"/>
      <c r="B2811" s="99"/>
      <c r="C2811" s="102"/>
      <c r="D2811" s="102"/>
      <c r="E2811" s="102"/>
      <c r="F2811" s="102"/>
      <c r="G2811" s="102"/>
      <c r="H2811" s="102"/>
      <c r="I2811" s="102"/>
      <c r="J2811" s="102"/>
      <c r="K2811" s="102"/>
      <c r="L2811" s="102"/>
      <c r="M2811" s="102"/>
      <c r="N2811" s="102"/>
      <c r="O2811" s="102"/>
      <c r="P2811" s="102"/>
      <c r="Q2811" s="102"/>
      <c r="R2811" s="102"/>
    </row>
    <row r="2812" spans="1:18" ht="35.1" customHeight="1" x14ac:dyDescent="0.2">
      <c r="A2812" s="99"/>
      <c r="B2812" s="99"/>
      <c r="C2812" s="102"/>
      <c r="D2812" s="102"/>
      <c r="E2812" s="102"/>
      <c r="F2812" s="102"/>
      <c r="G2812" s="102"/>
      <c r="H2812" s="102"/>
      <c r="I2812" s="102"/>
      <c r="J2812" s="102"/>
      <c r="K2812" s="102"/>
      <c r="L2812" s="102"/>
      <c r="M2812" s="102"/>
      <c r="N2812" s="102"/>
      <c r="O2812" s="102"/>
      <c r="P2812" s="102"/>
      <c r="Q2812" s="102"/>
      <c r="R2812" s="102"/>
    </row>
    <row r="2813" spans="1:18" ht="35.1" customHeight="1" x14ac:dyDescent="0.2">
      <c r="A2813" s="99"/>
      <c r="B2813" s="99"/>
      <c r="C2813" s="102"/>
      <c r="D2813" s="102"/>
      <c r="E2813" s="102"/>
      <c r="F2813" s="102"/>
      <c r="G2813" s="102"/>
      <c r="H2813" s="102"/>
      <c r="I2813" s="102"/>
      <c r="J2813" s="102"/>
      <c r="K2813" s="102"/>
      <c r="L2813" s="102"/>
      <c r="M2813" s="102"/>
      <c r="N2813" s="102"/>
      <c r="O2813" s="102"/>
      <c r="P2813" s="102"/>
      <c r="Q2813" s="102"/>
      <c r="R2813" s="102"/>
    </row>
    <row r="2814" spans="1:18" ht="35.1" customHeight="1" x14ac:dyDescent="0.2">
      <c r="A2814" s="99"/>
      <c r="B2814" s="99"/>
      <c r="C2814" s="102"/>
      <c r="D2814" s="102"/>
      <c r="E2814" s="102"/>
      <c r="F2814" s="102"/>
      <c r="G2814" s="102"/>
      <c r="H2814" s="102"/>
      <c r="I2814" s="102"/>
      <c r="J2814" s="102"/>
      <c r="K2814" s="102"/>
      <c r="L2814" s="102"/>
      <c r="M2814" s="102"/>
      <c r="N2814" s="102"/>
      <c r="O2814" s="102"/>
      <c r="P2814" s="102"/>
      <c r="Q2814" s="102"/>
      <c r="R2814" s="102"/>
    </row>
    <row r="2815" spans="1:18" ht="35.1" customHeight="1" x14ac:dyDescent="0.2">
      <c r="A2815" s="99"/>
      <c r="B2815" s="99"/>
      <c r="C2815" s="102"/>
      <c r="D2815" s="102"/>
      <c r="E2815" s="102"/>
      <c r="F2815" s="102"/>
      <c r="G2815" s="102"/>
      <c r="H2815" s="102"/>
      <c r="I2815" s="102"/>
      <c r="J2815" s="102"/>
      <c r="K2815" s="102"/>
      <c r="L2815" s="102"/>
      <c r="M2815" s="102"/>
      <c r="N2815" s="102"/>
      <c r="O2815" s="102"/>
      <c r="P2815" s="102"/>
      <c r="Q2815" s="102"/>
      <c r="R2815" s="102"/>
    </row>
    <row r="2816" spans="1:18" ht="35.1" customHeight="1" x14ac:dyDescent="0.2">
      <c r="A2816" s="99"/>
      <c r="B2816" s="99"/>
      <c r="C2816" s="102"/>
      <c r="D2816" s="102"/>
      <c r="E2816" s="102"/>
      <c r="F2816" s="102"/>
      <c r="G2816" s="102"/>
      <c r="H2816" s="102"/>
      <c r="I2816" s="102"/>
      <c r="J2816" s="102"/>
      <c r="K2816" s="102"/>
      <c r="L2816" s="102"/>
      <c r="M2816" s="102"/>
      <c r="N2816" s="102"/>
      <c r="O2816" s="102"/>
      <c r="P2816" s="102"/>
      <c r="Q2816" s="102"/>
      <c r="R2816" s="102"/>
    </row>
    <row r="2817" spans="1:18" ht="35.1" customHeight="1" x14ac:dyDescent="0.2">
      <c r="A2817" s="99"/>
      <c r="B2817" s="99"/>
      <c r="C2817" s="102"/>
      <c r="D2817" s="102"/>
      <c r="E2817" s="102"/>
      <c r="F2817" s="102"/>
      <c r="G2817" s="102"/>
      <c r="H2817" s="102"/>
      <c r="I2817" s="102"/>
      <c r="J2817" s="102"/>
      <c r="K2817" s="102"/>
      <c r="L2817" s="102"/>
      <c r="M2817" s="102"/>
      <c r="N2817" s="102"/>
      <c r="O2817" s="102"/>
      <c r="P2817" s="102"/>
      <c r="Q2817" s="102"/>
      <c r="R2817" s="102"/>
    </row>
    <row r="2818" spans="1:18" ht="35.1" customHeight="1" x14ac:dyDescent="0.2">
      <c r="A2818" s="99"/>
      <c r="B2818" s="99"/>
      <c r="C2818" s="102"/>
      <c r="D2818" s="102"/>
      <c r="E2818" s="102"/>
      <c r="F2818" s="102"/>
      <c r="G2818" s="102"/>
      <c r="H2818" s="102"/>
      <c r="I2818" s="102"/>
      <c r="J2818" s="102"/>
      <c r="K2818" s="102"/>
      <c r="L2818" s="102"/>
      <c r="M2818" s="102"/>
      <c r="N2818" s="102"/>
      <c r="O2818" s="102"/>
      <c r="P2818" s="102"/>
      <c r="Q2818" s="102"/>
      <c r="R2818" s="102"/>
    </row>
    <row r="2819" spans="1:18" ht="35.1" customHeight="1" x14ac:dyDescent="0.2">
      <c r="A2819" s="99"/>
      <c r="B2819" s="99"/>
      <c r="C2819" s="102"/>
      <c r="D2819" s="102"/>
      <c r="E2819" s="102"/>
      <c r="F2819" s="102"/>
      <c r="G2819" s="102"/>
      <c r="H2819" s="102"/>
      <c r="I2819" s="102"/>
      <c r="J2819" s="102"/>
      <c r="K2819" s="102"/>
      <c r="L2819" s="102"/>
      <c r="M2819" s="102"/>
      <c r="N2819" s="102"/>
      <c r="O2819" s="102"/>
      <c r="P2819" s="102"/>
      <c r="Q2819" s="102"/>
      <c r="R2819" s="102"/>
    </row>
    <row r="2820" spans="1:18" ht="35.1" customHeight="1" x14ac:dyDescent="0.2">
      <c r="A2820" s="99"/>
      <c r="B2820" s="99"/>
      <c r="C2820" s="102"/>
      <c r="D2820" s="102"/>
      <c r="E2820" s="102"/>
      <c r="F2820" s="102"/>
      <c r="G2820" s="102"/>
      <c r="H2820" s="102"/>
      <c r="I2820" s="102"/>
      <c r="J2820" s="102"/>
      <c r="K2820" s="102"/>
      <c r="L2820" s="102"/>
      <c r="M2820" s="102"/>
      <c r="N2820" s="102"/>
      <c r="O2820" s="102"/>
      <c r="P2820" s="102"/>
      <c r="Q2820" s="102"/>
      <c r="R2820" s="102"/>
    </row>
    <row r="2821" spans="1:18" ht="35.1" customHeight="1" x14ac:dyDescent="0.2">
      <c r="A2821" s="99"/>
      <c r="B2821" s="99"/>
      <c r="C2821" s="102"/>
      <c r="D2821" s="102"/>
      <c r="E2821" s="102"/>
      <c r="F2821" s="102"/>
      <c r="G2821" s="102"/>
      <c r="H2821" s="102"/>
      <c r="I2821" s="102"/>
      <c r="J2821" s="102"/>
      <c r="K2821" s="102"/>
      <c r="L2821" s="102"/>
      <c r="M2821" s="102"/>
      <c r="N2821" s="102"/>
      <c r="O2821" s="102"/>
      <c r="P2821" s="102"/>
      <c r="Q2821" s="102"/>
      <c r="R2821" s="102"/>
    </row>
    <row r="2822" spans="1:18" ht="35.1" customHeight="1" x14ac:dyDescent="0.2">
      <c r="A2822" s="99"/>
      <c r="B2822" s="99"/>
      <c r="C2822" s="102"/>
      <c r="D2822" s="102"/>
      <c r="E2822" s="102"/>
      <c r="F2822" s="102"/>
      <c r="G2822" s="102"/>
      <c r="H2822" s="102"/>
      <c r="I2822" s="102"/>
      <c r="J2822" s="102"/>
      <c r="K2822" s="102"/>
      <c r="L2822" s="102"/>
      <c r="M2822" s="102"/>
      <c r="N2822" s="102"/>
      <c r="O2822" s="102"/>
      <c r="P2822" s="102"/>
      <c r="Q2822" s="102"/>
      <c r="R2822" s="102"/>
    </row>
    <row r="2823" spans="1:18" ht="35.1" customHeight="1" x14ac:dyDescent="0.2">
      <c r="A2823" s="99"/>
      <c r="B2823" s="99"/>
      <c r="C2823" s="102"/>
      <c r="D2823" s="102"/>
      <c r="E2823" s="102"/>
      <c r="F2823" s="102"/>
      <c r="G2823" s="102"/>
      <c r="H2823" s="102"/>
      <c r="I2823" s="102"/>
      <c r="J2823" s="102"/>
      <c r="K2823" s="102"/>
      <c r="L2823" s="102"/>
      <c r="M2823" s="102"/>
      <c r="N2823" s="102"/>
      <c r="O2823" s="102"/>
      <c r="P2823" s="102"/>
      <c r="Q2823" s="102"/>
      <c r="R2823" s="102"/>
    </row>
    <row r="2824" spans="1:18" ht="35.1" customHeight="1" x14ac:dyDescent="0.2">
      <c r="A2824" s="99"/>
      <c r="B2824" s="99"/>
      <c r="C2824" s="102"/>
      <c r="D2824" s="102"/>
      <c r="E2824" s="102"/>
      <c r="F2824" s="102"/>
      <c r="G2824" s="102"/>
      <c r="H2824" s="102"/>
      <c r="I2824" s="102"/>
      <c r="J2824" s="102"/>
      <c r="K2824" s="102"/>
      <c r="L2824" s="102"/>
      <c r="M2824" s="102"/>
      <c r="N2824" s="102"/>
      <c r="O2824" s="102"/>
      <c r="P2824" s="102"/>
      <c r="Q2824" s="102"/>
      <c r="R2824" s="102"/>
    </row>
    <row r="2825" spans="1:18" ht="35.1" customHeight="1" x14ac:dyDescent="0.2">
      <c r="A2825" s="99"/>
      <c r="B2825" s="99"/>
      <c r="C2825" s="102"/>
      <c r="D2825" s="102"/>
      <c r="E2825" s="102"/>
      <c r="F2825" s="102"/>
      <c r="G2825" s="102"/>
      <c r="H2825" s="102"/>
      <c r="I2825" s="102"/>
      <c r="J2825" s="102"/>
      <c r="K2825" s="102"/>
      <c r="L2825" s="102"/>
      <c r="M2825" s="102"/>
      <c r="N2825" s="102"/>
      <c r="O2825" s="102"/>
      <c r="P2825" s="102"/>
      <c r="Q2825" s="102"/>
      <c r="R2825" s="102"/>
    </row>
    <row r="2826" spans="1:18" ht="35.1" customHeight="1" x14ac:dyDescent="0.2">
      <c r="A2826" s="99"/>
      <c r="B2826" s="99"/>
      <c r="C2826" s="102"/>
      <c r="D2826" s="102"/>
      <c r="E2826" s="102"/>
      <c r="F2826" s="102"/>
      <c r="G2826" s="102"/>
      <c r="H2826" s="102"/>
      <c r="I2826" s="102"/>
      <c r="J2826" s="102"/>
      <c r="K2826" s="102"/>
      <c r="L2826" s="102"/>
      <c r="M2826" s="102"/>
      <c r="N2826" s="102"/>
      <c r="O2826" s="102"/>
      <c r="P2826" s="102"/>
      <c r="Q2826" s="102"/>
      <c r="R2826" s="102"/>
    </row>
    <row r="2827" spans="1:18" ht="35.1" customHeight="1" x14ac:dyDescent="0.2">
      <c r="A2827" s="99"/>
      <c r="B2827" s="99"/>
      <c r="C2827" s="102"/>
      <c r="D2827" s="102"/>
      <c r="E2827" s="102"/>
      <c r="F2827" s="102"/>
      <c r="G2827" s="102"/>
      <c r="H2827" s="102"/>
      <c r="I2827" s="102"/>
      <c r="J2827" s="102"/>
      <c r="K2827" s="102"/>
      <c r="L2827" s="102"/>
      <c r="M2827" s="102"/>
      <c r="N2827" s="102"/>
      <c r="O2827" s="102"/>
      <c r="P2827" s="102"/>
      <c r="Q2827" s="102"/>
      <c r="R2827" s="102"/>
    </row>
    <row r="2828" spans="1:18" ht="35.1" customHeight="1" x14ac:dyDescent="0.2">
      <c r="A2828" s="99"/>
      <c r="B2828" s="99"/>
      <c r="C2828" s="102"/>
      <c r="D2828" s="102"/>
      <c r="E2828" s="102"/>
      <c r="F2828" s="102"/>
      <c r="G2828" s="102"/>
      <c r="H2828" s="102"/>
      <c r="I2828" s="102"/>
      <c r="J2828" s="102"/>
      <c r="K2828" s="102"/>
      <c r="L2828" s="102"/>
      <c r="M2828" s="102"/>
      <c r="N2828" s="102"/>
      <c r="O2828" s="102"/>
      <c r="P2828" s="102"/>
      <c r="Q2828" s="102"/>
      <c r="R2828" s="102"/>
    </row>
    <row r="2829" spans="1:18" ht="35.1" customHeight="1" x14ac:dyDescent="0.2">
      <c r="A2829" s="99"/>
      <c r="B2829" s="99"/>
      <c r="C2829" s="102"/>
      <c r="D2829" s="102"/>
      <c r="E2829" s="102"/>
      <c r="F2829" s="102"/>
      <c r="G2829" s="102"/>
      <c r="H2829" s="102"/>
      <c r="I2829" s="102"/>
      <c r="J2829" s="102"/>
      <c r="K2829" s="102"/>
      <c r="L2829" s="102"/>
      <c r="M2829" s="102"/>
      <c r="N2829" s="102"/>
      <c r="O2829" s="102"/>
      <c r="P2829" s="102"/>
      <c r="Q2829" s="102"/>
      <c r="R2829" s="102"/>
    </row>
    <row r="2830" spans="1:18" ht="35.1" customHeight="1" x14ac:dyDescent="0.2">
      <c r="A2830" s="99"/>
      <c r="B2830" s="99"/>
      <c r="C2830" s="102"/>
      <c r="D2830" s="102"/>
      <c r="E2830" s="102"/>
      <c r="F2830" s="102"/>
      <c r="G2830" s="102"/>
      <c r="H2830" s="102"/>
      <c r="I2830" s="102"/>
      <c r="J2830" s="102"/>
      <c r="K2830" s="102"/>
      <c r="L2830" s="102"/>
      <c r="M2830" s="102"/>
      <c r="N2830" s="102"/>
      <c r="O2830" s="102"/>
      <c r="P2830" s="102"/>
      <c r="Q2830" s="102"/>
      <c r="R2830" s="102"/>
    </row>
    <row r="2831" spans="1:18" ht="35.1" customHeight="1" x14ac:dyDescent="0.2">
      <c r="A2831" s="99"/>
      <c r="B2831" s="99"/>
      <c r="C2831" s="102"/>
      <c r="D2831" s="102"/>
      <c r="E2831" s="102"/>
      <c r="F2831" s="102"/>
      <c r="G2831" s="102"/>
      <c r="H2831" s="102"/>
      <c r="I2831" s="102"/>
      <c r="J2831" s="102"/>
      <c r="K2831" s="102"/>
      <c r="L2831" s="102"/>
      <c r="M2831" s="102"/>
      <c r="N2831" s="102"/>
      <c r="O2831" s="102"/>
      <c r="P2831" s="102"/>
      <c r="Q2831" s="102"/>
      <c r="R2831" s="102"/>
    </row>
    <row r="2832" spans="1:18" ht="35.1" customHeight="1" x14ac:dyDescent="0.2">
      <c r="A2832" s="99"/>
      <c r="B2832" s="99"/>
      <c r="C2832" s="102"/>
      <c r="D2832" s="102"/>
      <c r="E2832" s="102"/>
      <c r="F2832" s="102"/>
      <c r="G2832" s="102"/>
      <c r="H2832" s="102"/>
      <c r="I2832" s="102"/>
      <c r="J2832" s="102"/>
      <c r="K2832" s="102"/>
      <c r="L2832" s="102"/>
      <c r="M2832" s="102"/>
      <c r="N2832" s="102"/>
      <c r="O2832" s="102"/>
      <c r="P2832" s="102"/>
      <c r="Q2832" s="102"/>
      <c r="R2832" s="102"/>
    </row>
    <row r="2833" spans="1:18" ht="35.1" customHeight="1" x14ac:dyDescent="0.2">
      <c r="A2833" s="99"/>
      <c r="B2833" s="99"/>
      <c r="C2833" s="102"/>
      <c r="D2833" s="102"/>
      <c r="E2833" s="102"/>
      <c r="F2833" s="102"/>
      <c r="G2833" s="102"/>
      <c r="H2833" s="102"/>
      <c r="I2833" s="102"/>
      <c r="J2833" s="102"/>
      <c r="K2833" s="102"/>
      <c r="L2833" s="102"/>
      <c r="M2833" s="102"/>
      <c r="N2833" s="102"/>
      <c r="O2833" s="102"/>
      <c r="P2833" s="102"/>
      <c r="Q2833" s="102"/>
      <c r="R2833" s="102"/>
    </row>
    <row r="2834" spans="1:18" ht="35.1" customHeight="1" x14ac:dyDescent="0.2">
      <c r="A2834" s="99"/>
      <c r="B2834" s="99"/>
      <c r="C2834" s="102"/>
      <c r="D2834" s="102"/>
      <c r="E2834" s="102"/>
      <c r="F2834" s="102"/>
      <c r="G2834" s="102"/>
      <c r="H2834" s="102"/>
      <c r="I2834" s="102"/>
      <c r="J2834" s="102"/>
      <c r="K2834" s="102"/>
      <c r="L2834" s="102"/>
      <c r="M2834" s="102"/>
      <c r="N2834" s="102"/>
      <c r="O2834" s="102"/>
      <c r="P2834" s="102"/>
      <c r="Q2834" s="102"/>
      <c r="R2834" s="102"/>
    </row>
    <row r="2835" spans="1:18" ht="35.1" customHeight="1" x14ac:dyDescent="0.2">
      <c r="A2835" s="99"/>
      <c r="B2835" s="99"/>
      <c r="C2835" s="102"/>
      <c r="D2835" s="102"/>
      <c r="E2835" s="102"/>
      <c r="F2835" s="102"/>
      <c r="G2835" s="102"/>
      <c r="H2835" s="102"/>
      <c r="I2835" s="102"/>
      <c r="J2835" s="102"/>
      <c r="K2835" s="102"/>
      <c r="L2835" s="102"/>
      <c r="M2835" s="102"/>
      <c r="N2835" s="102"/>
      <c r="O2835" s="102"/>
      <c r="P2835" s="102"/>
      <c r="Q2835" s="102"/>
      <c r="R2835" s="102"/>
    </row>
    <row r="2836" spans="1:18" ht="35.1" customHeight="1" x14ac:dyDescent="0.2">
      <c r="A2836" s="99"/>
      <c r="B2836" s="99"/>
      <c r="C2836" s="102"/>
      <c r="D2836" s="102"/>
      <c r="E2836" s="102"/>
      <c r="F2836" s="102"/>
      <c r="G2836" s="102"/>
      <c r="H2836" s="102"/>
      <c r="I2836" s="102"/>
      <c r="J2836" s="102"/>
      <c r="K2836" s="102"/>
      <c r="L2836" s="102"/>
      <c r="M2836" s="102"/>
      <c r="N2836" s="102"/>
      <c r="O2836" s="102"/>
      <c r="P2836" s="102"/>
      <c r="Q2836" s="102"/>
      <c r="R2836" s="102"/>
    </row>
    <row r="2837" spans="1:18" ht="35.1" customHeight="1" x14ac:dyDescent="0.2">
      <c r="A2837" s="99"/>
      <c r="B2837" s="99"/>
      <c r="C2837" s="102"/>
      <c r="D2837" s="102"/>
      <c r="E2837" s="102"/>
      <c r="F2837" s="102"/>
      <c r="G2837" s="102"/>
      <c r="H2837" s="102"/>
      <c r="I2837" s="102"/>
      <c r="J2837" s="102"/>
      <c r="K2837" s="102"/>
      <c r="L2837" s="102"/>
      <c r="M2837" s="102"/>
      <c r="N2837" s="102"/>
      <c r="O2837" s="102"/>
      <c r="P2837" s="102"/>
      <c r="Q2837" s="102"/>
      <c r="R2837" s="102"/>
    </row>
    <row r="2838" spans="1:18" ht="35.1" customHeight="1" x14ac:dyDescent="0.2">
      <c r="A2838" s="99"/>
      <c r="B2838" s="99"/>
      <c r="C2838" s="102"/>
      <c r="D2838" s="102"/>
      <c r="E2838" s="102"/>
      <c r="F2838" s="102"/>
      <c r="G2838" s="102"/>
      <c r="H2838" s="102"/>
      <c r="I2838" s="102"/>
      <c r="J2838" s="102"/>
      <c r="K2838" s="102"/>
      <c r="L2838" s="102"/>
      <c r="M2838" s="102"/>
      <c r="N2838" s="102"/>
      <c r="O2838" s="102"/>
      <c r="P2838" s="102"/>
      <c r="Q2838" s="102"/>
      <c r="R2838" s="102"/>
    </row>
    <row r="2839" spans="1:18" ht="35.1" customHeight="1" x14ac:dyDescent="0.2">
      <c r="A2839" s="99"/>
      <c r="B2839" s="99"/>
      <c r="C2839" s="102"/>
      <c r="D2839" s="102"/>
      <c r="E2839" s="102"/>
      <c r="F2839" s="102"/>
      <c r="G2839" s="102"/>
      <c r="H2839" s="102"/>
      <c r="I2839" s="102"/>
      <c r="J2839" s="102"/>
      <c r="K2839" s="102"/>
      <c r="L2839" s="102"/>
      <c r="M2839" s="102"/>
      <c r="N2839" s="102"/>
      <c r="O2839" s="102"/>
      <c r="P2839" s="102"/>
      <c r="Q2839" s="102"/>
      <c r="R2839" s="102"/>
    </row>
    <row r="2840" spans="1:18" ht="35.1" customHeight="1" x14ac:dyDescent="0.2">
      <c r="A2840" s="99"/>
      <c r="B2840" s="99"/>
      <c r="C2840" s="102"/>
      <c r="D2840" s="102"/>
      <c r="E2840" s="102"/>
      <c r="F2840" s="102"/>
      <c r="G2840" s="102"/>
      <c r="H2840" s="102"/>
      <c r="I2840" s="102"/>
      <c r="J2840" s="102"/>
      <c r="K2840" s="102"/>
      <c r="L2840" s="102"/>
      <c r="M2840" s="102"/>
      <c r="N2840" s="102"/>
      <c r="O2840" s="102"/>
      <c r="P2840" s="102"/>
      <c r="Q2840" s="102"/>
      <c r="R2840" s="102"/>
    </row>
    <row r="2841" spans="1:18" ht="35.1" customHeight="1" x14ac:dyDescent="0.2">
      <c r="A2841" s="99"/>
      <c r="B2841" s="99"/>
      <c r="C2841" s="102"/>
      <c r="D2841" s="102"/>
      <c r="E2841" s="102"/>
      <c r="F2841" s="102"/>
      <c r="G2841" s="102"/>
      <c r="H2841" s="102"/>
      <c r="I2841" s="102"/>
      <c r="J2841" s="102"/>
      <c r="K2841" s="102"/>
      <c r="L2841" s="102"/>
      <c r="M2841" s="102"/>
      <c r="N2841" s="102"/>
      <c r="O2841" s="102"/>
      <c r="P2841" s="102"/>
      <c r="Q2841" s="102"/>
      <c r="R2841" s="102"/>
    </row>
    <row r="2842" spans="1:18" ht="35.1" customHeight="1" x14ac:dyDescent="0.2">
      <c r="A2842" s="99"/>
      <c r="B2842" s="99"/>
      <c r="C2842" s="102"/>
      <c r="D2842" s="102"/>
      <c r="E2842" s="102"/>
      <c r="F2842" s="102"/>
      <c r="G2842" s="102"/>
      <c r="H2842" s="102"/>
      <c r="I2842" s="102"/>
      <c r="J2842" s="102"/>
      <c r="K2842" s="102"/>
      <c r="L2842" s="102"/>
      <c r="M2842" s="102"/>
      <c r="N2842" s="102"/>
      <c r="O2842" s="102"/>
      <c r="P2842" s="102"/>
      <c r="Q2842" s="102"/>
      <c r="R2842" s="102"/>
    </row>
    <row r="2843" spans="1:18" ht="35.1" customHeight="1" x14ac:dyDescent="0.2">
      <c r="A2843" s="99"/>
      <c r="B2843" s="99"/>
      <c r="C2843" s="102"/>
      <c r="D2843" s="102"/>
      <c r="E2843" s="102"/>
      <c r="F2843" s="102"/>
      <c r="G2843" s="102"/>
      <c r="H2843" s="102"/>
      <c r="I2843" s="102"/>
      <c r="J2843" s="102"/>
      <c r="K2843" s="102"/>
      <c r="L2843" s="102"/>
      <c r="M2843" s="102"/>
      <c r="N2843" s="102"/>
      <c r="O2843" s="102"/>
      <c r="P2843" s="102"/>
      <c r="Q2843" s="102"/>
      <c r="R2843" s="102"/>
    </row>
    <row r="2844" spans="1:18" ht="35.1" customHeight="1" x14ac:dyDescent="0.2">
      <c r="A2844" s="99"/>
      <c r="B2844" s="99"/>
      <c r="C2844" s="102"/>
      <c r="D2844" s="102"/>
      <c r="E2844" s="102"/>
      <c r="F2844" s="102"/>
      <c r="G2844" s="102"/>
      <c r="H2844" s="102"/>
      <c r="I2844" s="102"/>
      <c r="J2844" s="102"/>
      <c r="K2844" s="102"/>
      <c r="L2844" s="102"/>
      <c r="M2844" s="102"/>
      <c r="N2844" s="102"/>
      <c r="O2844" s="102"/>
      <c r="P2844" s="102"/>
      <c r="Q2844" s="102"/>
      <c r="R2844" s="102"/>
    </row>
    <row r="2845" spans="1:18" ht="35.1" customHeight="1" x14ac:dyDescent="0.2">
      <c r="A2845" s="99"/>
      <c r="B2845" s="99"/>
      <c r="C2845" s="102"/>
      <c r="D2845" s="102"/>
      <c r="E2845" s="102"/>
      <c r="F2845" s="102"/>
      <c r="G2845" s="102"/>
      <c r="H2845" s="102"/>
      <c r="I2845" s="102"/>
      <c r="J2845" s="102"/>
      <c r="K2845" s="102"/>
      <c r="L2845" s="102"/>
      <c r="M2845" s="102"/>
      <c r="N2845" s="102"/>
      <c r="O2845" s="102"/>
      <c r="P2845" s="102"/>
      <c r="Q2845" s="102"/>
      <c r="R2845" s="102"/>
    </row>
    <row r="2846" spans="1:18" ht="35.1" customHeight="1" x14ac:dyDescent="0.2">
      <c r="A2846" s="99"/>
      <c r="B2846" s="99"/>
      <c r="C2846" s="102"/>
      <c r="D2846" s="102"/>
      <c r="E2846" s="102"/>
      <c r="F2846" s="102"/>
      <c r="G2846" s="102"/>
      <c r="H2846" s="102"/>
      <c r="I2846" s="102"/>
      <c r="J2846" s="102"/>
      <c r="K2846" s="102"/>
      <c r="L2846" s="102"/>
      <c r="M2846" s="102"/>
      <c r="N2846" s="102"/>
      <c r="O2846" s="102"/>
      <c r="P2846" s="102"/>
      <c r="Q2846" s="102"/>
      <c r="R2846" s="102"/>
    </row>
    <row r="2847" spans="1:18" ht="35.1" customHeight="1" x14ac:dyDescent="0.2">
      <c r="A2847" s="99"/>
      <c r="B2847" s="99"/>
      <c r="C2847" s="102"/>
      <c r="D2847" s="102"/>
      <c r="E2847" s="102"/>
      <c r="F2847" s="102"/>
      <c r="G2847" s="102"/>
      <c r="H2847" s="102"/>
      <c r="I2847" s="102"/>
      <c r="J2847" s="102"/>
      <c r="K2847" s="102"/>
      <c r="L2847" s="102"/>
      <c r="M2847" s="102"/>
      <c r="N2847" s="102"/>
      <c r="O2847" s="102"/>
      <c r="P2847" s="102"/>
      <c r="Q2847" s="102"/>
      <c r="R2847" s="102"/>
    </row>
    <row r="2848" spans="1:18" ht="35.1" customHeight="1" x14ac:dyDescent="0.2">
      <c r="A2848" s="99"/>
      <c r="B2848" s="99"/>
      <c r="C2848" s="102"/>
      <c r="D2848" s="102"/>
      <c r="E2848" s="102"/>
      <c r="F2848" s="102"/>
      <c r="G2848" s="102"/>
      <c r="H2848" s="102"/>
      <c r="I2848" s="102"/>
      <c r="J2848" s="102"/>
      <c r="K2848" s="102"/>
      <c r="L2848" s="102"/>
      <c r="M2848" s="102"/>
      <c r="N2848" s="102"/>
      <c r="O2848" s="102"/>
      <c r="P2848" s="102"/>
      <c r="Q2848" s="102"/>
      <c r="R2848" s="102"/>
    </row>
    <row r="2849" spans="1:18" ht="35.1" customHeight="1" x14ac:dyDescent="0.2">
      <c r="A2849" s="99"/>
      <c r="B2849" s="99"/>
      <c r="C2849" s="102"/>
      <c r="D2849" s="102"/>
      <c r="E2849" s="102"/>
      <c r="F2849" s="102"/>
      <c r="G2849" s="102"/>
      <c r="H2849" s="102"/>
      <c r="I2849" s="102"/>
      <c r="J2849" s="102"/>
      <c r="K2849" s="102"/>
      <c r="L2849" s="102"/>
      <c r="M2849" s="102"/>
      <c r="N2849" s="102"/>
      <c r="O2849" s="102"/>
      <c r="P2849" s="102"/>
      <c r="Q2849" s="102"/>
      <c r="R2849" s="102"/>
    </row>
    <row r="2850" spans="1:18" ht="35.1" customHeight="1" x14ac:dyDescent="0.2">
      <c r="A2850" s="99"/>
      <c r="B2850" s="99"/>
      <c r="C2850" s="102"/>
      <c r="D2850" s="102"/>
      <c r="E2850" s="102"/>
      <c r="F2850" s="102"/>
      <c r="G2850" s="102"/>
      <c r="H2850" s="102"/>
      <c r="I2850" s="102"/>
      <c r="J2850" s="102"/>
      <c r="K2850" s="102"/>
      <c r="L2850" s="102"/>
      <c r="M2850" s="102"/>
      <c r="N2850" s="102"/>
      <c r="O2850" s="102"/>
      <c r="P2850" s="102"/>
      <c r="Q2850" s="102"/>
      <c r="R2850" s="102"/>
    </row>
    <row r="2851" spans="1:18" ht="35.1" customHeight="1" x14ac:dyDescent="0.2">
      <c r="A2851" s="99"/>
      <c r="B2851" s="99"/>
      <c r="C2851" s="102"/>
      <c r="D2851" s="102"/>
      <c r="E2851" s="102"/>
      <c r="F2851" s="102"/>
      <c r="G2851" s="102"/>
      <c r="H2851" s="102"/>
      <c r="I2851" s="102"/>
      <c r="J2851" s="102"/>
      <c r="K2851" s="102"/>
      <c r="L2851" s="102"/>
      <c r="M2851" s="102"/>
      <c r="N2851" s="102"/>
      <c r="O2851" s="102"/>
      <c r="P2851" s="102"/>
      <c r="Q2851" s="102"/>
      <c r="R2851" s="102"/>
    </row>
    <row r="2852" spans="1:18" ht="35.1" customHeight="1" x14ac:dyDescent="0.2">
      <c r="A2852" s="99"/>
      <c r="B2852" s="99"/>
      <c r="C2852" s="102"/>
      <c r="D2852" s="102"/>
      <c r="E2852" s="102"/>
      <c r="F2852" s="102"/>
      <c r="G2852" s="102"/>
      <c r="H2852" s="102"/>
      <c r="I2852" s="102"/>
      <c r="J2852" s="102"/>
      <c r="K2852" s="102"/>
      <c r="L2852" s="102"/>
      <c r="M2852" s="102"/>
      <c r="N2852" s="102"/>
      <c r="O2852" s="102"/>
      <c r="P2852" s="102"/>
      <c r="Q2852" s="102"/>
      <c r="R2852" s="102"/>
    </row>
    <row r="2853" spans="1:18" ht="35.1" customHeight="1" x14ac:dyDescent="0.2">
      <c r="A2853" s="99"/>
      <c r="B2853" s="99"/>
      <c r="C2853" s="102"/>
      <c r="D2853" s="102"/>
      <c r="E2853" s="102"/>
      <c r="F2853" s="102"/>
      <c r="G2853" s="102"/>
      <c r="H2853" s="102"/>
      <c r="I2853" s="102"/>
      <c r="J2853" s="102"/>
      <c r="K2853" s="102"/>
      <c r="L2853" s="102"/>
      <c r="M2853" s="102"/>
      <c r="N2853" s="102"/>
      <c r="O2853" s="102"/>
      <c r="P2853" s="102"/>
      <c r="Q2853" s="102"/>
      <c r="R2853" s="102"/>
    </row>
    <row r="2854" spans="1:18" ht="35.1" customHeight="1" x14ac:dyDescent="0.2">
      <c r="A2854" s="99"/>
      <c r="B2854" s="99"/>
      <c r="C2854" s="102"/>
      <c r="D2854" s="102"/>
      <c r="E2854" s="102"/>
      <c r="F2854" s="102"/>
      <c r="G2854" s="102"/>
      <c r="H2854" s="102"/>
      <c r="I2854" s="102"/>
      <c r="J2854" s="102"/>
      <c r="K2854" s="102"/>
      <c r="L2854" s="102"/>
      <c r="M2854" s="102"/>
      <c r="N2854" s="102"/>
      <c r="O2854" s="102"/>
      <c r="P2854" s="102"/>
      <c r="Q2854" s="102"/>
      <c r="R2854" s="102"/>
    </row>
    <row r="2855" spans="1:18" ht="35.1" customHeight="1" x14ac:dyDescent="0.2">
      <c r="A2855" s="99"/>
      <c r="B2855" s="99"/>
      <c r="C2855" s="102"/>
      <c r="D2855" s="102"/>
      <c r="E2855" s="102"/>
      <c r="F2855" s="102"/>
      <c r="G2855" s="102"/>
      <c r="H2855" s="102"/>
      <c r="I2855" s="102"/>
      <c r="J2855" s="102"/>
      <c r="K2855" s="102"/>
      <c r="L2855" s="102"/>
      <c r="M2855" s="102"/>
      <c r="N2855" s="102"/>
      <c r="O2855" s="102"/>
      <c r="P2855" s="102"/>
      <c r="Q2855" s="102"/>
      <c r="R2855" s="102"/>
    </row>
    <row r="2856" spans="1:18" ht="35.1" customHeight="1" x14ac:dyDescent="0.2">
      <c r="A2856" s="99"/>
      <c r="B2856" s="99"/>
      <c r="C2856" s="102"/>
      <c r="D2856" s="102"/>
      <c r="E2856" s="102"/>
      <c r="F2856" s="102"/>
      <c r="G2856" s="102"/>
      <c r="H2856" s="102"/>
      <c r="I2856" s="102"/>
      <c r="J2856" s="102"/>
      <c r="K2856" s="102"/>
      <c r="L2856" s="102"/>
      <c r="M2856" s="102"/>
      <c r="N2856" s="102"/>
      <c r="O2856" s="102"/>
      <c r="P2856" s="102"/>
      <c r="Q2856" s="102"/>
      <c r="R2856" s="102"/>
    </row>
    <row r="2857" spans="1:18" ht="35.1" customHeight="1" x14ac:dyDescent="0.2">
      <c r="A2857" s="99"/>
      <c r="B2857" s="99"/>
      <c r="C2857" s="102"/>
      <c r="D2857" s="102"/>
      <c r="E2857" s="102"/>
      <c r="F2857" s="102"/>
      <c r="G2857" s="102"/>
      <c r="H2857" s="102"/>
      <c r="I2857" s="102"/>
      <c r="J2857" s="102"/>
      <c r="K2857" s="102"/>
      <c r="L2857" s="102"/>
      <c r="M2857" s="102"/>
      <c r="N2857" s="102"/>
      <c r="O2857" s="102"/>
      <c r="P2857" s="102"/>
      <c r="Q2857" s="102"/>
      <c r="R2857" s="102"/>
    </row>
    <row r="2858" spans="1:18" ht="35.1" customHeight="1" x14ac:dyDescent="0.2">
      <c r="A2858" s="99"/>
      <c r="B2858" s="99"/>
      <c r="C2858" s="102"/>
      <c r="D2858" s="102"/>
      <c r="E2858" s="102"/>
      <c r="F2858" s="102"/>
      <c r="G2858" s="102"/>
      <c r="H2858" s="102"/>
      <c r="I2858" s="102"/>
      <c r="J2858" s="102"/>
      <c r="K2858" s="102"/>
      <c r="L2858" s="102"/>
      <c r="M2858" s="102"/>
      <c r="N2858" s="102"/>
      <c r="O2858" s="102"/>
      <c r="P2858" s="102"/>
      <c r="Q2858" s="102"/>
      <c r="R2858" s="102"/>
    </row>
    <row r="2859" spans="1:18" ht="35.1" customHeight="1" x14ac:dyDescent="0.2">
      <c r="A2859" s="99"/>
      <c r="B2859" s="99"/>
      <c r="C2859" s="102"/>
      <c r="D2859" s="102"/>
      <c r="E2859" s="102"/>
      <c r="F2859" s="102"/>
      <c r="G2859" s="102"/>
      <c r="H2859" s="102"/>
      <c r="I2859" s="102"/>
      <c r="J2859" s="102"/>
      <c r="K2859" s="102"/>
      <c r="L2859" s="102"/>
      <c r="M2859" s="102"/>
      <c r="N2859" s="102"/>
      <c r="O2859" s="102"/>
      <c r="P2859" s="102"/>
      <c r="Q2859" s="102"/>
      <c r="R2859" s="102"/>
    </row>
    <row r="2860" spans="1:18" ht="35.1" customHeight="1" x14ac:dyDescent="0.2">
      <c r="A2860" s="99"/>
      <c r="B2860" s="99"/>
      <c r="C2860" s="102"/>
      <c r="D2860" s="102"/>
      <c r="E2860" s="102"/>
      <c r="F2860" s="102"/>
      <c r="G2860" s="102"/>
      <c r="H2860" s="102"/>
      <c r="I2860" s="102"/>
      <c r="J2860" s="102"/>
      <c r="K2860" s="102"/>
      <c r="L2860" s="102"/>
      <c r="M2860" s="102"/>
      <c r="N2860" s="102"/>
      <c r="O2860" s="102"/>
      <c r="P2860" s="102"/>
      <c r="Q2860" s="102"/>
      <c r="R2860" s="102"/>
    </row>
    <row r="2861" spans="1:18" ht="35.1" customHeight="1" x14ac:dyDescent="0.2">
      <c r="A2861" s="99"/>
      <c r="B2861" s="99"/>
      <c r="C2861" s="102"/>
      <c r="D2861" s="102"/>
      <c r="E2861" s="102"/>
      <c r="F2861" s="102"/>
      <c r="G2861" s="102"/>
      <c r="H2861" s="102"/>
      <c r="I2861" s="102"/>
      <c r="J2861" s="102"/>
      <c r="K2861" s="102"/>
      <c r="L2861" s="102"/>
      <c r="M2861" s="102"/>
      <c r="N2861" s="102"/>
      <c r="O2861" s="102"/>
      <c r="P2861" s="102"/>
      <c r="Q2861" s="102"/>
      <c r="R2861" s="102"/>
    </row>
    <row r="2862" spans="1:18" ht="35.1" customHeight="1" x14ac:dyDescent="0.2">
      <c r="A2862" s="99"/>
      <c r="B2862" s="99"/>
      <c r="C2862" s="102"/>
      <c r="D2862" s="102"/>
      <c r="E2862" s="102"/>
      <c r="F2862" s="102"/>
      <c r="G2862" s="102"/>
      <c r="H2862" s="102"/>
      <c r="I2862" s="102"/>
      <c r="J2862" s="102"/>
      <c r="K2862" s="102"/>
      <c r="L2862" s="102"/>
      <c r="M2862" s="102"/>
      <c r="N2862" s="102"/>
      <c r="O2862" s="102"/>
      <c r="P2862" s="102"/>
      <c r="Q2862" s="102"/>
      <c r="R2862" s="102"/>
    </row>
    <row r="2863" spans="1:18" ht="35.1" customHeight="1" x14ac:dyDescent="0.2">
      <c r="A2863" s="99"/>
      <c r="B2863" s="99"/>
      <c r="C2863" s="102"/>
      <c r="D2863" s="102"/>
      <c r="E2863" s="102"/>
      <c r="F2863" s="102"/>
      <c r="G2863" s="102"/>
      <c r="H2863" s="102"/>
      <c r="I2863" s="102"/>
      <c r="J2863" s="102"/>
      <c r="K2863" s="102"/>
      <c r="L2863" s="102"/>
      <c r="M2863" s="102"/>
      <c r="N2863" s="102"/>
      <c r="O2863" s="102"/>
      <c r="P2863" s="102"/>
      <c r="Q2863" s="102"/>
      <c r="R2863" s="102"/>
    </row>
    <row r="2864" spans="1:18" ht="35.1" customHeight="1" x14ac:dyDescent="0.2">
      <c r="A2864" s="99"/>
      <c r="B2864" s="99"/>
      <c r="C2864" s="102"/>
      <c r="D2864" s="102"/>
      <c r="E2864" s="102"/>
      <c r="F2864" s="102"/>
      <c r="G2864" s="102"/>
      <c r="H2864" s="102"/>
      <c r="I2864" s="102"/>
      <c r="J2864" s="102"/>
      <c r="K2864" s="102"/>
      <c r="L2864" s="102"/>
      <c r="M2864" s="102"/>
      <c r="N2864" s="102"/>
      <c r="O2864" s="102"/>
      <c r="P2864" s="102"/>
      <c r="Q2864" s="102"/>
      <c r="R2864" s="102"/>
    </row>
    <row r="2865" spans="1:18" ht="35.1" customHeight="1" x14ac:dyDescent="0.2">
      <c r="A2865" s="99"/>
      <c r="B2865" s="99"/>
      <c r="C2865" s="102"/>
      <c r="D2865" s="102"/>
      <c r="E2865" s="102"/>
      <c r="F2865" s="102"/>
      <c r="G2865" s="102"/>
      <c r="H2865" s="102"/>
      <c r="I2865" s="102"/>
      <c r="J2865" s="102"/>
      <c r="K2865" s="102"/>
      <c r="L2865" s="102"/>
      <c r="M2865" s="102"/>
      <c r="N2865" s="102"/>
      <c r="O2865" s="102"/>
      <c r="P2865" s="102"/>
      <c r="Q2865" s="102"/>
      <c r="R2865" s="102"/>
    </row>
    <row r="2866" spans="1:18" ht="35.1" customHeight="1" x14ac:dyDescent="0.2">
      <c r="A2866" s="99"/>
      <c r="B2866" s="99"/>
      <c r="C2866" s="102"/>
      <c r="D2866" s="102"/>
      <c r="E2866" s="102"/>
      <c r="F2866" s="102"/>
      <c r="G2866" s="102"/>
      <c r="H2866" s="102"/>
      <c r="I2866" s="102"/>
      <c r="J2866" s="102"/>
      <c r="K2866" s="102"/>
      <c r="L2866" s="102"/>
      <c r="M2866" s="102"/>
      <c r="N2866" s="102"/>
      <c r="O2866" s="102"/>
      <c r="P2866" s="102"/>
      <c r="Q2866" s="102"/>
      <c r="R2866" s="102"/>
    </row>
    <row r="2867" spans="1:18" ht="35.1" customHeight="1" x14ac:dyDescent="0.2">
      <c r="A2867" s="99"/>
      <c r="B2867" s="99"/>
      <c r="C2867" s="102"/>
      <c r="D2867" s="102"/>
      <c r="E2867" s="102"/>
      <c r="F2867" s="102"/>
      <c r="G2867" s="102"/>
      <c r="H2867" s="102"/>
      <c r="I2867" s="102"/>
      <c r="J2867" s="102"/>
      <c r="K2867" s="102"/>
      <c r="L2867" s="102"/>
      <c r="M2867" s="102"/>
      <c r="N2867" s="102"/>
      <c r="O2867" s="102"/>
      <c r="P2867" s="102"/>
      <c r="Q2867" s="102"/>
      <c r="R2867" s="102"/>
    </row>
    <row r="2868" spans="1:18" ht="35.1" customHeight="1" x14ac:dyDescent="0.2">
      <c r="A2868" s="99"/>
      <c r="B2868" s="99"/>
      <c r="C2868" s="102"/>
      <c r="D2868" s="102"/>
      <c r="E2868" s="102"/>
      <c r="F2868" s="102"/>
      <c r="G2868" s="102"/>
      <c r="H2868" s="102"/>
      <c r="I2868" s="102"/>
      <c r="J2868" s="102"/>
      <c r="K2868" s="102"/>
      <c r="L2868" s="102"/>
      <c r="M2868" s="102"/>
      <c r="N2868" s="102"/>
      <c r="O2868" s="102"/>
      <c r="P2868" s="102"/>
      <c r="Q2868" s="102"/>
      <c r="R2868" s="102"/>
    </row>
    <row r="2869" spans="1:18" ht="35.1" customHeight="1" x14ac:dyDescent="0.2">
      <c r="A2869" s="99"/>
      <c r="B2869" s="99"/>
      <c r="C2869" s="102"/>
      <c r="D2869" s="102"/>
      <c r="E2869" s="102"/>
      <c r="F2869" s="102"/>
      <c r="G2869" s="102"/>
      <c r="H2869" s="102"/>
      <c r="I2869" s="102"/>
      <c r="J2869" s="102"/>
      <c r="K2869" s="102"/>
      <c r="L2869" s="102"/>
      <c r="M2869" s="102"/>
      <c r="N2869" s="102"/>
      <c r="O2869" s="102"/>
      <c r="P2869" s="102"/>
      <c r="Q2869" s="102"/>
      <c r="R2869" s="102"/>
    </row>
    <row r="2870" spans="1:18" ht="35.1" customHeight="1" x14ac:dyDescent="0.2">
      <c r="A2870" s="99"/>
      <c r="B2870" s="99"/>
      <c r="C2870" s="102"/>
      <c r="D2870" s="102"/>
      <c r="E2870" s="102"/>
      <c r="F2870" s="102"/>
      <c r="G2870" s="102"/>
      <c r="H2870" s="102"/>
      <c r="I2870" s="102"/>
      <c r="J2870" s="102"/>
      <c r="K2870" s="102"/>
      <c r="L2870" s="102"/>
      <c r="M2870" s="102"/>
      <c r="N2870" s="102"/>
      <c r="O2870" s="102"/>
      <c r="P2870" s="102"/>
      <c r="Q2870" s="102"/>
      <c r="R2870" s="102"/>
    </row>
    <row r="2871" spans="1:18" ht="35.1" customHeight="1" x14ac:dyDescent="0.2">
      <c r="A2871" s="99"/>
      <c r="B2871" s="99"/>
      <c r="C2871" s="102"/>
      <c r="D2871" s="102"/>
      <c r="E2871" s="102"/>
      <c r="F2871" s="102"/>
      <c r="G2871" s="102"/>
      <c r="H2871" s="102"/>
      <c r="I2871" s="102"/>
      <c r="J2871" s="102"/>
      <c r="K2871" s="102"/>
      <c r="L2871" s="102"/>
      <c r="M2871" s="102"/>
      <c r="N2871" s="102"/>
      <c r="O2871" s="102"/>
      <c r="P2871" s="102"/>
      <c r="Q2871" s="102"/>
      <c r="R2871" s="102"/>
    </row>
    <row r="2872" spans="1:18" ht="35.1" customHeight="1" x14ac:dyDescent="0.2">
      <c r="A2872" s="99"/>
      <c r="B2872" s="99"/>
      <c r="C2872" s="102"/>
      <c r="D2872" s="102"/>
      <c r="E2872" s="102"/>
      <c r="F2872" s="102"/>
      <c r="G2872" s="102"/>
      <c r="H2872" s="102"/>
      <c r="I2872" s="102"/>
      <c r="J2872" s="102"/>
      <c r="K2872" s="102"/>
      <c r="L2872" s="102"/>
      <c r="M2872" s="102"/>
      <c r="N2872" s="102"/>
      <c r="O2872" s="102"/>
      <c r="P2872" s="102"/>
      <c r="Q2872" s="102"/>
      <c r="R2872" s="102"/>
    </row>
    <row r="2873" spans="1:18" ht="35.1" customHeight="1" x14ac:dyDescent="0.2">
      <c r="A2873" s="99"/>
      <c r="B2873" s="99"/>
      <c r="C2873" s="102"/>
      <c r="D2873" s="102"/>
      <c r="E2873" s="102"/>
      <c r="F2873" s="102"/>
      <c r="G2873" s="102"/>
      <c r="H2873" s="102"/>
      <c r="I2873" s="102"/>
      <c r="J2873" s="102"/>
      <c r="K2873" s="102"/>
      <c r="L2873" s="102"/>
      <c r="M2873" s="102"/>
      <c r="N2873" s="102"/>
      <c r="O2873" s="102"/>
      <c r="P2873" s="102"/>
      <c r="Q2873" s="102"/>
      <c r="R2873" s="102"/>
    </row>
    <row r="2874" spans="1:18" ht="35.1" customHeight="1" x14ac:dyDescent="0.2">
      <c r="A2874" s="99"/>
      <c r="B2874" s="99"/>
      <c r="C2874" s="102"/>
      <c r="D2874" s="102"/>
      <c r="E2874" s="102"/>
      <c r="F2874" s="102"/>
      <c r="G2874" s="102"/>
      <c r="H2874" s="102"/>
      <c r="I2874" s="102"/>
      <c r="J2874" s="102"/>
      <c r="K2874" s="102"/>
      <c r="L2874" s="102"/>
      <c r="M2874" s="102"/>
      <c r="N2874" s="102"/>
      <c r="O2874" s="102"/>
      <c r="P2874" s="102"/>
      <c r="Q2874" s="102"/>
      <c r="R2874" s="102"/>
    </row>
    <row r="2875" spans="1:18" ht="35.1" customHeight="1" x14ac:dyDescent="0.2">
      <c r="A2875" s="99"/>
      <c r="B2875" s="99"/>
      <c r="C2875" s="102"/>
      <c r="D2875" s="102"/>
      <c r="E2875" s="102"/>
      <c r="F2875" s="102"/>
      <c r="G2875" s="102"/>
      <c r="H2875" s="102"/>
      <c r="I2875" s="102"/>
      <c r="J2875" s="102"/>
      <c r="K2875" s="102"/>
      <c r="L2875" s="102"/>
      <c r="M2875" s="102"/>
      <c r="N2875" s="102"/>
      <c r="O2875" s="102"/>
      <c r="P2875" s="102"/>
      <c r="Q2875" s="102"/>
      <c r="R2875" s="102"/>
    </row>
    <row r="2876" spans="1:18" ht="35.1" customHeight="1" x14ac:dyDescent="0.2">
      <c r="A2876" s="99"/>
      <c r="B2876" s="99"/>
      <c r="C2876" s="102"/>
      <c r="D2876" s="102"/>
      <c r="E2876" s="102"/>
      <c r="F2876" s="102"/>
      <c r="G2876" s="102"/>
      <c r="H2876" s="102"/>
      <c r="I2876" s="102"/>
      <c r="J2876" s="102"/>
      <c r="K2876" s="102"/>
      <c r="L2876" s="102"/>
      <c r="M2876" s="102"/>
      <c r="N2876" s="102"/>
      <c r="O2876" s="102"/>
      <c r="P2876" s="102"/>
      <c r="Q2876" s="102"/>
      <c r="R2876" s="102"/>
    </row>
    <row r="2877" spans="1:18" ht="35.1" customHeight="1" x14ac:dyDescent="0.2">
      <c r="A2877" s="99"/>
      <c r="B2877" s="99"/>
      <c r="C2877" s="102"/>
      <c r="D2877" s="102"/>
      <c r="E2877" s="102"/>
      <c r="F2877" s="102"/>
      <c r="G2877" s="102"/>
      <c r="H2877" s="102"/>
      <c r="I2877" s="102"/>
      <c r="J2877" s="102"/>
      <c r="K2877" s="102"/>
      <c r="L2877" s="102"/>
      <c r="M2877" s="102"/>
      <c r="N2877" s="102"/>
      <c r="O2877" s="102"/>
      <c r="P2877" s="102"/>
      <c r="Q2877" s="102"/>
      <c r="R2877" s="102"/>
    </row>
    <row r="2878" spans="1:18" ht="35.1" customHeight="1" x14ac:dyDescent="0.2">
      <c r="A2878" s="99"/>
      <c r="B2878" s="99"/>
      <c r="C2878" s="102"/>
      <c r="D2878" s="102"/>
      <c r="E2878" s="102"/>
      <c r="F2878" s="102"/>
      <c r="G2878" s="102"/>
      <c r="H2878" s="102"/>
      <c r="I2878" s="102"/>
      <c r="J2878" s="102"/>
      <c r="K2878" s="102"/>
      <c r="L2878" s="102"/>
      <c r="M2878" s="102"/>
      <c r="N2878" s="102"/>
      <c r="O2878" s="102"/>
      <c r="P2878" s="102"/>
      <c r="Q2878" s="102"/>
      <c r="R2878" s="102"/>
    </row>
    <row r="2879" spans="1:18" ht="35.1" customHeight="1" x14ac:dyDescent="0.2">
      <c r="A2879" s="99"/>
      <c r="B2879" s="99"/>
      <c r="C2879" s="102"/>
      <c r="D2879" s="102"/>
      <c r="E2879" s="102"/>
      <c r="F2879" s="102"/>
      <c r="G2879" s="102"/>
      <c r="H2879" s="102"/>
      <c r="I2879" s="102"/>
      <c r="J2879" s="102"/>
      <c r="K2879" s="102"/>
      <c r="L2879" s="102"/>
      <c r="M2879" s="102"/>
      <c r="N2879" s="102"/>
      <c r="O2879" s="102"/>
      <c r="P2879" s="102"/>
      <c r="Q2879" s="102"/>
      <c r="R2879" s="102"/>
    </row>
    <row r="2880" spans="1:18" ht="35.1" customHeight="1" x14ac:dyDescent="0.2">
      <c r="A2880" s="99"/>
      <c r="B2880" s="99"/>
      <c r="C2880" s="102"/>
      <c r="D2880" s="102"/>
      <c r="E2880" s="102"/>
      <c r="F2880" s="102"/>
      <c r="G2880" s="102"/>
      <c r="H2880" s="102"/>
      <c r="I2880" s="102"/>
      <c r="J2880" s="102"/>
      <c r="K2880" s="102"/>
      <c r="L2880" s="102"/>
      <c r="M2880" s="102"/>
      <c r="N2880" s="102"/>
      <c r="O2880" s="102"/>
      <c r="P2880" s="102"/>
      <c r="Q2880" s="102"/>
      <c r="R2880" s="102"/>
    </row>
    <row r="2881" spans="1:18" ht="35.1" customHeight="1" x14ac:dyDescent="0.2">
      <c r="A2881" s="99"/>
      <c r="B2881" s="99"/>
      <c r="C2881" s="102"/>
      <c r="D2881" s="102"/>
      <c r="E2881" s="102"/>
      <c r="F2881" s="102"/>
      <c r="G2881" s="102"/>
      <c r="H2881" s="102"/>
      <c r="I2881" s="102"/>
      <c r="J2881" s="102"/>
      <c r="K2881" s="102"/>
      <c r="L2881" s="102"/>
      <c r="M2881" s="102"/>
      <c r="N2881" s="102"/>
      <c r="O2881" s="102"/>
      <c r="P2881" s="102"/>
      <c r="Q2881" s="102"/>
      <c r="R2881" s="102"/>
    </row>
    <row r="2882" spans="1:18" ht="35.1" customHeight="1" x14ac:dyDescent="0.2">
      <c r="A2882" s="99"/>
      <c r="B2882" s="99"/>
      <c r="C2882" s="102"/>
      <c r="D2882" s="102"/>
      <c r="E2882" s="102"/>
      <c r="F2882" s="102"/>
      <c r="G2882" s="102"/>
      <c r="H2882" s="102"/>
      <c r="I2882" s="102"/>
      <c r="J2882" s="102"/>
      <c r="K2882" s="102"/>
      <c r="L2882" s="102"/>
      <c r="M2882" s="102"/>
      <c r="N2882" s="102"/>
      <c r="O2882" s="102"/>
      <c r="P2882" s="102"/>
      <c r="Q2882" s="102"/>
      <c r="R2882" s="102"/>
    </row>
    <row r="2883" spans="1:18" ht="35.1" customHeight="1" x14ac:dyDescent="0.2">
      <c r="A2883" s="99"/>
      <c r="B2883" s="99"/>
      <c r="C2883" s="102"/>
      <c r="D2883" s="102"/>
      <c r="E2883" s="102"/>
      <c r="F2883" s="102"/>
      <c r="G2883" s="102"/>
      <c r="H2883" s="102"/>
      <c r="I2883" s="102"/>
      <c r="J2883" s="102"/>
      <c r="K2883" s="102"/>
      <c r="L2883" s="102"/>
      <c r="M2883" s="102"/>
      <c r="N2883" s="102"/>
      <c r="O2883" s="102"/>
      <c r="P2883" s="102"/>
      <c r="Q2883" s="102"/>
      <c r="R2883" s="102"/>
    </row>
    <row r="2884" spans="1:18" ht="35.1" customHeight="1" x14ac:dyDescent="0.2">
      <c r="A2884" s="99"/>
      <c r="B2884" s="99"/>
      <c r="C2884" s="102"/>
      <c r="D2884" s="102"/>
      <c r="E2884" s="102"/>
      <c r="F2884" s="102"/>
      <c r="G2884" s="102"/>
      <c r="H2884" s="102"/>
      <c r="I2884" s="102"/>
      <c r="J2884" s="102"/>
      <c r="K2884" s="102"/>
      <c r="L2884" s="102"/>
      <c r="M2884" s="102"/>
      <c r="N2884" s="102"/>
      <c r="O2884" s="102"/>
      <c r="P2884" s="102"/>
      <c r="Q2884" s="102"/>
      <c r="R2884" s="102"/>
    </row>
    <row r="2885" spans="1:18" ht="35.1" customHeight="1" x14ac:dyDescent="0.2">
      <c r="A2885" s="99"/>
      <c r="B2885" s="99"/>
      <c r="C2885" s="102"/>
      <c r="D2885" s="102"/>
      <c r="E2885" s="102"/>
      <c r="F2885" s="102"/>
      <c r="G2885" s="102"/>
      <c r="H2885" s="102"/>
      <c r="I2885" s="102"/>
      <c r="J2885" s="102"/>
      <c r="K2885" s="102"/>
      <c r="L2885" s="102"/>
      <c r="M2885" s="102"/>
      <c r="N2885" s="102"/>
      <c r="O2885" s="102"/>
      <c r="P2885" s="102"/>
      <c r="Q2885" s="102"/>
      <c r="R2885" s="102"/>
    </row>
    <row r="2886" spans="1:18" ht="35.1" customHeight="1" x14ac:dyDescent="0.2">
      <c r="A2886" s="99"/>
      <c r="B2886" s="99"/>
      <c r="C2886" s="102"/>
      <c r="D2886" s="102"/>
      <c r="E2886" s="102"/>
      <c r="F2886" s="102"/>
      <c r="G2886" s="102"/>
      <c r="H2886" s="102"/>
      <c r="I2886" s="102"/>
      <c r="J2886" s="102"/>
      <c r="K2886" s="102"/>
      <c r="L2886" s="102"/>
      <c r="M2886" s="102"/>
      <c r="N2886" s="102"/>
      <c r="O2886" s="102"/>
      <c r="P2886" s="102"/>
      <c r="Q2886" s="102"/>
      <c r="R2886" s="102"/>
    </row>
    <row r="2887" spans="1:18" ht="35.1" customHeight="1" x14ac:dyDescent="0.2">
      <c r="A2887" s="99"/>
      <c r="B2887" s="99"/>
      <c r="C2887" s="102"/>
      <c r="D2887" s="102"/>
      <c r="E2887" s="102"/>
      <c r="F2887" s="102"/>
      <c r="G2887" s="102"/>
      <c r="H2887" s="102"/>
      <c r="I2887" s="102"/>
      <c r="J2887" s="102"/>
      <c r="K2887" s="102"/>
      <c r="L2887" s="102"/>
      <c r="M2887" s="102"/>
      <c r="N2887" s="102"/>
      <c r="O2887" s="102"/>
      <c r="P2887" s="102"/>
      <c r="Q2887" s="102"/>
      <c r="R2887" s="102"/>
    </row>
    <row r="2888" spans="1:18" ht="35.1" customHeight="1" x14ac:dyDescent="0.2">
      <c r="A2888" s="99"/>
      <c r="B2888" s="99"/>
      <c r="C2888" s="102"/>
      <c r="D2888" s="102"/>
      <c r="E2888" s="102"/>
      <c r="F2888" s="102"/>
      <c r="G2888" s="102"/>
      <c r="H2888" s="102"/>
      <c r="I2888" s="102"/>
      <c r="J2888" s="102"/>
      <c r="K2888" s="102"/>
      <c r="L2888" s="102"/>
      <c r="M2888" s="102"/>
      <c r="N2888" s="102"/>
      <c r="O2888" s="102"/>
      <c r="P2888" s="102"/>
      <c r="Q2888" s="102"/>
      <c r="R2888" s="102"/>
    </row>
    <row r="2889" spans="1:18" ht="35.1" customHeight="1" x14ac:dyDescent="0.2">
      <c r="A2889" s="99"/>
      <c r="B2889" s="99"/>
      <c r="C2889" s="102"/>
      <c r="D2889" s="102"/>
      <c r="E2889" s="102"/>
      <c r="F2889" s="102"/>
      <c r="G2889" s="102"/>
      <c r="H2889" s="102"/>
      <c r="I2889" s="102"/>
      <c r="J2889" s="102"/>
      <c r="K2889" s="102"/>
      <c r="L2889" s="102"/>
      <c r="M2889" s="102"/>
      <c r="N2889" s="102"/>
      <c r="O2889" s="102"/>
      <c r="P2889" s="102"/>
      <c r="Q2889" s="102"/>
      <c r="R2889" s="102"/>
    </row>
    <row r="2890" spans="1:18" ht="35.1" customHeight="1" x14ac:dyDescent="0.2">
      <c r="A2890" s="99"/>
      <c r="B2890" s="99"/>
      <c r="C2890" s="102"/>
      <c r="D2890" s="102"/>
      <c r="E2890" s="102"/>
      <c r="F2890" s="102"/>
      <c r="G2890" s="102"/>
      <c r="H2890" s="102"/>
      <c r="I2890" s="102"/>
      <c r="J2890" s="102"/>
      <c r="K2890" s="102"/>
      <c r="L2890" s="102"/>
      <c r="M2890" s="102"/>
      <c r="N2890" s="102"/>
      <c r="O2890" s="102"/>
      <c r="P2890" s="102"/>
      <c r="Q2890" s="102"/>
      <c r="R2890" s="102"/>
    </row>
    <row r="2891" spans="1:18" ht="35.1" customHeight="1" x14ac:dyDescent="0.2">
      <c r="A2891" s="99"/>
      <c r="B2891" s="99"/>
      <c r="C2891" s="102"/>
      <c r="D2891" s="102"/>
      <c r="E2891" s="102"/>
      <c r="F2891" s="102"/>
      <c r="G2891" s="102"/>
      <c r="H2891" s="102"/>
      <c r="I2891" s="102"/>
      <c r="J2891" s="102"/>
      <c r="K2891" s="102"/>
      <c r="L2891" s="102"/>
      <c r="M2891" s="102"/>
      <c r="N2891" s="102"/>
      <c r="O2891" s="102"/>
      <c r="P2891" s="102"/>
      <c r="Q2891" s="102"/>
      <c r="R2891" s="102"/>
    </row>
    <row r="2892" spans="1:18" ht="35.1" customHeight="1" x14ac:dyDescent="0.2">
      <c r="A2892" s="99"/>
      <c r="B2892" s="99"/>
      <c r="C2892" s="102"/>
      <c r="D2892" s="102"/>
      <c r="E2892" s="102"/>
      <c r="F2892" s="102"/>
      <c r="G2892" s="102"/>
      <c r="H2892" s="102"/>
      <c r="I2892" s="102"/>
      <c r="J2892" s="102"/>
      <c r="K2892" s="102"/>
      <c r="L2892" s="102"/>
      <c r="M2892" s="102"/>
      <c r="N2892" s="102"/>
      <c r="O2892" s="102"/>
      <c r="P2892" s="102"/>
      <c r="Q2892" s="102"/>
      <c r="R2892" s="102"/>
    </row>
    <row r="2893" spans="1:18" ht="35.1" customHeight="1" x14ac:dyDescent="0.2">
      <c r="A2893" s="99"/>
      <c r="B2893" s="99"/>
      <c r="C2893" s="102"/>
      <c r="D2893" s="102"/>
      <c r="E2893" s="102"/>
      <c r="F2893" s="102"/>
      <c r="G2893" s="102"/>
      <c r="H2893" s="102"/>
      <c r="I2893" s="102"/>
      <c r="J2893" s="102"/>
      <c r="K2893" s="102"/>
      <c r="L2893" s="102"/>
      <c r="M2893" s="102"/>
      <c r="N2893" s="102"/>
      <c r="O2893" s="102"/>
      <c r="P2893" s="102"/>
      <c r="Q2893" s="102"/>
      <c r="R2893" s="102"/>
    </row>
    <row r="2894" spans="1:18" ht="35.1" customHeight="1" x14ac:dyDescent="0.2">
      <c r="A2894" s="99"/>
      <c r="B2894" s="99"/>
      <c r="C2894" s="102"/>
      <c r="D2894" s="102"/>
      <c r="E2894" s="102"/>
      <c r="F2894" s="102"/>
      <c r="G2894" s="102"/>
      <c r="H2894" s="102"/>
      <c r="I2894" s="102"/>
      <c r="J2894" s="102"/>
      <c r="K2894" s="102"/>
      <c r="L2894" s="102"/>
      <c r="M2894" s="102"/>
      <c r="N2894" s="102"/>
      <c r="O2894" s="102"/>
      <c r="P2894" s="102"/>
      <c r="Q2894" s="102"/>
      <c r="R2894" s="102"/>
    </row>
    <row r="2895" spans="1:18" ht="35.1" customHeight="1" x14ac:dyDescent="0.2">
      <c r="A2895" s="99"/>
      <c r="B2895" s="99"/>
      <c r="C2895" s="102"/>
      <c r="D2895" s="102"/>
      <c r="E2895" s="102"/>
      <c r="F2895" s="102"/>
      <c r="G2895" s="102"/>
      <c r="H2895" s="102"/>
      <c r="I2895" s="102"/>
      <c r="J2895" s="102"/>
      <c r="K2895" s="102"/>
      <c r="L2895" s="102"/>
      <c r="M2895" s="102"/>
      <c r="N2895" s="102"/>
      <c r="O2895" s="102"/>
      <c r="P2895" s="102"/>
      <c r="Q2895" s="102"/>
      <c r="R2895" s="102"/>
    </row>
    <row r="2896" spans="1:18" ht="35.1" customHeight="1" x14ac:dyDescent="0.2">
      <c r="A2896" s="99"/>
      <c r="B2896" s="99"/>
      <c r="C2896" s="102"/>
      <c r="D2896" s="102"/>
      <c r="E2896" s="102"/>
      <c r="F2896" s="102"/>
      <c r="G2896" s="102"/>
      <c r="H2896" s="102"/>
      <c r="I2896" s="102"/>
      <c r="J2896" s="102"/>
      <c r="K2896" s="102"/>
      <c r="L2896" s="102"/>
      <c r="M2896" s="102"/>
      <c r="N2896" s="102"/>
      <c r="O2896" s="102"/>
      <c r="P2896" s="102"/>
      <c r="Q2896" s="102"/>
      <c r="R2896" s="102"/>
    </row>
    <row r="2897" spans="1:18" ht="35.1" customHeight="1" x14ac:dyDescent="0.2">
      <c r="A2897" s="99"/>
      <c r="B2897" s="99"/>
      <c r="C2897" s="102"/>
      <c r="D2897" s="102"/>
      <c r="E2897" s="102"/>
      <c r="F2897" s="102"/>
      <c r="G2897" s="102"/>
      <c r="H2897" s="102"/>
      <c r="I2897" s="102"/>
      <c r="J2897" s="102"/>
      <c r="K2897" s="102"/>
      <c r="L2897" s="102"/>
      <c r="M2897" s="102"/>
      <c r="N2897" s="102"/>
      <c r="O2897" s="102"/>
      <c r="P2897" s="102"/>
      <c r="Q2897" s="102"/>
      <c r="R2897" s="102"/>
    </row>
    <row r="2898" spans="1:18" ht="35.1" customHeight="1" x14ac:dyDescent="0.2">
      <c r="A2898" s="99"/>
      <c r="B2898" s="99"/>
      <c r="C2898" s="102"/>
      <c r="D2898" s="102"/>
      <c r="E2898" s="102"/>
      <c r="F2898" s="102"/>
      <c r="G2898" s="102"/>
      <c r="H2898" s="102"/>
      <c r="I2898" s="102"/>
      <c r="J2898" s="102"/>
      <c r="K2898" s="102"/>
      <c r="L2898" s="102"/>
      <c r="M2898" s="102"/>
      <c r="N2898" s="102"/>
      <c r="O2898" s="102"/>
      <c r="P2898" s="102"/>
      <c r="Q2898" s="102"/>
      <c r="R2898" s="102"/>
    </row>
    <row r="2899" spans="1:18" ht="35.1" customHeight="1" x14ac:dyDescent="0.2">
      <c r="A2899" s="99"/>
      <c r="B2899" s="99"/>
      <c r="C2899" s="102"/>
      <c r="D2899" s="102"/>
      <c r="E2899" s="102"/>
      <c r="F2899" s="102"/>
      <c r="G2899" s="102"/>
      <c r="H2899" s="102"/>
      <c r="I2899" s="102"/>
      <c r="J2899" s="102"/>
      <c r="K2899" s="102"/>
      <c r="L2899" s="102"/>
      <c r="M2899" s="102"/>
      <c r="N2899" s="102"/>
      <c r="O2899" s="102"/>
      <c r="P2899" s="102"/>
      <c r="Q2899" s="102"/>
      <c r="R2899" s="102"/>
    </row>
    <row r="2900" spans="1:18" ht="35.1" customHeight="1" x14ac:dyDescent="0.2">
      <c r="A2900" s="99"/>
      <c r="B2900" s="99"/>
      <c r="C2900" s="102"/>
      <c r="D2900" s="102"/>
      <c r="E2900" s="102"/>
      <c r="F2900" s="102"/>
      <c r="G2900" s="102"/>
      <c r="H2900" s="102"/>
      <c r="I2900" s="102"/>
      <c r="J2900" s="102"/>
      <c r="K2900" s="102"/>
      <c r="L2900" s="102"/>
      <c r="M2900" s="102"/>
      <c r="N2900" s="102"/>
      <c r="O2900" s="102"/>
      <c r="P2900" s="102"/>
      <c r="Q2900" s="102"/>
      <c r="R2900" s="102"/>
    </row>
    <row r="2901" spans="1:18" ht="35.1" customHeight="1" x14ac:dyDescent="0.2">
      <c r="A2901" s="99"/>
      <c r="B2901" s="99"/>
      <c r="C2901" s="102"/>
      <c r="D2901" s="102"/>
      <c r="E2901" s="102"/>
      <c r="F2901" s="102"/>
      <c r="G2901" s="102"/>
      <c r="H2901" s="102"/>
      <c r="I2901" s="102"/>
      <c r="J2901" s="102"/>
      <c r="K2901" s="102"/>
      <c r="L2901" s="102"/>
      <c r="M2901" s="102"/>
      <c r="N2901" s="102"/>
      <c r="O2901" s="102"/>
      <c r="P2901" s="102"/>
      <c r="Q2901" s="102"/>
      <c r="R2901" s="102"/>
    </row>
    <row r="2902" spans="1:18" ht="35.1" customHeight="1" x14ac:dyDescent="0.2">
      <c r="A2902" s="99"/>
      <c r="B2902" s="99"/>
      <c r="C2902" s="102"/>
      <c r="D2902" s="102"/>
      <c r="E2902" s="102"/>
      <c r="F2902" s="102"/>
      <c r="G2902" s="102"/>
      <c r="H2902" s="102"/>
      <c r="I2902" s="102"/>
      <c r="J2902" s="102"/>
      <c r="K2902" s="102"/>
      <c r="L2902" s="102"/>
      <c r="M2902" s="102"/>
      <c r="N2902" s="102"/>
      <c r="O2902" s="102"/>
      <c r="P2902" s="102"/>
      <c r="Q2902" s="102"/>
      <c r="R2902" s="102"/>
    </row>
    <row r="2903" spans="1:18" ht="35.1" customHeight="1" x14ac:dyDescent="0.2">
      <c r="A2903" s="99"/>
      <c r="B2903" s="99"/>
      <c r="C2903" s="102"/>
      <c r="D2903" s="102"/>
      <c r="E2903" s="102"/>
      <c r="F2903" s="102"/>
      <c r="G2903" s="102"/>
      <c r="H2903" s="102"/>
      <c r="I2903" s="102"/>
      <c r="J2903" s="102"/>
      <c r="K2903" s="102"/>
      <c r="L2903" s="102"/>
      <c r="M2903" s="102"/>
      <c r="N2903" s="102"/>
      <c r="O2903" s="102"/>
      <c r="P2903" s="102"/>
      <c r="Q2903" s="102"/>
      <c r="R2903" s="102"/>
    </row>
    <row r="2904" spans="1:18" ht="35.1" customHeight="1" x14ac:dyDescent="0.2">
      <c r="A2904" s="99"/>
      <c r="B2904" s="99"/>
      <c r="C2904" s="102"/>
      <c r="D2904" s="102"/>
      <c r="E2904" s="102"/>
      <c r="F2904" s="102"/>
      <c r="G2904" s="102"/>
      <c r="H2904" s="102"/>
      <c r="I2904" s="102"/>
      <c r="J2904" s="102"/>
      <c r="K2904" s="102"/>
      <c r="L2904" s="102"/>
      <c r="M2904" s="102"/>
      <c r="N2904" s="102"/>
      <c r="O2904" s="102"/>
      <c r="P2904" s="102"/>
      <c r="Q2904" s="102"/>
      <c r="R2904" s="102"/>
    </row>
    <row r="2905" spans="1:18" ht="35.1" customHeight="1" x14ac:dyDescent="0.2">
      <c r="A2905" s="99"/>
      <c r="B2905" s="99"/>
      <c r="C2905" s="102"/>
      <c r="D2905" s="102"/>
      <c r="E2905" s="102"/>
      <c r="F2905" s="102"/>
      <c r="G2905" s="102"/>
      <c r="H2905" s="102"/>
      <c r="I2905" s="102"/>
      <c r="J2905" s="102"/>
      <c r="K2905" s="102"/>
      <c r="L2905" s="102"/>
      <c r="M2905" s="102"/>
      <c r="N2905" s="102"/>
      <c r="O2905" s="102"/>
      <c r="P2905" s="102"/>
      <c r="Q2905" s="102"/>
      <c r="R2905" s="102"/>
    </row>
    <row r="2906" spans="1:18" ht="35.1" customHeight="1" x14ac:dyDescent="0.2">
      <c r="A2906" s="99"/>
      <c r="B2906" s="99"/>
      <c r="C2906" s="102"/>
      <c r="D2906" s="102"/>
      <c r="E2906" s="102"/>
      <c r="F2906" s="102"/>
      <c r="G2906" s="102"/>
      <c r="H2906" s="102"/>
      <c r="I2906" s="102"/>
      <c r="J2906" s="102"/>
      <c r="K2906" s="102"/>
      <c r="L2906" s="102"/>
      <c r="M2906" s="102"/>
      <c r="N2906" s="102"/>
      <c r="O2906" s="102"/>
      <c r="P2906" s="102"/>
      <c r="Q2906" s="102"/>
      <c r="R2906" s="102"/>
    </row>
    <row r="2907" spans="1:18" ht="35.1" customHeight="1" x14ac:dyDescent="0.2">
      <c r="A2907" s="99"/>
      <c r="B2907" s="99"/>
      <c r="C2907" s="102"/>
      <c r="D2907" s="102"/>
      <c r="E2907" s="102"/>
      <c r="F2907" s="102"/>
      <c r="G2907" s="102"/>
      <c r="H2907" s="102"/>
      <c r="I2907" s="102"/>
      <c r="J2907" s="102"/>
      <c r="K2907" s="102"/>
      <c r="L2907" s="102"/>
      <c r="M2907" s="102"/>
      <c r="N2907" s="102"/>
      <c r="O2907" s="102"/>
      <c r="P2907" s="102"/>
      <c r="Q2907" s="102"/>
      <c r="R2907" s="102"/>
    </row>
    <row r="2908" spans="1:18" ht="35.1" customHeight="1" x14ac:dyDescent="0.2">
      <c r="A2908" s="99"/>
      <c r="B2908" s="99"/>
      <c r="C2908" s="102"/>
      <c r="D2908" s="102"/>
      <c r="E2908" s="102"/>
      <c r="F2908" s="102"/>
      <c r="G2908" s="102"/>
      <c r="H2908" s="102"/>
      <c r="I2908" s="102"/>
      <c r="J2908" s="102"/>
      <c r="K2908" s="102"/>
      <c r="L2908" s="102"/>
      <c r="M2908" s="102"/>
      <c r="N2908" s="102"/>
      <c r="O2908" s="102"/>
      <c r="P2908" s="102"/>
      <c r="Q2908" s="102"/>
      <c r="R2908" s="102"/>
    </row>
    <row r="2909" spans="1:18" ht="35.1" customHeight="1" x14ac:dyDescent="0.2">
      <c r="A2909" s="99"/>
      <c r="B2909" s="99"/>
      <c r="C2909" s="102"/>
      <c r="D2909" s="102"/>
      <c r="E2909" s="102"/>
      <c r="F2909" s="102"/>
      <c r="G2909" s="102"/>
      <c r="H2909" s="102"/>
      <c r="I2909" s="102"/>
      <c r="J2909" s="102"/>
      <c r="K2909" s="102"/>
      <c r="L2909" s="102"/>
      <c r="M2909" s="102"/>
      <c r="N2909" s="102"/>
      <c r="O2909" s="102"/>
      <c r="P2909" s="102"/>
      <c r="Q2909" s="102"/>
      <c r="R2909" s="102"/>
    </row>
    <row r="2910" spans="1:18" ht="35.1" customHeight="1" x14ac:dyDescent="0.2">
      <c r="A2910" s="99"/>
      <c r="B2910" s="99"/>
      <c r="C2910" s="102"/>
      <c r="D2910" s="102"/>
      <c r="E2910" s="102"/>
      <c r="F2910" s="102"/>
      <c r="G2910" s="102"/>
      <c r="H2910" s="102"/>
      <c r="I2910" s="102"/>
      <c r="J2910" s="102"/>
      <c r="K2910" s="102"/>
      <c r="L2910" s="102"/>
      <c r="M2910" s="102"/>
      <c r="N2910" s="102"/>
      <c r="O2910" s="102"/>
      <c r="P2910" s="102"/>
      <c r="Q2910" s="102"/>
      <c r="R2910" s="102"/>
    </row>
    <row r="2911" spans="1:18" ht="35.1" customHeight="1" x14ac:dyDescent="0.2">
      <c r="A2911" s="99"/>
      <c r="B2911" s="99"/>
      <c r="C2911" s="102"/>
      <c r="D2911" s="102"/>
      <c r="E2911" s="102"/>
      <c r="F2911" s="102"/>
      <c r="G2911" s="102"/>
      <c r="H2911" s="102"/>
      <c r="I2911" s="102"/>
      <c r="J2911" s="102"/>
      <c r="K2911" s="102"/>
      <c r="L2911" s="102"/>
      <c r="M2911" s="102"/>
      <c r="N2911" s="102"/>
      <c r="O2911" s="102"/>
      <c r="P2911" s="102"/>
      <c r="Q2911" s="102"/>
      <c r="R2911" s="102"/>
    </row>
    <row r="2912" spans="1:18" ht="35.1" customHeight="1" x14ac:dyDescent="0.2">
      <c r="A2912" s="99"/>
      <c r="B2912" s="99"/>
      <c r="C2912" s="102"/>
      <c r="D2912" s="102"/>
      <c r="E2912" s="102"/>
      <c r="F2912" s="102"/>
      <c r="G2912" s="102"/>
      <c r="H2912" s="102"/>
      <c r="I2912" s="102"/>
      <c r="J2912" s="102"/>
      <c r="K2912" s="102"/>
      <c r="L2912" s="102"/>
      <c r="M2912" s="102"/>
      <c r="N2912" s="102"/>
      <c r="O2912" s="102"/>
      <c r="P2912" s="102"/>
      <c r="Q2912" s="102"/>
      <c r="R2912" s="102"/>
    </row>
    <row r="2913" spans="1:18" ht="35.1" customHeight="1" x14ac:dyDescent="0.2">
      <c r="A2913" s="99"/>
      <c r="B2913" s="99"/>
      <c r="C2913" s="102"/>
      <c r="D2913" s="102"/>
      <c r="E2913" s="102"/>
      <c r="F2913" s="102"/>
      <c r="G2913" s="102"/>
      <c r="H2913" s="102"/>
      <c r="I2913" s="102"/>
      <c r="J2913" s="102"/>
      <c r="K2913" s="102"/>
      <c r="L2913" s="102"/>
      <c r="M2913" s="102"/>
      <c r="N2913" s="102"/>
      <c r="O2913" s="102"/>
      <c r="P2913" s="102"/>
      <c r="Q2913" s="102"/>
      <c r="R2913" s="102"/>
    </row>
    <row r="2914" spans="1:18" ht="35.1" customHeight="1" x14ac:dyDescent="0.2">
      <c r="A2914" s="99"/>
      <c r="B2914" s="99"/>
      <c r="C2914" s="102"/>
      <c r="D2914" s="102"/>
      <c r="E2914" s="102"/>
      <c r="F2914" s="102"/>
      <c r="G2914" s="102"/>
      <c r="H2914" s="102"/>
      <c r="I2914" s="102"/>
      <c r="J2914" s="102"/>
      <c r="K2914" s="102"/>
      <c r="L2914" s="102"/>
      <c r="M2914" s="102"/>
      <c r="N2914" s="102"/>
      <c r="O2914" s="102"/>
      <c r="P2914" s="102"/>
      <c r="Q2914" s="102"/>
      <c r="R2914" s="102"/>
    </row>
    <row r="2915" spans="1:18" ht="35.1" customHeight="1" x14ac:dyDescent="0.2">
      <c r="A2915" s="99"/>
      <c r="B2915" s="99"/>
      <c r="C2915" s="102"/>
      <c r="D2915" s="102"/>
      <c r="E2915" s="102"/>
      <c r="F2915" s="102"/>
      <c r="G2915" s="102"/>
      <c r="H2915" s="102"/>
      <c r="I2915" s="102"/>
      <c r="J2915" s="102"/>
      <c r="K2915" s="102"/>
      <c r="L2915" s="102"/>
      <c r="M2915" s="102"/>
      <c r="N2915" s="102"/>
      <c r="O2915" s="102"/>
      <c r="P2915" s="102"/>
      <c r="Q2915" s="102"/>
      <c r="R2915" s="102"/>
    </row>
    <row r="2916" spans="1:18" ht="35.1" customHeight="1" x14ac:dyDescent="0.2">
      <c r="A2916" s="99"/>
      <c r="B2916" s="99"/>
      <c r="C2916" s="102"/>
      <c r="D2916" s="102"/>
      <c r="E2916" s="102"/>
      <c r="F2916" s="102"/>
      <c r="G2916" s="102"/>
      <c r="H2916" s="102"/>
      <c r="I2916" s="102"/>
      <c r="J2916" s="102"/>
      <c r="K2916" s="102"/>
      <c r="L2916" s="102"/>
      <c r="M2916" s="102"/>
      <c r="N2916" s="102"/>
      <c r="O2916" s="102"/>
      <c r="P2916" s="102"/>
      <c r="Q2916" s="102"/>
      <c r="R2916" s="102"/>
    </row>
    <row r="2917" spans="1:18" ht="35.1" customHeight="1" x14ac:dyDescent="0.2">
      <c r="A2917" s="99"/>
      <c r="B2917" s="99"/>
      <c r="C2917" s="102"/>
      <c r="D2917" s="102"/>
      <c r="E2917" s="102"/>
      <c r="F2917" s="102"/>
      <c r="G2917" s="102"/>
      <c r="H2917" s="102"/>
      <c r="I2917" s="102"/>
      <c r="J2917" s="102"/>
      <c r="K2917" s="102"/>
      <c r="L2917" s="102"/>
      <c r="M2917" s="102"/>
      <c r="N2917" s="102"/>
      <c r="O2917" s="102"/>
      <c r="P2917" s="102"/>
      <c r="Q2917" s="102"/>
      <c r="R2917" s="102"/>
    </row>
    <row r="2918" spans="1:18" ht="35.1" customHeight="1" x14ac:dyDescent="0.2">
      <c r="A2918" s="99"/>
      <c r="B2918" s="99"/>
      <c r="C2918" s="102"/>
      <c r="D2918" s="102"/>
      <c r="E2918" s="102"/>
      <c r="F2918" s="102"/>
      <c r="G2918" s="102"/>
      <c r="H2918" s="102"/>
      <c r="I2918" s="102"/>
      <c r="J2918" s="102"/>
      <c r="K2918" s="102"/>
      <c r="L2918" s="102"/>
      <c r="M2918" s="102"/>
      <c r="N2918" s="102"/>
      <c r="O2918" s="102"/>
      <c r="P2918" s="102"/>
      <c r="Q2918" s="102"/>
      <c r="R2918" s="102"/>
    </row>
    <row r="2919" spans="1:18" ht="35.1" customHeight="1" x14ac:dyDescent="0.2">
      <c r="A2919" s="99"/>
      <c r="B2919" s="99"/>
      <c r="C2919" s="102"/>
      <c r="D2919" s="102"/>
      <c r="E2919" s="102"/>
      <c r="F2919" s="102"/>
      <c r="G2919" s="102"/>
      <c r="H2919" s="102"/>
      <c r="I2919" s="102"/>
      <c r="J2919" s="102"/>
      <c r="K2919" s="102"/>
      <c r="L2919" s="102"/>
      <c r="M2919" s="102"/>
      <c r="N2919" s="102"/>
      <c r="O2919" s="102"/>
      <c r="P2919" s="102"/>
      <c r="Q2919" s="102"/>
      <c r="R2919" s="102"/>
    </row>
    <row r="2920" spans="1:18" ht="35.1" customHeight="1" x14ac:dyDescent="0.2">
      <c r="A2920" s="99"/>
      <c r="B2920" s="99"/>
      <c r="C2920" s="102"/>
      <c r="D2920" s="102"/>
      <c r="E2920" s="102"/>
      <c r="F2920" s="102"/>
      <c r="G2920" s="102"/>
      <c r="H2920" s="102"/>
      <c r="I2920" s="102"/>
      <c r="J2920" s="102"/>
      <c r="K2920" s="102"/>
      <c r="L2920" s="102"/>
      <c r="M2920" s="102"/>
      <c r="N2920" s="102"/>
      <c r="O2920" s="102"/>
      <c r="P2920" s="102"/>
      <c r="Q2920" s="102"/>
      <c r="R2920" s="102"/>
    </row>
    <row r="2921" spans="1:18" ht="35.1" customHeight="1" x14ac:dyDescent="0.2">
      <c r="A2921" s="99"/>
      <c r="B2921" s="99"/>
      <c r="C2921" s="102"/>
      <c r="D2921" s="102"/>
      <c r="E2921" s="102"/>
      <c r="F2921" s="102"/>
      <c r="G2921" s="102"/>
      <c r="H2921" s="102"/>
      <c r="I2921" s="102"/>
      <c r="J2921" s="102"/>
      <c r="K2921" s="102"/>
      <c r="L2921" s="102"/>
      <c r="M2921" s="102"/>
      <c r="N2921" s="102"/>
      <c r="O2921" s="102"/>
      <c r="P2921" s="102"/>
      <c r="Q2921" s="102"/>
      <c r="R2921" s="102"/>
    </row>
    <row r="2922" spans="1:18" ht="35.1" customHeight="1" x14ac:dyDescent="0.2">
      <c r="A2922" s="99"/>
      <c r="B2922" s="99"/>
      <c r="C2922" s="102"/>
      <c r="D2922" s="102"/>
      <c r="E2922" s="102"/>
      <c r="F2922" s="102"/>
      <c r="G2922" s="102"/>
      <c r="H2922" s="102"/>
      <c r="I2922" s="102"/>
      <c r="J2922" s="102"/>
      <c r="K2922" s="102"/>
      <c r="L2922" s="102"/>
      <c r="M2922" s="102"/>
      <c r="N2922" s="102"/>
      <c r="O2922" s="102"/>
      <c r="P2922" s="102"/>
      <c r="Q2922" s="102"/>
      <c r="R2922" s="102"/>
    </row>
    <row r="2923" spans="1:18" ht="35.1" customHeight="1" x14ac:dyDescent="0.2">
      <c r="A2923" s="99"/>
      <c r="B2923" s="99"/>
      <c r="C2923" s="102"/>
      <c r="D2923" s="102"/>
      <c r="E2923" s="102"/>
      <c r="F2923" s="102"/>
      <c r="G2923" s="102"/>
      <c r="H2923" s="102"/>
      <c r="I2923" s="102"/>
      <c r="J2923" s="102"/>
      <c r="K2923" s="102"/>
      <c r="L2923" s="102"/>
      <c r="M2923" s="102"/>
      <c r="N2923" s="102"/>
      <c r="O2923" s="102"/>
      <c r="P2923" s="102"/>
      <c r="Q2923" s="102"/>
      <c r="R2923" s="102"/>
    </row>
    <row r="2924" spans="1:18" ht="35.1" customHeight="1" x14ac:dyDescent="0.2">
      <c r="A2924" s="99"/>
      <c r="B2924" s="99"/>
      <c r="C2924" s="102"/>
      <c r="D2924" s="102"/>
      <c r="E2924" s="102"/>
      <c r="F2924" s="102"/>
      <c r="G2924" s="102"/>
      <c r="H2924" s="102"/>
      <c r="I2924" s="102"/>
      <c r="J2924" s="102"/>
      <c r="K2924" s="102"/>
      <c r="L2924" s="102"/>
      <c r="M2924" s="102"/>
      <c r="N2924" s="102"/>
      <c r="O2924" s="102"/>
      <c r="P2924" s="102"/>
      <c r="Q2924" s="102"/>
      <c r="R2924" s="102"/>
    </row>
    <row r="2925" spans="1:18" ht="35.1" customHeight="1" x14ac:dyDescent="0.2">
      <c r="A2925" s="99"/>
      <c r="B2925" s="99"/>
      <c r="C2925" s="102"/>
      <c r="D2925" s="102"/>
      <c r="E2925" s="102"/>
      <c r="F2925" s="102"/>
      <c r="G2925" s="102"/>
      <c r="H2925" s="102"/>
      <c r="I2925" s="102"/>
      <c r="J2925" s="102"/>
      <c r="K2925" s="102"/>
      <c r="L2925" s="102"/>
      <c r="M2925" s="102"/>
      <c r="N2925" s="102"/>
      <c r="O2925" s="102"/>
      <c r="P2925" s="102"/>
      <c r="Q2925" s="102"/>
      <c r="R2925" s="102"/>
    </row>
    <row r="2926" spans="1:18" ht="35.1" customHeight="1" x14ac:dyDescent="0.2">
      <c r="A2926" s="99"/>
      <c r="B2926" s="99"/>
      <c r="C2926" s="102"/>
      <c r="D2926" s="102"/>
      <c r="E2926" s="102"/>
      <c r="F2926" s="102"/>
      <c r="G2926" s="102"/>
      <c r="H2926" s="102"/>
      <c r="I2926" s="102"/>
      <c r="J2926" s="102"/>
      <c r="K2926" s="102"/>
      <c r="L2926" s="102"/>
      <c r="M2926" s="102"/>
      <c r="N2926" s="102"/>
      <c r="O2926" s="102"/>
      <c r="P2926" s="102"/>
      <c r="Q2926" s="102"/>
      <c r="R2926" s="102"/>
    </row>
    <row r="2927" spans="1:18" ht="35.1" customHeight="1" x14ac:dyDescent="0.2">
      <c r="A2927" s="99"/>
      <c r="B2927" s="99"/>
      <c r="C2927" s="102"/>
      <c r="D2927" s="102"/>
      <c r="E2927" s="102"/>
      <c r="F2927" s="102"/>
      <c r="G2927" s="102"/>
      <c r="H2927" s="102"/>
      <c r="I2927" s="102"/>
      <c r="J2927" s="102"/>
      <c r="K2927" s="102"/>
      <c r="L2927" s="102"/>
      <c r="M2927" s="102"/>
      <c r="N2927" s="102"/>
      <c r="O2927" s="102"/>
      <c r="P2927" s="102"/>
      <c r="Q2927" s="102"/>
      <c r="R2927" s="102"/>
    </row>
    <row r="2928" spans="1:18" ht="35.1" customHeight="1" x14ac:dyDescent="0.2">
      <c r="A2928" s="99"/>
      <c r="B2928" s="99"/>
      <c r="C2928" s="102"/>
      <c r="D2928" s="102"/>
      <c r="E2928" s="102"/>
      <c r="F2928" s="102"/>
      <c r="G2928" s="102"/>
      <c r="H2928" s="102"/>
      <c r="I2928" s="102"/>
      <c r="J2928" s="102"/>
      <c r="K2928" s="102"/>
      <c r="L2928" s="102"/>
      <c r="M2928" s="102"/>
      <c r="N2928" s="102"/>
      <c r="O2928" s="102"/>
      <c r="P2928" s="102"/>
      <c r="Q2928" s="102"/>
      <c r="R2928" s="102"/>
    </row>
    <row r="2929" spans="1:18" ht="35.1" customHeight="1" x14ac:dyDescent="0.2">
      <c r="A2929" s="99"/>
      <c r="B2929" s="99"/>
      <c r="C2929" s="102"/>
      <c r="D2929" s="102"/>
      <c r="E2929" s="102"/>
      <c r="F2929" s="102"/>
      <c r="G2929" s="102"/>
      <c r="H2929" s="102"/>
      <c r="I2929" s="102"/>
      <c r="J2929" s="102"/>
      <c r="K2929" s="102"/>
      <c r="L2929" s="102"/>
      <c r="M2929" s="102"/>
      <c r="N2929" s="102"/>
      <c r="O2929" s="102"/>
      <c r="P2929" s="102"/>
      <c r="Q2929" s="102"/>
      <c r="R2929" s="102"/>
    </row>
    <row r="2930" spans="1:18" ht="35.1" customHeight="1" x14ac:dyDescent="0.2">
      <c r="A2930" s="99"/>
      <c r="B2930" s="99"/>
      <c r="C2930" s="102"/>
      <c r="D2930" s="102"/>
      <c r="E2930" s="102"/>
      <c r="F2930" s="102"/>
      <c r="G2930" s="102"/>
      <c r="H2930" s="102"/>
      <c r="I2930" s="102"/>
      <c r="J2930" s="102"/>
      <c r="K2930" s="102"/>
      <c r="L2930" s="102"/>
      <c r="M2930" s="102"/>
      <c r="N2930" s="102"/>
      <c r="O2930" s="102"/>
      <c r="P2930" s="102"/>
      <c r="Q2930" s="102"/>
      <c r="R2930" s="102"/>
    </row>
    <row r="2931" spans="1:18" ht="35.1" customHeight="1" x14ac:dyDescent="0.2">
      <c r="A2931" s="99"/>
      <c r="B2931" s="99"/>
      <c r="C2931" s="102"/>
      <c r="D2931" s="102"/>
      <c r="E2931" s="102"/>
      <c r="F2931" s="102"/>
      <c r="G2931" s="102"/>
      <c r="H2931" s="102"/>
      <c r="I2931" s="102"/>
      <c r="J2931" s="102"/>
      <c r="K2931" s="102"/>
      <c r="L2931" s="102"/>
      <c r="M2931" s="102"/>
      <c r="N2931" s="102"/>
      <c r="O2931" s="102"/>
      <c r="P2931" s="102"/>
      <c r="Q2931" s="102"/>
      <c r="R2931" s="102"/>
    </row>
    <row r="2932" spans="1:18" ht="35.1" customHeight="1" x14ac:dyDescent="0.2">
      <c r="A2932" s="99"/>
      <c r="B2932" s="99"/>
      <c r="C2932" s="102"/>
      <c r="D2932" s="102"/>
      <c r="E2932" s="102"/>
      <c r="F2932" s="102"/>
      <c r="G2932" s="102"/>
      <c r="H2932" s="102"/>
      <c r="I2932" s="102"/>
      <c r="J2932" s="102"/>
      <c r="K2932" s="102"/>
      <c r="L2932" s="102"/>
      <c r="M2932" s="102"/>
      <c r="N2932" s="102"/>
      <c r="O2932" s="102"/>
      <c r="P2932" s="102"/>
      <c r="Q2932" s="102"/>
      <c r="R2932" s="102"/>
    </row>
    <row r="2933" spans="1:18" ht="35.1" customHeight="1" x14ac:dyDescent="0.2">
      <c r="A2933" s="99"/>
      <c r="B2933" s="99"/>
      <c r="C2933" s="102"/>
      <c r="D2933" s="102"/>
      <c r="E2933" s="102"/>
      <c r="F2933" s="102"/>
      <c r="G2933" s="102"/>
      <c r="H2933" s="102"/>
      <c r="I2933" s="102"/>
      <c r="J2933" s="102"/>
      <c r="K2933" s="102"/>
      <c r="L2933" s="102"/>
      <c r="M2933" s="102"/>
      <c r="N2933" s="102"/>
      <c r="O2933" s="102"/>
      <c r="P2933" s="102"/>
      <c r="Q2933" s="102"/>
      <c r="R2933" s="102"/>
    </row>
    <row r="2934" spans="1:18" ht="35.1" customHeight="1" x14ac:dyDescent="0.2">
      <c r="A2934" s="99"/>
      <c r="B2934" s="99"/>
      <c r="C2934" s="102"/>
      <c r="D2934" s="102"/>
      <c r="E2934" s="102"/>
      <c r="F2934" s="102"/>
      <c r="G2934" s="102"/>
      <c r="H2934" s="102"/>
      <c r="I2934" s="102"/>
      <c r="J2934" s="102"/>
      <c r="K2934" s="102"/>
      <c r="L2934" s="102"/>
      <c r="M2934" s="102"/>
      <c r="N2934" s="102"/>
      <c r="O2934" s="102"/>
      <c r="P2934" s="102"/>
      <c r="Q2934" s="102"/>
      <c r="R2934" s="102"/>
    </row>
    <row r="2935" spans="1:18" ht="35.1" customHeight="1" x14ac:dyDescent="0.2">
      <c r="A2935" s="99"/>
      <c r="B2935" s="99"/>
      <c r="C2935" s="102"/>
      <c r="D2935" s="102"/>
      <c r="E2935" s="102"/>
      <c r="F2935" s="102"/>
      <c r="G2935" s="102"/>
      <c r="H2935" s="102"/>
      <c r="I2935" s="102"/>
      <c r="J2935" s="102"/>
      <c r="K2935" s="102"/>
      <c r="L2935" s="102"/>
      <c r="M2935" s="102"/>
      <c r="N2935" s="102"/>
      <c r="O2935" s="102"/>
      <c r="P2935" s="102"/>
      <c r="Q2935" s="102"/>
      <c r="R2935" s="102"/>
    </row>
    <row r="2936" spans="1:18" ht="35.1" customHeight="1" x14ac:dyDescent="0.2">
      <c r="A2936" s="99"/>
      <c r="B2936" s="99"/>
      <c r="C2936" s="102"/>
      <c r="D2936" s="102"/>
      <c r="E2936" s="102"/>
      <c r="F2936" s="102"/>
      <c r="G2936" s="102"/>
      <c r="H2936" s="102"/>
      <c r="I2936" s="102"/>
      <c r="J2936" s="102"/>
      <c r="K2936" s="102"/>
      <c r="L2936" s="102"/>
      <c r="M2936" s="102"/>
      <c r="N2936" s="102"/>
      <c r="O2936" s="102"/>
      <c r="P2936" s="102"/>
      <c r="Q2936" s="102"/>
      <c r="R2936" s="102"/>
    </row>
    <row r="2937" spans="1:18" ht="35.1" customHeight="1" x14ac:dyDescent="0.2">
      <c r="A2937" s="99"/>
      <c r="B2937" s="99"/>
      <c r="C2937" s="102"/>
      <c r="D2937" s="102"/>
      <c r="E2937" s="102"/>
      <c r="F2937" s="102"/>
      <c r="G2937" s="102"/>
      <c r="H2937" s="102"/>
      <c r="I2937" s="102"/>
      <c r="J2937" s="102"/>
      <c r="K2937" s="102"/>
      <c r="L2937" s="102"/>
      <c r="M2937" s="102"/>
      <c r="N2937" s="102"/>
      <c r="O2937" s="102"/>
      <c r="P2937" s="102"/>
      <c r="Q2937" s="102"/>
      <c r="R2937" s="102"/>
    </row>
    <row r="2938" spans="1:18" ht="35.1" customHeight="1" x14ac:dyDescent="0.2">
      <c r="A2938" s="99"/>
      <c r="B2938" s="99"/>
      <c r="C2938" s="102"/>
      <c r="D2938" s="102"/>
      <c r="E2938" s="102"/>
      <c r="F2938" s="102"/>
      <c r="G2938" s="102"/>
      <c r="H2938" s="102"/>
      <c r="I2938" s="102"/>
      <c r="J2938" s="102"/>
      <c r="K2938" s="102"/>
      <c r="L2938" s="102"/>
      <c r="M2938" s="102"/>
      <c r="N2938" s="102"/>
      <c r="O2938" s="102"/>
      <c r="P2938" s="102"/>
      <c r="Q2938" s="102"/>
      <c r="R2938" s="102"/>
    </row>
    <row r="2939" spans="1:18" ht="35.1" customHeight="1" x14ac:dyDescent="0.2">
      <c r="A2939" s="99"/>
      <c r="B2939" s="99"/>
      <c r="C2939" s="102"/>
      <c r="D2939" s="102"/>
      <c r="E2939" s="102"/>
      <c r="F2939" s="102"/>
      <c r="G2939" s="102"/>
      <c r="H2939" s="102"/>
      <c r="I2939" s="102"/>
      <c r="J2939" s="102"/>
      <c r="K2939" s="102"/>
      <c r="L2939" s="102"/>
      <c r="M2939" s="102"/>
      <c r="N2939" s="102"/>
      <c r="O2939" s="102"/>
      <c r="P2939" s="102"/>
      <c r="Q2939" s="102"/>
      <c r="R2939" s="102"/>
    </row>
    <row r="2940" spans="1:18" ht="35.1" customHeight="1" x14ac:dyDescent="0.2">
      <c r="A2940" s="99"/>
      <c r="B2940" s="99"/>
      <c r="C2940" s="102"/>
      <c r="D2940" s="102"/>
      <c r="E2940" s="102"/>
      <c r="F2940" s="102"/>
      <c r="G2940" s="102"/>
      <c r="H2940" s="102"/>
      <c r="I2940" s="102"/>
      <c r="J2940" s="102"/>
      <c r="K2940" s="102"/>
      <c r="L2940" s="102"/>
      <c r="M2940" s="102"/>
      <c r="N2940" s="102"/>
      <c r="O2940" s="102"/>
      <c r="P2940" s="102"/>
      <c r="Q2940" s="102"/>
      <c r="R2940" s="102"/>
    </row>
    <row r="2941" spans="1:18" ht="35.1" customHeight="1" x14ac:dyDescent="0.2">
      <c r="A2941" s="99"/>
      <c r="B2941" s="99"/>
      <c r="C2941" s="102"/>
      <c r="D2941" s="102"/>
      <c r="E2941" s="102"/>
      <c r="F2941" s="102"/>
      <c r="G2941" s="102"/>
      <c r="H2941" s="102"/>
      <c r="I2941" s="102"/>
      <c r="J2941" s="102"/>
      <c r="K2941" s="102"/>
      <c r="L2941" s="102"/>
      <c r="M2941" s="102"/>
      <c r="N2941" s="102"/>
      <c r="O2941" s="102"/>
      <c r="P2941" s="102"/>
      <c r="Q2941" s="102"/>
      <c r="R2941" s="102"/>
    </row>
    <row r="2942" spans="1:18" ht="35.1" customHeight="1" x14ac:dyDescent="0.2">
      <c r="A2942" s="99"/>
      <c r="B2942" s="99"/>
      <c r="C2942" s="102"/>
      <c r="D2942" s="102"/>
      <c r="E2942" s="102"/>
      <c r="F2942" s="102"/>
      <c r="G2942" s="102"/>
      <c r="H2942" s="102"/>
      <c r="I2942" s="102"/>
      <c r="J2942" s="102"/>
      <c r="K2942" s="102"/>
      <c r="L2942" s="102"/>
      <c r="M2942" s="102"/>
      <c r="N2942" s="102"/>
      <c r="O2942" s="102"/>
      <c r="P2942" s="102"/>
      <c r="Q2942" s="102"/>
      <c r="R2942" s="102"/>
    </row>
    <row r="2943" spans="1:18" ht="35.1" customHeight="1" x14ac:dyDescent="0.2">
      <c r="A2943" s="99"/>
      <c r="B2943" s="99"/>
      <c r="C2943" s="102"/>
      <c r="D2943" s="102"/>
      <c r="E2943" s="102"/>
      <c r="F2943" s="102"/>
      <c r="G2943" s="102"/>
      <c r="H2943" s="102"/>
      <c r="I2943" s="102"/>
      <c r="J2943" s="102"/>
      <c r="K2943" s="102"/>
      <c r="L2943" s="102"/>
      <c r="M2943" s="102"/>
      <c r="N2943" s="102"/>
      <c r="O2943" s="102"/>
      <c r="P2943" s="102"/>
      <c r="Q2943" s="102"/>
      <c r="R2943" s="102"/>
    </row>
    <row r="2944" spans="1:18" ht="35.1" customHeight="1" x14ac:dyDescent="0.2">
      <c r="A2944" s="99"/>
      <c r="B2944" s="99"/>
      <c r="C2944" s="102"/>
      <c r="D2944" s="102"/>
      <c r="E2944" s="102"/>
      <c r="F2944" s="102"/>
      <c r="G2944" s="102"/>
      <c r="H2944" s="102"/>
      <c r="I2944" s="102"/>
      <c r="J2944" s="102"/>
      <c r="K2944" s="102"/>
      <c r="L2944" s="102"/>
      <c r="M2944" s="102"/>
      <c r="N2944" s="102"/>
      <c r="O2944" s="102"/>
      <c r="P2944" s="102"/>
      <c r="Q2944" s="102"/>
      <c r="R2944" s="102"/>
    </row>
    <row r="2945" spans="1:18" ht="35.1" customHeight="1" x14ac:dyDescent="0.2">
      <c r="A2945" s="99"/>
      <c r="B2945" s="99"/>
      <c r="C2945" s="102"/>
      <c r="D2945" s="102"/>
      <c r="E2945" s="102"/>
      <c r="F2945" s="102"/>
      <c r="G2945" s="102"/>
      <c r="H2945" s="102"/>
      <c r="I2945" s="102"/>
      <c r="J2945" s="102"/>
      <c r="K2945" s="102"/>
      <c r="L2945" s="102"/>
      <c r="M2945" s="102"/>
      <c r="N2945" s="102"/>
      <c r="O2945" s="102"/>
      <c r="P2945" s="102"/>
      <c r="Q2945" s="102"/>
      <c r="R2945" s="102"/>
    </row>
    <row r="2946" spans="1:18" ht="35.1" customHeight="1" x14ac:dyDescent="0.2">
      <c r="A2946" s="99"/>
      <c r="B2946" s="99"/>
      <c r="C2946" s="102"/>
      <c r="D2946" s="102"/>
      <c r="E2946" s="102"/>
      <c r="F2946" s="102"/>
      <c r="G2946" s="102"/>
      <c r="H2946" s="102"/>
      <c r="I2946" s="102"/>
      <c r="J2946" s="102"/>
      <c r="K2946" s="102"/>
      <c r="L2946" s="102"/>
      <c r="M2946" s="102"/>
      <c r="N2946" s="102"/>
      <c r="O2946" s="102"/>
      <c r="P2946" s="102"/>
      <c r="Q2946" s="102"/>
      <c r="R2946" s="102"/>
    </row>
    <row r="2947" spans="1:18" ht="35.1" customHeight="1" x14ac:dyDescent="0.2">
      <c r="A2947" s="99"/>
      <c r="B2947" s="99"/>
      <c r="C2947" s="102"/>
      <c r="D2947" s="102"/>
      <c r="E2947" s="102"/>
      <c r="F2947" s="102"/>
      <c r="G2947" s="102"/>
      <c r="H2947" s="102"/>
      <c r="I2947" s="102"/>
      <c r="J2947" s="102"/>
      <c r="K2947" s="102"/>
      <c r="L2947" s="102"/>
      <c r="M2947" s="102"/>
      <c r="N2947" s="102"/>
      <c r="O2947" s="102"/>
      <c r="P2947" s="102"/>
      <c r="Q2947" s="102"/>
      <c r="R2947" s="102"/>
    </row>
    <row r="2948" spans="1:18" ht="35.1" customHeight="1" x14ac:dyDescent="0.2">
      <c r="A2948" s="99"/>
      <c r="B2948" s="99"/>
      <c r="C2948" s="102"/>
      <c r="D2948" s="102"/>
      <c r="E2948" s="102"/>
      <c r="F2948" s="102"/>
      <c r="G2948" s="102"/>
      <c r="H2948" s="102"/>
      <c r="I2948" s="102"/>
      <c r="J2948" s="102"/>
      <c r="K2948" s="102"/>
      <c r="L2948" s="102"/>
      <c r="M2948" s="102"/>
      <c r="N2948" s="102"/>
      <c r="O2948" s="102"/>
      <c r="P2948" s="102"/>
      <c r="Q2948" s="102"/>
      <c r="R2948" s="102"/>
    </row>
    <row r="2949" spans="1:18" ht="35.1" customHeight="1" x14ac:dyDescent="0.2">
      <c r="A2949" s="99"/>
      <c r="B2949" s="99"/>
      <c r="C2949" s="102"/>
      <c r="D2949" s="102"/>
      <c r="E2949" s="102"/>
      <c r="F2949" s="102"/>
      <c r="G2949" s="102"/>
      <c r="H2949" s="102"/>
      <c r="I2949" s="102"/>
      <c r="J2949" s="102"/>
      <c r="K2949" s="102"/>
      <c r="L2949" s="102"/>
      <c r="M2949" s="102"/>
      <c r="N2949" s="102"/>
      <c r="O2949" s="102"/>
      <c r="P2949" s="102"/>
      <c r="Q2949" s="102"/>
      <c r="R2949" s="102"/>
    </row>
    <row r="2950" spans="1:18" ht="35.1" customHeight="1" x14ac:dyDescent="0.2">
      <c r="A2950" s="99"/>
      <c r="B2950" s="99"/>
      <c r="C2950" s="102"/>
      <c r="D2950" s="102"/>
      <c r="E2950" s="102"/>
      <c r="F2950" s="102"/>
      <c r="G2950" s="102"/>
      <c r="H2950" s="102"/>
      <c r="I2950" s="102"/>
      <c r="J2950" s="102"/>
      <c r="K2950" s="102"/>
      <c r="L2950" s="102"/>
      <c r="M2950" s="102"/>
      <c r="N2950" s="102"/>
      <c r="O2950" s="102"/>
      <c r="P2950" s="102"/>
      <c r="Q2950" s="102"/>
      <c r="R2950" s="102"/>
    </row>
    <row r="2951" spans="1:18" ht="35.1" customHeight="1" x14ac:dyDescent="0.2">
      <c r="A2951" s="99"/>
      <c r="B2951" s="99"/>
      <c r="C2951" s="102"/>
      <c r="D2951" s="102"/>
      <c r="E2951" s="102"/>
      <c r="F2951" s="102"/>
      <c r="G2951" s="102"/>
      <c r="H2951" s="102"/>
      <c r="I2951" s="102"/>
      <c r="J2951" s="102"/>
      <c r="K2951" s="102"/>
      <c r="L2951" s="102"/>
      <c r="M2951" s="102"/>
      <c r="N2951" s="102"/>
      <c r="O2951" s="102"/>
      <c r="P2951" s="102"/>
      <c r="Q2951" s="102"/>
      <c r="R2951" s="102"/>
    </row>
    <row r="2952" spans="1:18" ht="35.1" customHeight="1" x14ac:dyDescent="0.2">
      <c r="A2952" s="99"/>
      <c r="B2952" s="99"/>
      <c r="C2952" s="102"/>
      <c r="D2952" s="102"/>
      <c r="E2952" s="102"/>
      <c r="F2952" s="102"/>
      <c r="G2952" s="102"/>
      <c r="H2952" s="102"/>
      <c r="I2952" s="102"/>
      <c r="J2952" s="102"/>
      <c r="K2952" s="102"/>
      <c r="L2952" s="102"/>
      <c r="M2952" s="102"/>
      <c r="N2952" s="102"/>
      <c r="O2952" s="102"/>
      <c r="P2952" s="102"/>
      <c r="Q2952" s="102"/>
      <c r="R2952" s="102"/>
    </row>
    <row r="2953" spans="1:18" ht="35.1" customHeight="1" x14ac:dyDescent="0.2">
      <c r="A2953" s="99"/>
      <c r="B2953" s="99"/>
      <c r="C2953" s="102"/>
      <c r="D2953" s="102"/>
      <c r="E2953" s="102"/>
      <c r="F2953" s="102"/>
      <c r="G2953" s="102"/>
      <c r="H2953" s="102"/>
      <c r="I2953" s="102"/>
      <c r="J2953" s="102"/>
      <c r="K2953" s="102"/>
      <c r="L2953" s="102"/>
      <c r="M2953" s="102"/>
      <c r="N2953" s="102"/>
      <c r="O2953" s="102"/>
      <c r="P2953" s="102"/>
      <c r="Q2953" s="102"/>
      <c r="R2953" s="102"/>
    </row>
    <row r="2954" spans="1:18" ht="35.1" customHeight="1" x14ac:dyDescent="0.2">
      <c r="A2954" s="99"/>
      <c r="B2954" s="99"/>
      <c r="C2954" s="102"/>
      <c r="D2954" s="102"/>
      <c r="E2954" s="102"/>
      <c r="F2954" s="102"/>
      <c r="G2954" s="102"/>
      <c r="H2954" s="102"/>
      <c r="I2954" s="102"/>
      <c r="J2954" s="102"/>
      <c r="K2954" s="102"/>
      <c r="L2954" s="102"/>
      <c r="M2954" s="102"/>
      <c r="N2954" s="102"/>
      <c r="O2954" s="102"/>
      <c r="P2954" s="102"/>
      <c r="Q2954" s="102"/>
      <c r="R2954" s="102"/>
    </row>
    <row r="2955" spans="1:18" ht="35.1" customHeight="1" x14ac:dyDescent="0.2">
      <c r="A2955" s="99"/>
      <c r="B2955" s="99"/>
      <c r="C2955" s="102"/>
      <c r="D2955" s="102"/>
      <c r="E2955" s="102"/>
      <c r="F2955" s="102"/>
      <c r="G2955" s="102"/>
      <c r="H2955" s="102"/>
      <c r="I2955" s="102"/>
      <c r="J2955" s="102"/>
      <c r="K2955" s="102"/>
      <c r="L2955" s="102"/>
      <c r="M2955" s="102"/>
      <c r="N2955" s="102"/>
      <c r="O2955" s="102"/>
      <c r="P2955" s="102"/>
      <c r="Q2955" s="102"/>
      <c r="R2955" s="102"/>
    </row>
    <row r="2956" spans="1:18" ht="35.1" customHeight="1" x14ac:dyDescent="0.2">
      <c r="A2956" s="99"/>
      <c r="B2956" s="99"/>
      <c r="C2956" s="102"/>
      <c r="D2956" s="102"/>
      <c r="E2956" s="102"/>
      <c r="F2956" s="102"/>
      <c r="G2956" s="102"/>
      <c r="H2956" s="102"/>
      <c r="I2956" s="102"/>
      <c r="J2956" s="102"/>
      <c r="K2956" s="102"/>
      <c r="L2956" s="102"/>
      <c r="M2956" s="102"/>
      <c r="N2956" s="102"/>
      <c r="O2956" s="102"/>
      <c r="P2956" s="102"/>
      <c r="Q2956" s="102"/>
      <c r="R2956" s="102"/>
    </row>
    <row r="2957" spans="1:18" ht="35.1" customHeight="1" x14ac:dyDescent="0.2">
      <c r="A2957" s="99"/>
      <c r="B2957" s="99"/>
      <c r="C2957" s="102"/>
      <c r="D2957" s="102"/>
      <c r="E2957" s="102"/>
      <c r="F2957" s="102"/>
      <c r="G2957" s="102"/>
      <c r="H2957" s="102"/>
      <c r="I2957" s="102"/>
      <c r="J2957" s="102"/>
      <c r="K2957" s="102"/>
      <c r="L2957" s="102"/>
      <c r="M2957" s="102"/>
      <c r="N2957" s="102"/>
      <c r="O2957" s="102"/>
      <c r="P2957" s="102"/>
      <c r="Q2957" s="102"/>
      <c r="R2957" s="102"/>
    </row>
    <row r="2958" spans="1:18" ht="35.1" customHeight="1" x14ac:dyDescent="0.2">
      <c r="A2958" s="99"/>
      <c r="B2958" s="99"/>
      <c r="C2958" s="102"/>
      <c r="D2958" s="102"/>
      <c r="E2958" s="102"/>
      <c r="F2958" s="102"/>
      <c r="G2958" s="102"/>
      <c r="H2958" s="102"/>
      <c r="I2958" s="102"/>
      <c r="J2958" s="102"/>
      <c r="K2958" s="102"/>
      <c r="L2958" s="102"/>
      <c r="M2958" s="102"/>
      <c r="N2958" s="102"/>
      <c r="O2958" s="102"/>
      <c r="P2958" s="102"/>
      <c r="Q2958" s="102"/>
      <c r="R2958" s="102"/>
    </row>
    <row r="2959" spans="1:18" ht="35.1" customHeight="1" x14ac:dyDescent="0.2">
      <c r="A2959" s="99"/>
      <c r="B2959" s="99"/>
      <c r="C2959" s="102"/>
      <c r="D2959" s="102"/>
      <c r="E2959" s="102"/>
      <c r="F2959" s="102"/>
      <c r="G2959" s="102"/>
      <c r="H2959" s="102"/>
      <c r="I2959" s="102"/>
      <c r="J2959" s="102"/>
      <c r="K2959" s="102"/>
      <c r="L2959" s="102"/>
      <c r="M2959" s="102"/>
      <c r="N2959" s="102"/>
      <c r="O2959" s="102"/>
      <c r="P2959" s="102"/>
      <c r="Q2959" s="102"/>
      <c r="R2959" s="102"/>
    </row>
    <row r="2960" spans="1:18" ht="35.1" customHeight="1" x14ac:dyDescent="0.2">
      <c r="A2960" s="99"/>
      <c r="B2960" s="99"/>
      <c r="C2960" s="102"/>
      <c r="D2960" s="102"/>
      <c r="E2960" s="102"/>
      <c r="F2960" s="102"/>
      <c r="G2960" s="102"/>
      <c r="H2960" s="102"/>
      <c r="I2960" s="102"/>
      <c r="J2960" s="102"/>
      <c r="K2960" s="102"/>
      <c r="L2960" s="102"/>
      <c r="M2960" s="102"/>
      <c r="N2960" s="102"/>
      <c r="O2960" s="102"/>
      <c r="P2960" s="102"/>
      <c r="Q2960" s="102"/>
      <c r="R2960" s="102"/>
    </row>
    <row r="2961" spans="1:18" ht="35.1" customHeight="1" x14ac:dyDescent="0.2">
      <c r="A2961" s="99"/>
      <c r="B2961" s="99"/>
      <c r="C2961" s="102"/>
      <c r="D2961" s="102"/>
      <c r="E2961" s="102"/>
      <c r="F2961" s="102"/>
      <c r="G2961" s="102"/>
      <c r="H2961" s="102"/>
      <c r="I2961" s="102"/>
      <c r="J2961" s="102"/>
      <c r="K2961" s="102"/>
      <c r="L2961" s="102"/>
      <c r="M2961" s="102"/>
      <c r="N2961" s="102"/>
      <c r="O2961" s="102"/>
      <c r="P2961" s="102"/>
      <c r="Q2961" s="102"/>
      <c r="R2961" s="102"/>
    </row>
    <row r="2962" spans="1:18" ht="35.1" customHeight="1" x14ac:dyDescent="0.2">
      <c r="A2962" s="99"/>
      <c r="B2962" s="99"/>
      <c r="C2962" s="102"/>
      <c r="D2962" s="102"/>
      <c r="E2962" s="102"/>
      <c r="F2962" s="102"/>
      <c r="G2962" s="102"/>
      <c r="H2962" s="102"/>
      <c r="I2962" s="102"/>
      <c r="J2962" s="102"/>
      <c r="K2962" s="102"/>
      <c r="L2962" s="102"/>
      <c r="M2962" s="102"/>
      <c r="N2962" s="102"/>
      <c r="O2962" s="102"/>
      <c r="P2962" s="102"/>
      <c r="Q2962" s="102"/>
      <c r="R2962" s="102"/>
    </row>
    <row r="2963" spans="1:18" ht="35.1" customHeight="1" x14ac:dyDescent="0.2">
      <c r="A2963" s="99"/>
      <c r="B2963" s="99"/>
      <c r="C2963" s="102"/>
      <c r="D2963" s="102"/>
      <c r="E2963" s="102"/>
      <c r="F2963" s="102"/>
      <c r="G2963" s="102"/>
      <c r="H2963" s="102"/>
      <c r="I2963" s="102"/>
      <c r="J2963" s="102"/>
      <c r="K2963" s="102"/>
      <c r="L2963" s="102"/>
      <c r="M2963" s="102"/>
      <c r="N2963" s="102"/>
      <c r="O2963" s="102"/>
      <c r="P2963" s="102"/>
      <c r="Q2963" s="102"/>
      <c r="R2963" s="102"/>
    </row>
    <row r="2964" spans="1:18" ht="35.1" customHeight="1" x14ac:dyDescent="0.2">
      <c r="A2964" s="99"/>
      <c r="B2964" s="99"/>
      <c r="C2964" s="102"/>
      <c r="D2964" s="102"/>
      <c r="E2964" s="102"/>
      <c r="F2964" s="102"/>
      <c r="G2964" s="102"/>
      <c r="H2964" s="102"/>
      <c r="I2964" s="102"/>
      <c r="J2964" s="102"/>
      <c r="K2964" s="102"/>
      <c r="L2964" s="102"/>
      <c r="M2964" s="102"/>
      <c r="N2964" s="102"/>
      <c r="O2964" s="102"/>
      <c r="P2964" s="102"/>
      <c r="Q2964" s="102"/>
      <c r="R2964" s="102"/>
    </row>
    <row r="2965" spans="1:18" ht="35.1" customHeight="1" x14ac:dyDescent="0.2">
      <c r="A2965" s="99"/>
      <c r="B2965" s="99"/>
      <c r="C2965" s="102"/>
      <c r="D2965" s="102"/>
      <c r="E2965" s="102"/>
      <c r="F2965" s="102"/>
      <c r="G2965" s="102"/>
      <c r="H2965" s="102"/>
      <c r="I2965" s="102"/>
      <c r="J2965" s="102"/>
      <c r="K2965" s="102"/>
      <c r="L2965" s="102"/>
      <c r="M2965" s="102"/>
      <c r="N2965" s="102"/>
      <c r="O2965" s="102"/>
      <c r="P2965" s="102"/>
      <c r="Q2965" s="102"/>
      <c r="R2965" s="102"/>
    </row>
    <row r="2966" spans="1:18" ht="35.1" customHeight="1" x14ac:dyDescent="0.2">
      <c r="A2966" s="99"/>
      <c r="B2966" s="99"/>
      <c r="C2966" s="102"/>
      <c r="D2966" s="102"/>
      <c r="E2966" s="102"/>
      <c r="F2966" s="102"/>
      <c r="G2966" s="102"/>
      <c r="H2966" s="102"/>
      <c r="I2966" s="102"/>
      <c r="J2966" s="102"/>
      <c r="K2966" s="102"/>
      <c r="L2966" s="102"/>
      <c r="M2966" s="102"/>
      <c r="N2966" s="102"/>
      <c r="O2966" s="102"/>
      <c r="P2966" s="102"/>
      <c r="Q2966" s="102"/>
      <c r="R2966" s="102"/>
    </row>
    <row r="2967" spans="1:18" ht="35.1" customHeight="1" x14ac:dyDescent="0.2">
      <c r="A2967" s="99"/>
      <c r="B2967" s="99"/>
      <c r="C2967" s="102"/>
      <c r="D2967" s="102"/>
      <c r="E2967" s="102"/>
      <c r="F2967" s="102"/>
      <c r="G2967" s="102"/>
      <c r="H2967" s="102"/>
      <c r="I2967" s="102"/>
      <c r="J2967" s="102"/>
      <c r="K2967" s="102"/>
      <c r="L2967" s="102"/>
      <c r="M2967" s="102"/>
      <c r="N2967" s="102"/>
      <c r="O2967" s="102"/>
      <c r="P2967" s="102"/>
      <c r="Q2967" s="102"/>
      <c r="R2967" s="102"/>
    </row>
    <row r="2968" spans="1:18" ht="35.1" customHeight="1" x14ac:dyDescent="0.2">
      <c r="A2968" s="99"/>
      <c r="B2968" s="99"/>
      <c r="C2968" s="102"/>
      <c r="D2968" s="102"/>
      <c r="E2968" s="102"/>
      <c r="F2968" s="102"/>
      <c r="G2968" s="102"/>
      <c r="H2968" s="102"/>
      <c r="I2968" s="102"/>
      <c r="J2968" s="102"/>
      <c r="K2968" s="102"/>
      <c r="L2968" s="102"/>
      <c r="M2968" s="102"/>
      <c r="N2968" s="102"/>
      <c r="O2968" s="102"/>
      <c r="P2968" s="102"/>
      <c r="Q2968" s="102"/>
      <c r="R2968" s="102"/>
    </row>
    <row r="2969" spans="1:18" ht="35.1" customHeight="1" x14ac:dyDescent="0.2">
      <c r="A2969" s="99"/>
      <c r="B2969" s="99"/>
      <c r="C2969" s="102"/>
      <c r="D2969" s="102"/>
      <c r="E2969" s="102"/>
      <c r="F2969" s="102"/>
      <c r="G2969" s="102"/>
      <c r="H2969" s="102"/>
      <c r="I2969" s="102"/>
      <c r="J2969" s="102"/>
      <c r="K2969" s="102"/>
      <c r="L2969" s="102"/>
      <c r="M2969" s="102"/>
      <c r="N2969" s="102"/>
      <c r="O2969" s="102"/>
      <c r="P2969" s="102"/>
      <c r="Q2969" s="102"/>
      <c r="R2969" s="102"/>
    </row>
    <row r="2970" spans="1:18" ht="35.1" customHeight="1" x14ac:dyDescent="0.2">
      <c r="A2970" s="99"/>
      <c r="B2970" s="99"/>
      <c r="C2970" s="102"/>
      <c r="D2970" s="102"/>
      <c r="E2970" s="102"/>
      <c r="F2970" s="102"/>
      <c r="G2970" s="102"/>
      <c r="H2970" s="102"/>
      <c r="I2970" s="102"/>
      <c r="J2970" s="102"/>
      <c r="K2970" s="102"/>
      <c r="L2970" s="102"/>
      <c r="M2970" s="102"/>
      <c r="N2970" s="102"/>
      <c r="O2970" s="102"/>
      <c r="P2970" s="102"/>
      <c r="Q2970" s="102"/>
      <c r="R2970" s="102"/>
    </row>
    <row r="2971" spans="1:18" ht="35.1" customHeight="1" x14ac:dyDescent="0.2">
      <c r="A2971" s="99"/>
      <c r="B2971" s="99"/>
      <c r="C2971" s="102"/>
      <c r="D2971" s="102"/>
      <c r="E2971" s="102"/>
      <c r="F2971" s="102"/>
      <c r="G2971" s="102"/>
      <c r="H2971" s="102"/>
      <c r="I2971" s="102"/>
      <c r="J2971" s="102"/>
      <c r="K2971" s="102"/>
      <c r="L2971" s="102"/>
      <c r="M2971" s="102"/>
      <c r="N2971" s="102"/>
      <c r="O2971" s="102"/>
      <c r="P2971" s="102"/>
      <c r="Q2971" s="102"/>
      <c r="R2971" s="102"/>
    </row>
    <row r="2972" spans="1:18" ht="35.1" customHeight="1" x14ac:dyDescent="0.2">
      <c r="A2972" s="99"/>
      <c r="B2972" s="99"/>
      <c r="C2972" s="102"/>
      <c r="D2972" s="102"/>
      <c r="E2972" s="102"/>
      <c r="F2972" s="102"/>
      <c r="G2972" s="102"/>
      <c r="H2972" s="102"/>
      <c r="I2972" s="102"/>
      <c r="J2972" s="102"/>
      <c r="K2972" s="102"/>
      <c r="L2972" s="102"/>
      <c r="M2972" s="102"/>
      <c r="N2972" s="102"/>
      <c r="O2972" s="102"/>
      <c r="P2972" s="102"/>
      <c r="Q2972" s="102"/>
      <c r="R2972" s="102"/>
    </row>
    <row r="2973" spans="1:18" ht="35.1" customHeight="1" x14ac:dyDescent="0.2">
      <c r="A2973" s="99"/>
      <c r="B2973" s="99"/>
      <c r="C2973" s="102"/>
      <c r="D2973" s="102"/>
      <c r="E2973" s="102"/>
      <c r="F2973" s="102"/>
      <c r="G2973" s="102"/>
      <c r="H2973" s="102"/>
      <c r="I2973" s="102"/>
      <c r="J2973" s="102"/>
      <c r="K2973" s="102"/>
      <c r="L2973" s="102"/>
      <c r="M2973" s="102"/>
      <c r="N2973" s="102"/>
      <c r="O2973" s="102"/>
      <c r="P2973" s="102"/>
      <c r="Q2973" s="102"/>
      <c r="R2973" s="102"/>
    </row>
    <row r="2974" spans="1:18" ht="35.1" customHeight="1" x14ac:dyDescent="0.2">
      <c r="A2974" s="99"/>
      <c r="B2974" s="99"/>
      <c r="C2974" s="102"/>
      <c r="D2974" s="102"/>
      <c r="E2974" s="102"/>
      <c r="F2974" s="102"/>
      <c r="G2974" s="102"/>
      <c r="H2974" s="102"/>
      <c r="I2974" s="102"/>
      <c r="J2974" s="102"/>
      <c r="K2974" s="102"/>
      <c r="L2974" s="102"/>
      <c r="M2974" s="102"/>
      <c r="N2974" s="102"/>
      <c r="O2974" s="102"/>
      <c r="P2974" s="102"/>
      <c r="Q2974" s="102"/>
      <c r="R2974" s="102"/>
    </row>
    <row r="2975" spans="1:18" ht="35.1" customHeight="1" x14ac:dyDescent="0.2">
      <c r="A2975" s="99"/>
      <c r="B2975" s="99"/>
      <c r="C2975" s="102"/>
      <c r="D2975" s="102"/>
      <c r="E2975" s="102"/>
      <c r="F2975" s="102"/>
      <c r="G2975" s="102"/>
      <c r="H2975" s="102"/>
      <c r="I2975" s="102"/>
      <c r="J2975" s="102"/>
      <c r="K2975" s="102"/>
      <c r="L2975" s="102"/>
      <c r="M2975" s="102"/>
      <c r="N2975" s="102"/>
      <c r="O2975" s="102"/>
      <c r="P2975" s="102"/>
      <c r="Q2975" s="102"/>
      <c r="R2975" s="102"/>
    </row>
    <row r="2976" spans="1:18" ht="35.1" customHeight="1" x14ac:dyDescent="0.2">
      <c r="A2976" s="99"/>
      <c r="B2976" s="99"/>
      <c r="C2976" s="102"/>
      <c r="D2976" s="102"/>
      <c r="E2976" s="102"/>
      <c r="F2976" s="102"/>
      <c r="G2976" s="102"/>
      <c r="H2976" s="102"/>
      <c r="I2976" s="102"/>
      <c r="J2976" s="102"/>
      <c r="K2976" s="102"/>
      <c r="L2976" s="102"/>
      <c r="M2976" s="102"/>
      <c r="N2976" s="102"/>
      <c r="O2976" s="102"/>
      <c r="P2976" s="102"/>
      <c r="Q2976" s="102"/>
      <c r="R2976" s="102"/>
    </row>
    <row r="2977" spans="1:18" ht="35.1" customHeight="1" x14ac:dyDescent="0.2">
      <c r="A2977" s="99"/>
      <c r="B2977" s="99"/>
      <c r="C2977" s="102"/>
      <c r="D2977" s="102"/>
      <c r="E2977" s="102"/>
      <c r="F2977" s="102"/>
      <c r="G2977" s="102"/>
      <c r="H2977" s="102"/>
      <c r="I2977" s="102"/>
      <c r="J2977" s="102"/>
      <c r="K2977" s="102"/>
      <c r="L2977" s="102"/>
      <c r="M2977" s="102"/>
      <c r="N2977" s="102"/>
      <c r="O2977" s="102"/>
      <c r="P2977" s="102"/>
      <c r="Q2977" s="102"/>
      <c r="R2977" s="102"/>
    </row>
    <row r="2978" spans="1:18" ht="35.1" customHeight="1" x14ac:dyDescent="0.2">
      <c r="A2978" s="99"/>
      <c r="B2978" s="99"/>
      <c r="C2978" s="102"/>
      <c r="D2978" s="102"/>
      <c r="E2978" s="102"/>
      <c r="F2978" s="102"/>
      <c r="G2978" s="102"/>
      <c r="H2978" s="102"/>
      <c r="I2978" s="102"/>
      <c r="J2978" s="102"/>
      <c r="K2978" s="102"/>
      <c r="L2978" s="102"/>
      <c r="M2978" s="102"/>
      <c r="N2978" s="102"/>
      <c r="O2978" s="102"/>
      <c r="P2978" s="102"/>
      <c r="Q2978" s="102"/>
      <c r="R2978" s="102"/>
    </row>
    <row r="2979" spans="1:18" ht="35.1" customHeight="1" x14ac:dyDescent="0.2">
      <c r="A2979" s="99"/>
      <c r="B2979" s="99"/>
      <c r="C2979" s="102"/>
      <c r="D2979" s="102"/>
      <c r="E2979" s="102"/>
      <c r="F2979" s="102"/>
      <c r="G2979" s="102"/>
      <c r="H2979" s="102"/>
      <c r="I2979" s="102"/>
      <c r="J2979" s="102"/>
      <c r="K2979" s="102"/>
      <c r="L2979" s="102"/>
      <c r="M2979" s="102"/>
      <c r="N2979" s="102"/>
      <c r="O2979" s="102"/>
      <c r="P2979" s="102"/>
      <c r="Q2979" s="102"/>
      <c r="R2979" s="102"/>
    </row>
    <row r="2980" spans="1:18" ht="35.1" customHeight="1" x14ac:dyDescent="0.2">
      <c r="A2980" s="99"/>
      <c r="B2980" s="99"/>
      <c r="C2980" s="102"/>
      <c r="D2980" s="102"/>
      <c r="E2980" s="102"/>
      <c r="F2980" s="102"/>
      <c r="G2980" s="102"/>
      <c r="H2980" s="102"/>
      <c r="I2980" s="102"/>
      <c r="J2980" s="102"/>
      <c r="K2980" s="102"/>
      <c r="L2980" s="102"/>
      <c r="M2980" s="102"/>
      <c r="N2980" s="102"/>
      <c r="O2980" s="102"/>
      <c r="P2980" s="102"/>
      <c r="Q2980" s="102"/>
      <c r="R2980" s="102"/>
    </row>
    <row r="2981" spans="1:18" ht="35.1" customHeight="1" x14ac:dyDescent="0.2">
      <c r="A2981" s="99"/>
      <c r="B2981" s="99"/>
      <c r="C2981" s="102"/>
      <c r="D2981" s="102"/>
      <c r="E2981" s="102"/>
      <c r="F2981" s="102"/>
      <c r="G2981" s="102"/>
      <c r="H2981" s="102"/>
      <c r="I2981" s="102"/>
      <c r="J2981" s="102"/>
      <c r="K2981" s="102"/>
      <c r="L2981" s="102"/>
      <c r="M2981" s="102"/>
      <c r="N2981" s="102"/>
      <c r="O2981" s="102"/>
      <c r="P2981" s="102"/>
      <c r="Q2981" s="102"/>
      <c r="R2981" s="102"/>
    </row>
    <row r="2982" spans="1:18" ht="35.1" customHeight="1" x14ac:dyDescent="0.2">
      <c r="A2982" s="99"/>
      <c r="B2982" s="99"/>
      <c r="C2982" s="102"/>
      <c r="D2982" s="102"/>
      <c r="E2982" s="102"/>
      <c r="F2982" s="102"/>
      <c r="G2982" s="102"/>
      <c r="H2982" s="102"/>
      <c r="I2982" s="102"/>
      <c r="J2982" s="102"/>
      <c r="K2982" s="102"/>
      <c r="L2982" s="102"/>
      <c r="M2982" s="102"/>
      <c r="N2982" s="102"/>
      <c r="O2982" s="102"/>
      <c r="P2982" s="102"/>
      <c r="Q2982" s="102"/>
      <c r="R2982" s="102"/>
    </row>
    <row r="2983" spans="1:18" ht="35.1" customHeight="1" x14ac:dyDescent="0.2">
      <c r="A2983" s="99"/>
      <c r="B2983" s="99"/>
      <c r="C2983" s="102"/>
      <c r="D2983" s="102"/>
      <c r="E2983" s="102"/>
      <c r="F2983" s="102"/>
      <c r="G2983" s="102"/>
      <c r="H2983" s="102"/>
      <c r="I2983" s="102"/>
      <c r="J2983" s="102"/>
      <c r="K2983" s="102"/>
      <c r="L2983" s="102"/>
      <c r="M2983" s="102"/>
      <c r="N2983" s="102"/>
      <c r="O2983" s="102"/>
      <c r="P2983" s="102"/>
      <c r="Q2983" s="102"/>
      <c r="R2983" s="102"/>
    </row>
    <row r="2984" spans="1:18" ht="35.1" customHeight="1" x14ac:dyDescent="0.2">
      <c r="A2984" s="99"/>
      <c r="B2984" s="99"/>
      <c r="C2984" s="102"/>
      <c r="D2984" s="102"/>
      <c r="E2984" s="102"/>
      <c r="F2984" s="102"/>
      <c r="G2984" s="102"/>
      <c r="H2984" s="102"/>
      <c r="I2984" s="102"/>
      <c r="J2984" s="102"/>
      <c r="K2984" s="102"/>
      <c r="L2984" s="102"/>
      <c r="M2984" s="102"/>
      <c r="N2984" s="102"/>
      <c r="O2984" s="102"/>
      <c r="P2984" s="102"/>
      <c r="Q2984" s="102"/>
      <c r="R2984" s="102"/>
    </row>
    <row r="2985" spans="1:18" ht="35.1" customHeight="1" x14ac:dyDescent="0.2">
      <c r="A2985" s="99"/>
      <c r="B2985" s="99"/>
      <c r="C2985" s="102"/>
      <c r="D2985" s="102"/>
      <c r="E2985" s="102"/>
      <c r="F2985" s="102"/>
      <c r="G2985" s="102"/>
      <c r="H2985" s="102"/>
      <c r="I2985" s="102"/>
      <c r="J2985" s="102"/>
      <c r="K2985" s="102"/>
      <c r="L2985" s="102"/>
      <c r="M2985" s="102"/>
      <c r="N2985" s="102"/>
      <c r="O2985" s="102"/>
      <c r="P2985" s="102"/>
      <c r="Q2985" s="102"/>
      <c r="R2985" s="102"/>
    </row>
    <row r="2986" spans="1:18" ht="35.1" customHeight="1" x14ac:dyDescent="0.2">
      <c r="A2986" s="99"/>
      <c r="B2986" s="99"/>
      <c r="C2986" s="102"/>
      <c r="D2986" s="102"/>
      <c r="E2986" s="102"/>
      <c r="F2986" s="102"/>
      <c r="G2986" s="102"/>
      <c r="H2986" s="102"/>
      <c r="I2986" s="102"/>
      <c r="J2986" s="102"/>
      <c r="K2986" s="102"/>
      <c r="L2986" s="102"/>
      <c r="M2986" s="102"/>
      <c r="N2986" s="102"/>
      <c r="O2986" s="102"/>
      <c r="P2986" s="102"/>
      <c r="Q2986" s="102"/>
      <c r="R2986" s="102"/>
    </row>
    <row r="2987" spans="1:18" ht="35.1" customHeight="1" x14ac:dyDescent="0.2">
      <c r="A2987" s="99"/>
      <c r="B2987" s="99"/>
      <c r="C2987" s="102"/>
      <c r="D2987" s="102"/>
      <c r="E2987" s="102"/>
      <c r="F2987" s="102"/>
      <c r="G2987" s="102"/>
      <c r="H2987" s="102"/>
      <c r="I2987" s="102"/>
      <c r="J2987" s="102"/>
      <c r="K2987" s="102"/>
      <c r="L2987" s="102"/>
      <c r="M2987" s="102"/>
      <c r="N2987" s="102"/>
      <c r="O2987" s="102"/>
      <c r="P2987" s="102"/>
      <c r="Q2987" s="102"/>
      <c r="R2987" s="102"/>
    </row>
    <row r="2988" spans="1:18" ht="35.1" customHeight="1" x14ac:dyDescent="0.2">
      <c r="A2988" s="99"/>
      <c r="B2988" s="99"/>
      <c r="C2988" s="102"/>
      <c r="D2988" s="102"/>
      <c r="E2988" s="102"/>
      <c r="F2988" s="102"/>
      <c r="G2988" s="102"/>
      <c r="H2988" s="102"/>
      <c r="I2988" s="102"/>
      <c r="J2988" s="102"/>
      <c r="K2988" s="102"/>
      <c r="L2988" s="102"/>
      <c r="M2988" s="102"/>
      <c r="N2988" s="102"/>
      <c r="O2988" s="102"/>
      <c r="P2988" s="102"/>
      <c r="Q2988" s="102"/>
      <c r="R2988" s="102"/>
    </row>
    <row r="2989" spans="1:18" ht="35.1" customHeight="1" x14ac:dyDescent="0.2">
      <c r="A2989" s="99"/>
      <c r="B2989" s="99"/>
      <c r="C2989" s="102"/>
      <c r="D2989" s="102"/>
      <c r="E2989" s="102"/>
      <c r="F2989" s="102"/>
      <c r="G2989" s="102"/>
      <c r="H2989" s="102"/>
      <c r="I2989" s="102"/>
      <c r="J2989" s="102"/>
      <c r="K2989" s="102"/>
      <c r="L2989" s="102"/>
      <c r="M2989" s="102"/>
      <c r="N2989" s="102"/>
      <c r="O2989" s="102"/>
      <c r="P2989" s="102"/>
      <c r="Q2989" s="102"/>
      <c r="R2989" s="102"/>
    </row>
    <row r="2990" spans="1:18" ht="35.1" customHeight="1" x14ac:dyDescent="0.2">
      <c r="A2990" s="99"/>
      <c r="B2990" s="99"/>
      <c r="C2990" s="102"/>
      <c r="D2990" s="102"/>
      <c r="E2990" s="102"/>
      <c r="F2990" s="102"/>
      <c r="G2990" s="102"/>
      <c r="H2990" s="102"/>
      <c r="I2990" s="102"/>
      <c r="J2990" s="102"/>
      <c r="K2990" s="102"/>
      <c r="L2990" s="102"/>
      <c r="M2990" s="102"/>
      <c r="N2990" s="102"/>
      <c r="O2990" s="102"/>
      <c r="P2990" s="102"/>
      <c r="Q2990" s="102"/>
      <c r="R2990" s="102"/>
    </row>
    <row r="2991" spans="1:18" ht="35.1" customHeight="1" x14ac:dyDescent="0.2">
      <c r="A2991" s="99"/>
      <c r="B2991" s="99"/>
      <c r="C2991" s="102"/>
      <c r="D2991" s="102"/>
      <c r="E2991" s="102"/>
      <c r="F2991" s="102"/>
      <c r="G2991" s="102"/>
      <c r="H2991" s="102"/>
      <c r="I2991" s="102"/>
      <c r="J2991" s="102"/>
      <c r="K2991" s="102"/>
      <c r="L2991" s="102"/>
      <c r="M2991" s="102"/>
      <c r="N2991" s="102"/>
      <c r="O2991" s="102"/>
      <c r="P2991" s="102"/>
      <c r="Q2991" s="102"/>
      <c r="R2991" s="102"/>
    </row>
    <row r="2992" spans="1:18" ht="35.1" customHeight="1" x14ac:dyDescent="0.2">
      <c r="A2992" s="99"/>
      <c r="B2992" s="99"/>
      <c r="C2992" s="102"/>
      <c r="D2992" s="102"/>
      <c r="E2992" s="102"/>
      <c r="F2992" s="102"/>
      <c r="G2992" s="102"/>
      <c r="H2992" s="102"/>
      <c r="I2992" s="102"/>
      <c r="J2992" s="102"/>
      <c r="K2992" s="102"/>
      <c r="L2992" s="102"/>
      <c r="M2992" s="102"/>
      <c r="N2992" s="102"/>
      <c r="O2992" s="102"/>
      <c r="P2992" s="102"/>
      <c r="Q2992" s="102"/>
      <c r="R2992" s="102"/>
    </row>
    <row r="2993" spans="1:18" ht="35.1" customHeight="1" x14ac:dyDescent="0.2">
      <c r="A2993" s="99"/>
      <c r="B2993" s="99"/>
      <c r="C2993" s="102"/>
      <c r="D2993" s="102"/>
      <c r="E2993" s="102"/>
      <c r="F2993" s="102"/>
      <c r="G2993" s="102"/>
      <c r="H2993" s="102"/>
      <c r="I2993" s="102"/>
      <c r="J2993" s="102"/>
      <c r="K2993" s="102"/>
      <c r="L2993" s="102"/>
      <c r="M2993" s="102"/>
      <c r="N2993" s="102"/>
      <c r="O2993" s="102"/>
      <c r="P2993" s="102"/>
      <c r="Q2993" s="102"/>
      <c r="R2993" s="102"/>
    </row>
    <row r="2994" spans="1:18" ht="35.1" customHeight="1" x14ac:dyDescent="0.2">
      <c r="A2994" s="99"/>
      <c r="B2994" s="99"/>
      <c r="C2994" s="102"/>
      <c r="D2994" s="102"/>
      <c r="E2994" s="102"/>
      <c r="F2994" s="102"/>
      <c r="G2994" s="102"/>
      <c r="H2994" s="102"/>
      <c r="I2994" s="102"/>
      <c r="J2994" s="102"/>
      <c r="K2994" s="102"/>
      <c r="L2994" s="102"/>
      <c r="M2994" s="102"/>
      <c r="N2994" s="102"/>
      <c r="O2994" s="102"/>
      <c r="P2994" s="102"/>
      <c r="Q2994" s="102"/>
      <c r="R2994" s="102"/>
    </row>
    <row r="2995" spans="1:18" ht="35.1" customHeight="1" x14ac:dyDescent="0.2">
      <c r="A2995" s="99"/>
      <c r="B2995" s="99"/>
      <c r="C2995" s="102"/>
      <c r="D2995" s="102"/>
      <c r="E2995" s="102"/>
      <c r="F2995" s="102"/>
      <c r="G2995" s="102"/>
      <c r="H2995" s="102"/>
      <c r="I2995" s="102"/>
      <c r="J2995" s="102"/>
      <c r="K2995" s="102"/>
      <c r="L2995" s="102"/>
      <c r="M2995" s="102"/>
      <c r="N2995" s="102"/>
      <c r="O2995" s="102"/>
      <c r="P2995" s="102"/>
      <c r="Q2995" s="102"/>
      <c r="R2995" s="102"/>
    </row>
    <row r="2996" spans="1:18" ht="35.1" customHeight="1" x14ac:dyDescent="0.2">
      <c r="A2996" s="99"/>
      <c r="B2996" s="99"/>
      <c r="C2996" s="102"/>
      <c r="D2996" s="102"/>
      <c r="E2996" s="102"/>
      <c r="F2996" s="102"/>
      <c r="G2996" s="102"/>
      <c r="H2996" s="102"/>
      <c r="I2996" s="102"/>
      <c r="J2996" s="102"/>
      <c r="K2996" s="102"/>
      <c r="L2996" s="102"/>
      <c r="M2996" s="102"/>
      <c r="N2996" s="102"/>
      <c r="O2996" s="102"/>
      <c r="P2996" s="102"/>
      <c r="Q2996" s="102"/>
      <c r="R2996" s="102"/>
    </row>
    <row r="2997" spans="1:18" ht="35.1" customHeight="1" x14ac:dyDescent="0.2">
      <c r="A2997" s="99"/>
      <c r="B2997" s="99"/>
      <c r="C2997" s="102"/>
      <c r="D2997" s="102"/>
      <c r="E2997" s="102"/>
      <c r="F2997" s="102"/>
      <c r="G2997" s="102"/>
      <c r="H2997" s="102"/>
      <c r="I2997" s="102"/>
      <c r="J2997" s="102"/>
      <c r="K2997" s="102"/>
      <c r="L2997" s="102"/>
      <c r="M2997" s="102"/>
      <c r="N2997" s="102"/>
      <c r="O2997" s="102"/>
      <c r="P2997" s="102"/>
      <c r="Q2997" s="102"/>
      <c r="R2997" s="102"/>
    </row>
    <row r="2998" spans="1:18" ht="35.1" customHeight="1" x14ac:dyDescent="0.2">
      <c r="A2998" s="99"/>
      <c r="B2998" s="99"/>
      <c r="C2998" s="102"/>
      <c r="D2998" s="102"/>
      <c r="E2998" s="102"/>
      <c r="F2998" s="102"/>
      <c r="G2998" s="102"/>
      <c r="H2998" s="102"/>
      <c r="I2998" s="102"/>
      <c r="J2998" s="102"/>
      <c r="K2998" s="102"/>
      <c r="L2998" s="102"/>
      <c r="M2998" s="102"/>
      <c r="N2998" s="102"/>
      <c r="O2998" s="102"/>
      <c r="P2998" s="102"/>
      <c r="Q2998" s="102"/>
      <c r="R2998" s="102"/>
    </row>
    <row r="2999" spans="1:18" ht="35.1" customHeight="1" x14ac:dyDescent="0.2">
      <c r="A2999" s="99"/>
      <c r="B2999" s="99"/>
      <c r="C2999" s="102"/>
      <c r="D2999" s="102"/>
      <c r="E2999" s="102"/>
      <c r="F2999" s="102"/>
      <c r="G2999" s="102"/>
      <c r="H2999" s="102"/>
      <c r="I2999" s="102"/>
      <c r="J2999" s="102"/>
      <c r="K2999" s="102"/>
      <c r="L2999" s="102"/>
      <c r="M2999" s="102"/>
      <c r="N2999" s="102"/>
      <c r="O2999" s="102"/>
      <c r="P2999" s="102"/>
      <c r="Q2999" s="102"/>
      <c r="R2999" s="102"/>
    </row>
    <row r="3000" spans="1:18" ht="35.1" customHeight="1" x14ac:dyDescent="0.2">
      <c r="A3000" s="99"/>
      <c r="B3000" s="99"/>
      <c r="C3000" s="102"/>
      <c r="D3000" s="102"/>
      <c r="E3000" s="102"/>
      <c r="F3000" s="102"/>
      <c r="G3000" s="102"/>
      <c r="H3000" s="102"/>
      <c r="I3000" s="102"/>
      <c r="J3000" s="102"/>
      <c r="K3000" s="102"/>
      <c r="L3000" s="102"/>
      <c r="M3000" s="102"/>
      <c r="N3000" s="102"/>
      <c r="O3000" s="102"/>
      <c r="P3000" s="102"/>
      <c r="Q3000" s="102"/>
      <c r="R3000" s="102"/>
    </row>
    <row r="3001" spans="1:18" ht="35.1" customHeight="1" x14ac:dyDescent="0.2">
      <c r="A3001" s="99"/>
      <c r="B3001" s="99"/>
      <c r="C3001" s="102"/>
      <c r="D3001" s="102"/>
      <c r="E3001" s="102"/>
      <c r="F3001" s="102"/>
      <c r="G3001" s="102"/>
      <c r="H3001" s="102"/>
      <c r="I3001" s="102"/>
      <c r="J3001" s="102"/>
      <c r="K3001" s="102"/>
      <c r="L3001" s="102"/>
      <c r="M3001" s="102"/>
      <c r="N3001" s="102"/>
      <c r="O3001" s="102"/>
      <c r="P3001" s="102"/>
      <c r="Q3001" s="102"/>
      <c r="R3001" s="102"/>
    </row>
    <row r="3002" spans="1:18" ht="35.1" customHeight="1" x14ac:dyDescent="0.2">
      <c r="A3002" s="99"/>
      <c r="B3002" s="99"/>
      <c r="C3002" s="102"/>
      <c r="D3002" s="102"/>
      <c r="E3002" s="102"/>
      <c r="F3002" s="102"/>
      <c r="G3002" s="102"/>
      <c r="H3002" s="102"/>
      <c r="I3002" s="102"/>
      <c r="J3002" s="102"/>
      <c r="K3002" s="102"/>
      <c r="L3002" s="102"/>
      <c r="M3002" s="102"/>
      <c r="N3002" s="102"/>
      <c r="O3002" s="102"/>
      <c r="P3002" s="102"/>
      <c r="Q3002" s="102"/>
      <c r="R3002" s="102"/>
    </row>
    <row r="3003" spans="1:18" ht="35.1" customHeight="1" x14ac:dyDescent="0.2">
      <c r="A3003" s="99"/>
      <c r="B3003" s="99"/>
      <c r="C3003" s="102"/>
      <c r="D3003" s="102"/>
      <c r="E3003" s="102"/>
      <c r="F3003" s="102"/>
      <c r="G3003" s="102"/>
      <c r="H3003" s="102"/>
      <c r="I3003" s="102"/>
      <c r="J3003" s="102"/>
      <c r="K3003" s="102"/>
      <c r="L3003" s="102"/>
      <c r="M3003" s="102"/>
      <c r="N3003" s="102"/>
      <c r="O3003" s="102"/>
      <c r="P3003" s="102"/>
      <c r="Q3003" s="102"/>
      <c r="R3003" s="102"/>
    </row>
    <row r="3004" spans="1:18" ht="35.1" customHeight="1" x14ac:dyDescent="0.2">
      <c r="A3004" s="99"/>
      <c r="B3004" s="99"/>
      <c r="C3004" s="102"/>
      <c r="D3004" s="102"/>
      <c r="E3004" s="102"/>
      <c r="F3004" s="102"/>
      <c r="G3004" s="102"/>
      <c r="H3004" s="102"/>
      <c r="I3004" s="102"/>
      <c r="J3004" s="102"/>
      <c r="K3004" s="102"/>
      <c r="L3004" s="102"/>
      <c r="M3004" s="102"/>
      <c r="N3004" s="102"/>
      <c r="O3004" s="102"/>
      <c r="P3004" s="102"/>
      <c r="Q3004" s="102"/>
      <c r="R3004" s="102"/>
    </row>
    <row r="3005" spans="1:18" ht="35.1" customHeight="1" x14ac:dyDescent="0.2">
      <c r="A3005" s="99"/>
      <c r="B3005" s="99"/>
      <c r="C3005" s="102"/>
      <c r="D3005" s="102"/>
      <c r="E3005" s="102"/>
      <c r="F3005" s="102"/>
      <c r="G3005" s="102"/>
      <c r="H3005" s="102"/>
      <c r="I3005" s="102"/>
      <c r="J3005" s="102"/>
      <c r="K3005" s="102"/>
      <c r="L3005" s="102"/>
      <c r="M3005" s="102"/>
      <c r="N3005" s="102"/>
      <c r="O3005" s="102"/>
      <c r="P3005" s="102"/>
      <c r="Q3005" s="102"/>
      <c r="R3005" s="102"/>
    </row>
    <row r="3006" spans="1:18" ht="35.1" customHeight="1" x14ac:dyDescent="0.2">
      <c r="A3006" s="99"/>
      <c r="B3006" s="99"/>
      <c r="C3006" s="102"/>
      <c r="D3006" s="102"/>
      <c r="E3006" s="102"/>
      <c r="F3006" s="102"/>
      <c r="G3006" s="102"/>
      <c r="H3006" s="102"/>
      <c r="I3006" s="102"/>
      <c r="J3006" s="102"/>
      <c r="K3006" s="102"/>
      <c r="L3006" s="102"/>
      <c r="M3006" s="102"/>
      <c r="N3006" s="102"/>
      <c r="O3006" s="102"/>
      <c r="P3006" s="102"/>
      <c r="Q3006" s="102"/>
      <c r="R3006" s="102"/>
    </row>
    <row r="3007" spans="1:18" ht="35.1" customHeight="1" x14ac:dyDescent="0.2">
      <c r="A3007" s="99"/>
      <c r="B3007" s="99"/>
      <c r="C3007" s="102"/>
      <c r="D3007" s="102"/>
      <c r="E3007" s="102"/>
      <c r="F3007" s="102"/>
      <c r="G3007" s="102"/>
      <c r="H3007" s="102"/>
      <c r="I3007" s="102"/>
      <c r="J3007" s="102"/>
      <c r="K3007" s="102"/>
      <c r="L3007" s="102"/>
      <c r="M3007" s="102"/>
      <c r="N3007" s="102"/>
      <c r="O3007" s="102"/>
      <c r="P3007" s="102"/>
      <c r="Q3007" s="102"/>
      <c r="R3007" s="102"/>
    </row>
    <row r="3008" spans="1:18" ht="35.1" customHeight="1" x14ac:dyDescent="0.2">
      <c r="A3008" s="99"/>
      <c r="B3008" s="99"/>
      <c r="C3008" s="102"/>
      <c r="D3008" s="102"/>
      <c r="E3008" s="102"/>
      <c r="F3008" s="102"/>
      <c r="G3008" s="102"/>
      <c r="H3008" s="102"/>
      <c r="I3008" s="102"/>
      <c r="J3008" s="102"/>
      <c r="K3008" s="102"/>
      <c r="L3008" s="102"/>
      <c r="M3008" s="102"/>
      <c r="N3008" s="102"/>
      <c r="O3008" s="102"/>
      <c r="P3008" s="102"/>
      <c r="Q3008" s="102"/>
      <c r="R3008" s="102"/>
    </row>
    <row r="3009" spans="1:18" ht="35.1" customHeight="1" x14ac:dyDescent="0.2">
      <c r="A3009" s="99"/>
      <c r="B3009" s="99"/>
      <c r="C3009" s="102"/>
      <c r="D3009" s="102"/>
      <c r="E3009" s="102"/>
      <c r="F3009" s="102"/>
      <c r="G3009" s="102"/>
      <c r="H3009" s="102"/>
      <c r="I3009" s="102"/>
      <c r="J3009" s="102"/>
      <c r="K3009" s="102"/>
      <c r="L3009" s="102"/>
      <c r="M3009" s="102"/>
      <c r="N3009" s="102"/>
      <c r="O3009" s="102"/>
      <c r="P3009" s="102"/>
      <c r="Q3009" s="102"/>
      <c r="R3009" s="102"/>
    </row>
    <row r="3010" spans="1:18" ht="35.1" customHeight="1" x14ac:dyDescent="0.2">
      <c r="A3010" s="99"/>
      <c r="B3010" s="99"/>
      <c r="C3010" s="102"/>
      <c r="D3010" s="102"/>
      <c r="E3010" s="102"/>
      <c r="F3010" s="102"/>
      <c r="G3010" s="102"/>
      <c r="H3010" s="102"/>
      <c r="I3010" s="102"/>
      <c r="J3010" s="102"/>
      <c r="K3010" s="102"/>
      <c r="L3010" s="102"/>
      <c r="M3010" s="102"/>
      <c r="N3010" s="102"/>
      <c r="O3010" s="102"/>
      <c r="P3010" s="102"/>
      <c r="Q3010" s="102"/>
      <c r="R3010" s="102"/>
    </row>
    <row r="3011" spans="1:18" ht="35.1" customHeight="1" x14ac:dyDescent="0.2">
      <c r="A3011" s="99"/>
      <c r="B3011" s="99"/>
      <c r="C3011" s="102"/>
      <c r="D3011" s="102"/>
      <c r="E3011" s="102"/>
      <c r="F3011" s="102"/>
      <c r="G3011" s="102"/>
      <c r="H3011" s="102"/>
      <c r="I3011" s="102"/>
      <c r="J3011" s="102"/>
      <c r="K3011" s="102"/>
      <c r="L3011" s="102"/>
      <c r="M3011" s="102"/>
      <c r="N3011" s="102"/>
      <c r="O3011" s="102"/>
      <c r="P3011" s="102"/>
      <c r="Q3011" s="102"/>
      <c r="R3011" s="102"/>
    </row>
    <row r="3012" spans="1:18" ht="35.1" customHeight="1" x14ac:dyDescent="0.2">
      <c r="A3012" s="99"/>
      <c r="B3012" s="99"/>
      <c r="C3012" s="102"/>
      <c r="D3012" s="102"/>
      <c r="E3012" s="102"/>
      <c r="F3012" s="102"/>
      <c r="G3012" s="102"/>
      <c r="H3012" s="102"/>
      <c r="I3012" s="102"/>
      <c r="J3012" s="102"/>
      <c r="K3012" s="102"/>
      <c r="L3012" s="102"/>
      <c r="M3012" s="102"/>
      <c r="N3012" s="102"/>
      <c r="O3012" s="102"/>
      <c r="P3012" s="102"/>
      <c r="Q3012" s="102"/>
      <c r="R3012" s="102"/>
    </row>
    <row r="3013" spans="1:18" ht="35.1" customHeight="1" x14ac:dyDescent="0.2">
      <c r="A3013" s="99"/>
      <c r="B3013" s="99"/>
      <c r="C3013" s="102"/>
      <c r="D3013" s="102"/>
      <c r="E3013" s="102"/>
      <c r="F3013" s="102"/>
      <c r="G3013" s="102"/>
      <c r="H3013" s="102"/>
      <c r="I3013" s="102"/>
      <c r="J3013" s="102"/>
      <c r="K3013" s="102"/>
      <c r="L3013" s="102"/>
      <c r="M3013" s="102"/>
      <c r="N3013" s="102"/>
      <c r="O3013" s="102"/>
      <c r="P3013" s="102"/>
      <c r="Q3013" s="102"/>
      <c r="R3013" s="102"/>
    </row>
    <row r="3014" spans="1:18" ht="35.1" customHeight="1" x14ac:dyDescent="0.2">
      <c r="A3014" s="99"/>
      <c r="B3014" s="99"/>
      <c r="C3014" s="102"/>
      <c r="D3014" s="102"/>
      <c r="E3014" s="102"/>
      <c r="F3014" s="102"/>
      <c r="G3014" s="102"/>
      <c r="H3014" s="102"/>
      <c r="I3014" s="102"/>
      <c r="J3014" s="102"/>
      <c r="K3014" s="102"/>
      <c r="L3014" s="102"/>
      <c r="M3014" s="102"/>
      <c r="N3014" s="102"/>
      <c r="O3014" s="102"/>
      <c r="P3014" s="102"/>
      <c r="Q3014" s="102"/>
      <c r="R3014" s="102"/>
    </row>
    <row r="3015" spans="1:18" ht="35.1" customHeight="1" x14ac:dyDescent="0.2">
      <c r="A3015" s="99"/>
      <c r="B3015" s="99"/>
      <c r="C3015" s="102"/>
      <c r="D3015" s="102"/>
      <c r="E3015" s="102"/>
      <c r="F3015" s="102"/>
      <c r="G3015" s="102"/>
      <c r="H3015" s="102"/>
      <c r="I3015" s="102"/>
      <c r="J3015" s="102"/>
      <c r="K3015" s="102"/>
      <c r="L3015" s="102"/>
      <c r="M3015" s="102"/>
      <c r="N3015" s="102"/>
      <c r="O3015" s="102"/>
      <c r="P3015" s="102"/>
      <c r="Q3015" s="102"/>
      <c r="R3015" s="102"/>
    </row>
    <row r="3016" spans="1:18" ht="35.1" customHeight="1" x14ac:dyDescent="0.2">
      <c r="A3016" s="99"/>
      <c r="B3016" s="99"/>
      <c r="C3016" s="102"/>
      <c r="D3016" s="102"/>
      <c r="E3016" s="102"/>
      <c r="F3016" s="102"/>
      <c r="G3016" s="102"/>
      <c r="H3016" s="102"/>
      <c r="I3016" s="102"/>
      <c r="J3016" s="102"/>
      <c r="K3016" s="102"/>
      <c r="L3016" s="102"/>
      <c r="M3016" s="102"/>
      <c r="N3016" s="102"/>
      <c r="O3016" s="102"/>
      <c r="P3016" s="102"/>
      <c r="Q3016" s="102"/>
      <c r="R3016" s="102"/>
    </row>
    <row r="3017" spans="1:18" ht="35.1" customHeight="1" x14ac:dyDescent="0.2">
      <c r="A3017" s="99"/>
      <c r="B3017" s="99"/>
      <c r="C3017" s="102"/>
      <c r="D3017" s="102"/>
      <c r="E3017" s="102"/>
      <c r="F3017" s="102"/>
      <c r="G3017" s="102"/>
      <c r="H3017" s="102"/>
      <c r="I3017" s="102"/>
      <c r="J3017" s="102"/>
      <c r="K3017" s="102"/>
      <c r="L3017" s="102"/>
      <c r="M3017" s="102"/>
      <c r="N3017" s="102"/>
      <c r="O3017" s="102"/>
      <c r="P3017" s="102"/>
      <c r="Q3017" s="102"/>
      <c r="R3017" s="102"/>
    </row>
    <row r="3018" spans="1:18" ht="35.1" customHeight="1" x14ac:dyDescent="0.2">
      <c r="A3018" s="99"/>
      <c r="B3018" s="99"/>
      <c r="C3018" s="102"/>
      <c r="D3018" s="102"/>
      <c r="E3018" s="102"/>
      <c r="F3018" s="102"/>
      <c r="G3018" s="102"/>
      <c r="H3018" s="102"/>
      <c r="I3018" s="102"/>
      <c r="J3018" s="102"/>
      <c r="K3018" s="102"/>
      <c r="L3018" s="102"/>
      <c r="M3018" s="102"/>
      <c r="N3018" s="102"/>
      <c r="O3018" s="102"/>
      <c r="P3018" s="102"/>
      <c r="Q3018" s="102"/>
      <c r="R3018" s="102"/>
    </row>
    <row r="3019" spans="1:18" ht="35.1" customHeight="1" x14ac:dyDescent="0.2">
      <c r="A3019" s="99"/>
      <c r="B3019" s="99"/>
      <c r="C3019" s="102"/>
      <c r="D3019" s="102"/>
      <c r="E3019" s="102"/>
      <c r="F3019" s="102"/>
      <c r="G3019" s="102"/>
      <c r="H3019" s="102"/>
      <c r="I3019" s="102"/>
      <c r="J3019" s="102"/>
      <c r="K3019" s="102"/>
      <c r="L3019" s="102"/>
      <c r="M3019" s="102"/>
      <c r="N3019" s="102"/>
      <c r="O3019" s="102"/>
      <c r="P3019" s="102"/>
      <c r="Q3019" s="102"/>
      <c r="R3019" s="102"/>
    </row>
    <row r="3020" spans="1:18" ht="35.1" customHeight="1" x14ac:dyDescent="0.2">
      <c r="A3020" s="99"/>
      <c r="B3020" s="99"/>
      <c r="C3020" s="102"/>
      <c r="D3020" s="102"/>
      <c r="E3020" s="102"/>
      <c r="F3020" s="102"/>
      <c r="G3020" s="102"/>
      <c r="H3020" s="102"/>
      <c r="I3020" s="102"/>
      <c r="J3020" s="102"/>
      <c r="K3020" s="102"/>
      <c r="L3020" s="102"/>
      <c r="M3020" s="102"/>
      <c r="N3020" s="102"/>
      <c r="O3020" s="102"/>
      <c r="P3020" s="102"/>
      <c r="Q3020" s="102"/>
      <c r="R3020" s="102"/>
    </row>
    <row r="3021" spans="1:18" ht="35.1" customHeight="1" x14ac:dyDescent="0.2">
      <c r="A3021" s="99"/>
      <c r="B3021" s="99"/>
      <c r="C3021" s="102"/>
      <c r="D3021" s="102"/>
      <c r="E3021" s="102"/>
      <c r="F3021" s="102"/>
      <c r="G3021" s="102"/>
      <c r="H3021" s="102"/>
      <c r="I3021" s="102"/>
      <c r="J3021" s="102"/>
      <c r="K3021" s="102"/>
      <c r="L3021" s="102"/>
      <c r="M3021" s="102"/>
      <c r="N3021" s="102"/>
      <c r="O3021" s="102"/>
      <c r="P3021" s="102"/>
      <c r="Q3021" s="102"/>
      <c r="R3021" s="102"/>
    </row>
    <row r="3022" spans="1:18" ht="35.1" customHeight="1" x14ac:dyDescent="0.2">
      <c r="A3022" s="99"/>
      <c r="B3022" s="99"/>
      <c r="C3022" s="102"/>
      <c r="D3022" s="102"/>
      <c r="E3022" s="102"/>
      <c r="F3022" s="102"/>
      <c r="G3022" s="102"/>
      <c r="H3022" s="102"/>
      <c r="I3022" s="102"/>
      <c r="J3022" s="102"/>
      <c r="K3022" s="102"/>
      <c r="L3022" s="102"/>
      <c r="M3022" s="102"/>
      <c r="N3022" s="102"/>
      <c r="O3022" s="102"/>
      <c r="P3022" s="102"/>
      <c r="Q3022" s="102"/>
      <c r="R3022" s="102"/>
    </row>
    <row r="3023" spans="1:18" ht="35.1" customHeight="1" x14ac:dyDescent="0.2">
      <c r="A3023" s="99"/>
      <c r="B3023" s="99"/>
      <c r="C3023" s="102"/>
      <c r="D3023" s="102"/>
      <c r="E3023" s="102"/>
      <c r="F3023" s="102"/>
      <c r="G3023" s="102"/>
      <c r="H3023" s="102"/>
      <c r="I3023" s="102"/>
      <c r="J3023" s="102"/>
      <c r="K3023" s="102"/>
      <c r="L3023" s="102"/>
      <c r="M3023" s="102"/>
      <c r="N3023" s="102"/>
      <c r="O3023" s="102"/>
      <c r="P3023" s="102"/>
      <c r="Q3023" s="102"/>
      <c r="R3023" s="102"/>
    </row>
    <row r="3024" spans="1:18" ht="35.1" customHeight="1" x14ac:dyDescent="0.2">
      <c r="A3024" s="99"/>
      <c r="B3024" s="99"/>
      <c r="C3024" s="102"/>
      <c r="D3024" s="102"/>
      <c r="E3024" s="102"/>
      <c r="F3024" s="102"/>
      <c r="G3024" s="102"/>
      <c r="H3024" s="102"/>
      <c r="I3024" s="102"/>
      <c r="J3024" s="102"/>
      <c r="K3024" s="102"/>
      <c r="L3024" s="102"/>
      <c r="M3024" s="102"/>
      <c r="N3024" s="102"/>
      <c r="O3024" s="102"/>
      <c r="P3024" s="102"/>
      <c r="Q3024" s="102"/>
      <c r="R3024" s="102"/>
    </row>
    <row r="3025" spans="1:18" ht="35.1" customHeight="1" x14ac:dyDescent="0.2">
      <c r="A3025" s="99"/>
      <c r="B3025" s="99"/>
      <c r="C3025" s="102"/>
      <c r="D3025" s="102"/>
      <c r="E3025" s="102"/>
      <c r="F3025" s="102"/>
      <c r="G3025" s="102"/>
      <c r="H3025" s="102"/>
      <c r="I3025" s="102"/>
      <c r="J3025" s="102"/>
      <c r="K3025" s="102"/>
      <c r="L3025" s="102"/>
      <c r="M3025" s="102"/>
      <c r="N3025" s="102"/>
      <c r="O3025" s="102"/>
      <c r="P3025" s="102"/>
      <c r="Q3025" s="102"/>
      <c r="R3025" s="102"/>
    </row>
    <row r="3026" spans="1:18" ht="35.1" customHeight="1" x14ac:dyDescent="0.2">
      <c r="A3026" s="99"/>
      <c r="B3026" s="99"/>
      <c r="C3026" s="102"/>
      <c r="D3026" s="102"/>
      <c r="E3026" s="102"/>
      <c r="F3026" s="102"/>
      <c r="G3026" s="102"/>
      <c r="H3026" s="102"/>
      <c r="I3026" s="102"/>
      <c r="J3026" s="102"/>
      <c r="K3026" s="102"/>
      <c r="L3026" s="102"/>
      <c r="M3026" s="102"/>
      <c r="N3026" s="102"/>
      <c r="O3026" s="102"/>
      <c r="P3026" s="102"/>
      <c r="Q3026" s="102"/>
      <c r="R3026" s="102"/>
    </row>
    <row r="3027" spans="1:18" ht="35.1" customHeight="1" x14ac:dyDescent="0.2">
      <c r="A3027" s="99"/>
      <c r="B3027" s="99"/>
      <c r="C3027" s="102"/>
      <c r="D3027" s="102"/>
      <c r="E3027" s="102"/>
      <c r="F3027" s="102"/>
      <c r="G3027" s="102"/>
      <c r="H3027" s="102"/>
      <c r="I3027" s="102"/>
      <c r="J3027" s="102"/>
      <c r="K3027" s="102"/>
      <c r="L3027" s="102"/>
      <c r="M3027" s="102"/>
      <c r="N3027" s="102"/>
      <c r="O3027" s="102"/>
      <c r="P3027" s="102"/>
      <c r="Q3027" s="102"/>
      <c r="R3027" s="102"/>
    </row>
    <row r="3028" spans="1:18" ht="35.1" customHeight="1" x14ac:dyDescent="0.2">
      <c r="A3028" s="99"/>
      <c r="B3028" s="99"/>
      <c r="C3028" s="102"/>
      <c r="D3028" s="102"/>
      <c r="E3028" s="102"/>
      <c r="F3028" s="102"/>
      <c r="G3028" s="102"/>
      <c r="H3028" s="102"/>
      <c r="I3028" s="102"/>
      <c r="J3028" s="102"/>
      <c r="K3028" s="102"/>
      <c r="L3028" s="102"/>
      <c r="M3028" s="102"/>
      <c r="N3028" s="102"/>
      <c r="O3028" s="102"/>
      <c r="P3028" s="102"/>
      <c r="Q3028" s="102"/>
      <c r="R3028" s="102"/>
    </row>
    <row r="3029" spans="1:18" ht="35.1" customHeight="1" x14ac:dyDescent="0.2">
      <c r="A3029" s="99"/>
      <c r="B3029" s="99"/>
      <c r="C3029" s="102"/>
      <c r="D3029" s="102"/>
      <c r="E3029" s="102"/>
      <c r="F3029" s="102"/>
      <c r="G3029" s="102"/>
      <c r="H3029" s="102"/>
      <c r="I3029" s="102"/>
      <c r="J3029" s="102"/>
      <c r="K3029" s="102"/>
      <c r="L3029" s="102"/>
      <c r="M3029" s="102"/>
      <c r="N3029" s="102"/>
      <c r="O3029" s="102"/>
      <c r="P3029" s="102"/>
      <c r="Q3029" s="102"/>
      <c r="R3029" s="102"/>
    </row>
    <row r="3030" spans="1:18" ht="35.1" customHeight="1" x14ac:dyDescent="0.2">
      <c r="A3030" s="99"/>
      <c r="B3030" s="99"/>
      <c r="C3030" s="102"/>
      <c r="D3030" s="102"/>
      <c r="E3030" s="102"/>
      <c r="F3030" s="102"/>
      <c r="G3030" s="102"/>
      <c r="H3030" s="102"/>
      <c r="I3030" s="102"/>
      <c r="J3030" s="102"/>
      <c r="K3030" s="102"/>
      <c r="L3030" s="102"/>
      <c r="M3030" s="102"/>
      <c r="N3030" s="102"/>
      <c r="O3030" s="102"/>
      <c r="P3030" s="102"/>
      <c r="Q3030" s="102"/>
      <c r="R3030" s="102"/>
    </row>
    <row r="3031" spans="1:18" ht="35.1" customHeight="1" x14ac:dyDescent="0.2">
      <c r="A3031" s="99"/>
      <c r="B3031" s="99"/>
      <c r="C3031" s="102"/>
      <c r="D3031" s="102"/>
      <c r="E3031" s="102"/>
      <c r="F3031" s="102"/>
      <c r="G3031" s="102"/>
      <c r="H3031" s="102"/>
      <c r="I3031" s="102"/>
      <c r="J3031" s="102"/>
      <c r="K3031" s="102"/>
      <c r="L3031" s="102"/>
      <c r="M3031" s="102"/>
      <c r="N3031" s="102"/>
      <c r="O3031" s="102"/>
      <c r="P3031" s="102"/>
      <c r="Q3031" s="102"/>
      <c r="R3031" s="102"/>
    </row>
    <row r="3032" spans="1:18" ht="35.1" customHeight="1" x14ac:dyDescent="0.2">
      <c r="A3032" s="99"/>
      <c r="B3032" s="99"/>
      <c r="C3032" s="102"/>
      <c r="D3032" s="102"/>
      <c r="E3032" s="102"/>
      <c r="F3032" s="102"/>
      <c r="G3032" s="102"/>
      <c r="H3032" s="102"/>
      <c r="I3032" s="102"/>
      <c r="J3032" s="102"/>
      <c r="K3032" s="102"/>
      <c r="L3032" s="102"/>
      <c r="M3032" s="102"/>
      <c r="N3032" s="102"/>
      <c r="O3032" s="102"/>
      <c r="P3032" s="102"/>
      <c r="Q3032" s="102"/>
      <c r="R3032" s="102"/>
    </row>
    <row r="3033" spans="1:18" ht="35.1" customHeight="1" x14ac:dyDescent="0.2">
      <c r="A3033" s="99"/>
      <c r="B3033" s="99"/>
      <c r="C3033" s="102"/>
      <c r="D3033" s="102"/>
      <c r="E3033" s="102"/>
      <c r="F3033" s="102"/>
      <c r="G3033" s="102"/>
      <c r="H3033" s="102"/>
      <c r="I3033" s="102"/>
      <c r="J3033" s="102"/>
      <c r="K3033" s="102"/>
      <c r="L3033" s="102"/>
      <c r="M3033" s="102"/>
      <c r="N3033" s="102"/>
      <c r="O3033" s="102"/>
      <c r="P3033" s="102"/>
      <c r="Q3033" s="102"/>
      <c r="R3033" s="102"/>
    </row>
    <row r="3034" spans="1:18" ht="35.1" customHeight="1" x14ac:dyDescent="0.2">
      <c r="A3034" s="99"/>
      <c r="B3034" s="99"/>
      <c r="C3034" s="102"/>
      <c r="D3034" s="102"/>
      <c r="E3034" s="102"/>
      <c r="F3034" s="102"/>
      <c r="G3034" s="102"/>
      <c r="H3034" s="102"/>
      <c r="I3034" s="102"/>
      <c r="J3034" s="102"/>
      <c r="K3034" s="102"/>
      <c r="L3034" s="102"/>
      <c r="M3034" s="102"/>
      <c r="N3034" s="102"/>
      <c r="O3034" s="102"/>
      <c r="P3034" s="102"/>
      <c r="Q3034" s="102"/>
      <c r="R3034" s="102"/>
    </row>
    <row r="3035" spans="1:18" ht="35.1" customHeight="1" x14ac:dyDescent="0.2">
      <c r="A3035" s="99"/>
      <c r="B3035" s="99"/>
      <c r="C3035" s="102"/>
      <c r="D3035" s="102"/>
      <c r="E3035" s="102"/>
      <c r="F3035" s="102"/>
      <c r="G3035" s="102"/>
      <c r="H3035" s="102"/>
      <c r="I3035" s="102"/>
      <c r="J3035" s="102"/>
      <c r="K3035" s="102"/>
      <c r="L3035" s="102"/>
      <c r="M3035" s="102"/>
      <c r="N3035" s="102"/>
      <c r="O3035" s="102"/>
      <c r="P3035" s="102"/>
      <c r="Q3035" s="102"/>
      <c r="R3035" s="102"/>
    </row>
    <row r="3036" spans="1:18" ht="35.1" customHeight="1" x14ac:dyDescent="0.2">
      <c r="A3036" s="99"/>
      <c r="B3036" s="99"/>
      <c r="C3036" s="102"/>
      <c r="D3036" s="102"/>
      <c r="E3036" s="102"/>
      <c r="F3036" s="102"/>
      <c r="G3036" s="102"/>
      <c r="H3036" s="102"/>
      <c r="I3036" s="102"/>
      <c r="J3036" s="102"/>
      <c r="K3036" s="102"/>
      <c r="L3036" s="102"/>
      <c r="M3036" s="102"/>
      <c r="N3036" s="102"/>
      <c r="O3036" s="102"/>
      <c r="P3036" s="102"/>
      <c r="Q3036" s="102"/>
      <c r="R3036" s="102"/>
    </row>
    <row r="3037" spans="1:18" ht="35.1" customHeight="1" x14ac:dyDescent="0.2">
      <c r="A3037" s="99"/>
      <c r="B3037" s="99"/>
      <c r="C3037" s="102"/>
      <c r="D3037" s="102"/>
      <c r="E3037" s="102"/>
      <c r="F3037" s="102"/>
      <c r="G3037" s="102"/>
      <c r="H3037" s="102"/>
      <c r="I3037" s="102"/>
      <c r="J3037" s="102"/>
      <c r="K3037" s="102"/>
      <c r="L3037" s="102"/>
      <c r="M3037" s="102"/>
      <c r="N3037" s="102"/>
      <c r="O3037" s="102"/>
      <c r="P3037" s="102"/>
      <c r="Q3037" s="102"/>
      <c r="R3037" s="102"/>
    </row>
    <row r="3038" spans="1:18" ht="35.1" customHeight="1" x14ac:dyDescent="0.2">
      <c r="A3038" s="99"/>
      <c r="B3038" s="99"/>
      <c r="C3038" s="102"/>
      <c r="D3038" s="102"/>
      <c r="E3038" s="102"/>
      <c r="F3038" s="102"/>
      <c r="G3038" s="102"/>
      <c r="H3038" s="102"/>
      <c r="I3038" s="102"/>
      <c r="J3038" s="102"/>
      <c r="K3038" s="102"/>
      <c r="L3038" s="102"/>
      <c r="M3038" s="102"/>
      <c r="N3038" s="102"/>
      <c r="O3038" s="102"/>
      <c r="P3038" s="102"/>
      <c r="Q3038" s="102"/>
      <c r="R3038" s="102"/>
    </row>
    <row r="3039" spans="1:18" ht="35.1" customHeight="1" x14ac:dyDescent="0.2">
      <c r="A3039" s="99"/>
      <c r="B3039" s="99"/>
      <c r="C3039" s="102"/>
      <c r="D3039" s="102"/>
      <c r="E3039" s="102"/>
      <c r="F3039" s="102"/>
      <c r="G3039" s="102"/>
      <c r="H3039" s="102"/>
      <c r="I3039" s="102"/>
      <c r="J3039" s="102"/>
      <c r="K3039" s="102"/>
      <c r="L3039" s="102"/>
      <c r="M3039" s="102"/>
      <c r="N3039" s="102"/>
      <c r="O3039" s="102"/>
      <c r="P3039" s="102"/>
      <c r="Q3039" s="102"/>
      <c r="R3039" s="102"/>
    </row>
    <row r="3040" spans="1:18" ht="35.1" customHeight="1" x14ac:dyDescent="0.2">
      <c r="A3040" s="99"/>
      <c r="B3040" s="99"/>
      <c r="C3040" s="102"/>
      <c r="D3040" s="102"/>
      <c r="E3040" s="102"/>
      <c r="F3040" s="102"/>
      <c r="G3040" s="102"/>
      <c r="H3040" s="102"/>
      <c r="I3040" s="102"/>
      <c r="J3040" s="102"/>
      <c r="K3040" s="102"/>
      <c r="L3040" s="102"/>
      <c r="M3040" s="102"/>
      <c r="N3040" s="102"/>
      <c r="O3040" s="102"/>
      <c r="P3040" s="102"/>
      <c r="Q3040" s="102"/>
      <c r="R3040" s="102"/>
    </row>
    <row r="3041" spans="1:18" ht="35.1" customHeight="1" x14ac:dyDescent="0.2">
      <c r="A3041" s="99"/>
      <c r="B3041" s="99"/>
      <c r="C3041" s="102"/>
      <c r="D3041" s="102"/>
      <c r="E3041" s="102"/>
      <c r="F3041" s="102"/>
      <c r="G3041" s="102"/>
      <c r="H3041" s="102"/>
      <c r="I3041" s="102"/>
      <c r="J3041" s="102"/>
      <c r="K3041" s="102"/>
      <c r="L3041" s="102"/>
      <c r="M3041" s="102"/>
      <c r="N3041" s="102"/>
      <c r="O3041" s="102"/>
      <c r="P3041" s="102"/>
      <c r="Q3041" s="102"/>
      <c r="R3041" s="102"/>
    </row>
    <row r="3042" spans="1:18" ht="35.1" customHeight="1" x14ac:dyDescent="0.2">
      <c r="A3042" s="99"/>
      <c r="B3042" s="99"/>
      <c r="C3042" s="102"/>
      <c r="D3042" s="102"/>
      <c r="E3042" s="102"/>
      <c r="F3042" s="102"/>
      <c r="G3042" s="102"/>
      <c r="H3042" s="102"/>
      <c r="I3042" s="102"/>
      <c r="J3042" s="102"/>
      <c r="K3042" s="102"/>
      <c r="L3042" s="102"/>
      <c r="M3042" s="102"/>
      <c r="N3042" s="102"/>
      <c r="O3042" s="102"/>
      <c r="P3042" s="102"/>
      <c r="Q3042" s="102"/>
      <c r="R3042" s="102"/>
    </row>
    <row r="3043" spans="1:18" ht="35.1" customHeight="1" x14ac:dyDescent="0.2">
      <c r="A3043" s="99"/>
      <c r="B3043" s="99"/>
      <c r="C3043" s="102"/>
      <c r="D3043" s="102"/>
      <c r="E3043" s="102"/>
      <c r="F3043" s="102"/>
      <c r="G3043" s="102"/>
      <c r="H3043" s="102"/>
      <c r="I3043" s="102"/>
      <c r="J3043" s="102"/>
      <c r="K3043" s="102"/>
      <c r="L3043" s="102"/>
      <c r="M3043" s="102"/>
      <c r="N3043" s="102"/>
      <c r="O3043" s="102"/>
      <c r="P3043" s="102"/>
      <c r="Q3043" s="102"/>
      <c r="R3043" s="102"/>
    </row>
    <row r="3044" spans="1:18" ht="35.1" customHeight="1" x14ac:dyDescent="0.2">
      <c r="A3044" s="99"/>
      <c r="B3044" s="99"/>
      <c r="C3044" s="102"/>
      <c r="D3044" s="102"/>
      <c r="E3044" s="102"/>
      <c r="F3044" s="102"/>
      <c r="G3044" s="102"/>
      <c r="H3044" s="102"/>
      <c r="I3044" s="102"/>
      <c r="J3044" s="102"/>
      <c r="K3044" s="102"/>
      <c r="L3044" s="102"/>
      <c r="M3044" s="102"/>
      <c r="N3044" s="102"/>
      <c r="O3044" s="102"/>
      <c r="P3044" s="102"/>
      <c r="Q3044" s="102"/>
      <c r="R3044" s="102"/>
    </row>
    <row r="3045" spans="1:18" ht="35.1" customHeight="1" x14ac:dyDescent="0.2">
      <c r="A3045" s="99"/>
      <c r="B3045" s="99"/>
      <c r="C3045" s="102"/>
      <c r="D3045" s="102"/>
      <c r="E3045" s="102"/>
      <c r="F3045" s="102"/>
      <c r="G3045" s="102"/>
      <c r="H3045" s="102"/>
      <c r="I3045" s="102"/>
      <c r="J3045" s="102"/>
      <c r="K3045" s="102"/>
      <c r="L3045" s="102"/>
      <c r="M3045" s="102"/>
      <c r="N3045" s="102"/>
      <c r="O3045" s="102"/>
      <c r="P3045" s="102"/>
      <c r="Q3045" s="102"/>
      <c r="R3045" s="102"/>
    </row>
    <row r="3046" spans="1:18" ht="35.1" customHeight="1" x14ac:dyDescent="0.2">
      <c r="A3046" s="99"/>
      <c r="B3046" s="99"/>
      <c r="C3046" s="102"/>
      <c r="D3046" s="102"/>
      <c r="E3046" s="102"/>
      <c r="F3046" s="102"/>
      <c r="G3046" s="102"/>
      <c r="H3046" s="102"/>
      <c r="I3046" s="102"/>
      <c r="J3046" s="102"/>
      <c r="K3046" s="102"/>
      <c r="L3046" s="102"/>
      <c r="M3046" s="102"/>
      <c r="N3046" s="102"/>
      <c r="O3046" s="102"/>
      <c r="P3046" s="102"/>
      <c r="Q3046" s="102"/>
      <c r="R3046" s="102"/>
    </row>
    <row r="3047" spans="1:18" ht="35.1" customHeight="1" x14ac:dyDescent="0.2">
      <c r="A3047" s="99"/>
      <c r="B3047" s="99"/>
      <c r="C3047" s="102"/>
      <c r="D3047" s="102"/>
      <c r="E3047" s="102"/>
      <c r="F3047" s="102"/>
      <c r="G3047" s="102"/>
      <c r="H3047" s="102"/>
      <c r="I3047" s="102"/>
      <c r="J3047" s="102"/>
      <c r="K3047" s="102"/>
      <c r="L3047" s="102"/>
      <c r="M3047" s="102"/>
      <c r="N3047" s="102"/>
      <c r="O3047" s="102"/>
      <c r="P3047" s="102"/>
      <c r="Q3047" s="102"/>
      <c r="R3047" s="102"/>
    </row>
    <row r="3048" spans="1:18" ht="35.1" customHeight="1" x14ac:dyDescent="0.2">
      <c r="A3048" s="99"/>
      <c r="B3048" s="99"/>
      <c r="C3048" s="102"/>
      <c r="D3048" s="102"/>
      <c r="E3048" s="102"/>
      <c r="F3048" s="102"/>
      <c r="G3048" s="102"/>
      <c r="H3048" s="102"/>
      <c r="I3048" s="102"/>
      <c r="J3048" s="102"/>
      <c r="K3048" s="102"/>
      <c r="L3048" s="102"/>
      <c r="M3048" s="102"/>
      <c r="N3048" s="102"/>
      <c r="O3048" s="102"/>
      <c r="P3048" s="102"/>
      <c r="Q3048" s="102"/>
      <c r="R3048" s="102"/>
    </row>
    <row r="3049" spans="1:18" ht="35.1" customHeight="1" x14ac:dyDescent="0.2">
      <c r="A3049" s="99"/>
      <c r="B3049" s="99"/>
      <c r="C3049" s="102"/>
      <c r="D3049" s="102"/>
      <c r="E3049" s="102"/>
      <c r="F3049" s="102"/>
      <c r="G3049" s="102"/>
      <c r="H3049" s="102"/>
      <c r="I3049" s="102"/>
      <c r="J3049" s="102"/>
      <c r="K3049" s="102"/>
      <c r="L3049" s="102"/>
      <c r="M3049" s="102"/>
      <c r="N3049" s="102"/>
      <c r="O3049" s="102"/>
      <c r="P3049" s="102"/>
      <c r="Q3049" s="102"/>
      <c r="R3049" s="102"/>
    </row>
    <row r="3050" spans="1:18" ht="35.1" customHeight="1" x14ac:dyDescent="0.2">
      <c r="A3050" s="99"/>
      <c r="B3050" s="99"/>
      <c r="C3050" s="102"/>
      <c r="D3050" s="102"/>
      <c r="E3050" s="102"/>
      <c r="F3050" s="102"/>
      <c r="G3050" s="102"/>
      <c r="H3050" s="102"/>
      <c r="I3050" s="102"/>
      <c r="J3050" s="102"/>
      <c r="K3050" s="102"/>
      <c r="L3050" s="102"/>
      <c r="M3050" s="102"/>
      <c r="N3050" s="102"/>
      <c r="O3050" s="102"/>
      <c r="P3050" s="102"/>
      <c r="Q3050" s="102"/>
      <c r="R3050" s="102"/>
    </row>
    <row r="3051" spans="1:18" ht="35.1" customHeight="1" x14ac:dyDescent="0.2">
      <c r="A3051" s="99"/>
      <c r="B3051" s="99"/>
      <c r="C3051" s="102"/>
      <c r="D3051" s="102"/>
      <c r="E3051" s="102"/>
      <c r="F3051" s="102"/>
      <c r="G3051" s="102"/>
      <c r="H3051" s="102"/>
      <c r="I3051" s="102"/>
      <c r="J3051" s="102"/>
      <c r="K3051" s="102"/>
      <c r="L3051" s="102"/>
      <c r="M3051" s="102"/>
      <c r="N3051" s="102"/>
      <c r="O3051" s="102"/>
      <c r="P3051" s="102"/>
      <c r="Q3051" s="102"/>
      <c r="R3051" s="102"/>
    </row>
    <row r="3052" spans="1:18" ht="35.1" customHeight="1" x14ac:dyDescent="0.2">
      <c r="A3052" s="99"/>
      <c r="B3052" s="99"/>
      <c r="C3052" s="102"/>
      <c r="D3052" s="102"/>
      <c r="E3052" s="102"/>
      <c r="F3052" s="102"/>
      <c r="G3052" s="102"/>
      <c r="H3052" s="102"/>
      <c r="I3052" s="102"/>
      <c r="J3052" s="102"/>
      <c r="K3052" s="102"/>
      <c r="L3052" s="102"/>
      <c r="M3052" s="102"/>
      <c r="N3052" s="102"/>
      <c r="O3052" s="102"/>
      <c r="P3052" s="102"/>
      <c r="Q3052" s="102"/>
      <c r="R3052" s="102"/>
    </row>
    <row r="3053" spans="1:18" ht="35.1" customHeight="1" x14ac:dyDescent="0.2">
      <c r="A3053" s="99"/>
      <c r="B3053" s="99"/>
      <c r="C3053" s="102"/>
      <c r="D3053" s="102"/>
      <c r="E3053" s="102"/>
      <c r="F3053" s="102"/>
      <c r="G3053" s="102"/>
      <c r="H3053" s="102"/>
      <c r="I3053" s="102"/>
      <c r="J3053" s="102"/>
      <c r="K3053" s="102"/>
      <c r="L3053" s="102"/>
      <c r="M3053" s="102"/>
      <c r="N3053" s="102"/>
      <c r="O3053" s="102"/>
      <c r="P3053" s="102"/>
      <c r="Q3053" s="102"/>
      <c r="R3053" s="102"/>
    </row>
    <row r="3054" spans="1:18" ht="35.1" customHeight="1" x14ac:dyDescent="0.2">
      <c r="A3054" s="99"/>
      <c r="B3054" s="99"/>
      <c r="C3054" s="102"/>
      <c r="D3054" s="102"/>
      <c r="E3054" s="102"/>
      <c r="F3054" s="102"/>
      <c r="G3054" s="102"/>
      <c r="H3054" s="102"/>
      <c r="I3054" s="102"/>
      <c r="J3054" s="102"/>
      <c r="K3054" s="102"/>
      <c r="L3054" s="102"/>
      <c r="M3054" s="102"/>
      <c r="N3054" s="102"/>
      <c r="O3054" s="102"/>
      <c r="P3054" s="102"/>
      <c r="Q3054" s="102"/>
      <c r="R3054" s="102"/>
    </row>
    <row r="3055" spans="1:18" ht="35.1" customHeight="1" x14ac:dyDescent="0.2">
      <c r="A3055" s="99"/>
      <c r="B3055" s="99"/>
      <c r="C3055" s="102"/>
      <c r="D3055" s="102"/>
      <c r="E3055" s="102"/>
      <c r="F3055" s="102"/>
      <c r="G3055" s="102"/>
      <c r="H3055" s="102"/>
      <c r="I3055" s="102"/>
      <c r="J3055" s="102"/>
      <c r="K3055" s="102"/>
      <c r="L3055" s="102"/>
      <c r="M3055" s="102"/>
      <c r="N3055" s="102"/>
      <c r="O3055" s="102"/>
      <c r="P3055" s="102"/>
      <c r="Q3055" s="102"/>
      <c r="R3055" s="102"/>
    </row>
    <row r="3056" spans="1:18" ht="35.1" customHeight="1" x14ac:dyDescent="0.2">
      <c r="A3056" s="99"/>
      <c r="B3056" s="99"/>
      <c r="C3056" s="102"/>
      <c r="D3056" s="102"/>
      <c r="E3056" s="102"/>
      <c r="F3056" s="102"/>
      <c r="G3056" s="102"/>
      <c r="H3056" s="102"/>
      <c r="I3056" s="102"/>
      <c r="J3056" s="102"/>
      <c r="K3056" s="102"/>
      <c r="L3056" s="102"/>
      <c r="M3056" s="102"/>
      <c r="N3056" s="102"/>
      <c r="O3056" s="102"/>
      <c r="P3056" s="102"/>
      <c r="Q3056" s="102"/>
      <c r="R3056" s="102"/>
    </row>
    <row r="3057" spans="1:18" ht="35.1" customHeight="1" x14ac:dyDescent="0.2">
      <c r="A3057" s="99"/>
      <c r="B3057" s="99"/>
      <c r="C3057" s="102"/>
      <c r="D3057" s="102"/>
      <c r="E3057" s="102"/>
      <c r="F3057" s="102"/>
      <c r="G3057" s="102"/>
      <c r="H3057" s="102"/>
      <c r="I3057" s="102"/>
      <c r="J3057" s="102"/>
      <c r="K3057" s="102"/>
      <c r="L3057" s="102"/>
      <c r="M3057" s="102"/>
      <c r="N3057" s="102"/>
      <c r="O3057" s="102"/>
      <c r="P3057" s="102"/>
      <c r="Q3057" s="102"/>
      <c r="R3057" s="102"/>
    </row>
    <row r="3058" spans="1:18" ht="35.1" customHeight="1" x14ac:dyDescent="0.2">
      <c r="A3058" s="99"/>
      <c r="B3058" s="99"/>
      <c r="C3058" s="102"/>
      <c r="D3058" s="102"/>
      <c r="E3058" s="102"/>
      <c r="F3058" s="102"/>
      <c r="G3058" s="102"/>
      <c r="H3058" s="102"/>
      <c r="I3058" s="102"/>
      <c r="J3058" s="102"/>
      <c r="K3058" s="102"/>
      <c r="L3058" s="102"/>
      <c r="M3058" s="102"/>
      <c r="N3058" s="102"/>
      <c r="O3058" s="102"/>
      <c r="P3058" s="102"/>
      <c r="Q3058" s="102"/>
      <c r="R3058" s="102"/>
    </row>
    <row r="3059" spans="1:18" ht="35.1" customHeight="1" x14ac:dyDescent="0.2">
      <c r="A3059" s="99"/>
      <c r="B3059" s="99"/>
      <c r="C3059" s="102"/>
      <c r="D3059" s="102"/>
      <c r="E3059" s="102"/>
      <c r="F3059" s="102"/>
      <c r="G3059" s="102"/>
      <c r="H3059" s="102"/>
      <c r="I3059" s="102"/>
      <c r="J3059" s="102"/>
      <c r="K3059" s="102"/>
      <c r="L3059" s="102"/>
      <c r="M3059" s="102"/>
      <c r="N3059" s="102"/>
      <c r="O3059" s="102"/>
      <c r="P3059" s="102"/>
      <c r="Q3059" s="102"/>
      <c r="R3059" s="102"/>
    </row>
    <row r="3060" spans="1:18" ht="35.1" customHeight="1" x14ac:dyDescent="0.2">
      <c r="A3060" s="99"/>
      <c r="B3060" s="99"/>
      <c r="C3060" s="102"/>
      <c r="D3060" s="102"/>
      <c r="E3060" s="102"/>
      <c r="F3060" s="102"/>
      <c r="G3060" s="102"/>
      <c r="H3060" s="102"/>
      <c r="I3060" s="102"/>
      <c r="J3060" s="102"/>
      <c r="K3060" s="102"/>
      <c r="L3060" s="102"/>
      <c r="M3060" s="102"/>
      <c r="N3060" s="102"/>
      <c r="O3060" s="102"/>
      <c r="P3060" s="102"/>
      <c r="Q3060" s="102"/>
      <c r="R3060" s="102"/>
    </row>
    <row r="3061" spans="1:18" ht="35.1" customHeight="1" x14ac:dyDescent="0.2">
      <c r="A3061" s="99"/>
      <c r="B3061" s="99"/>
      <c r="C3061" s="102"/>
      <c r="D3061" s="102"/>
      <c r="E3061" s="102"/>
      <c r="F3061" s="102"/>
      <c r="G3061" s="102"/>
      <c r="H3061" s="102"/>
      <c r="I3061" s="102"/>
      <c r="J3061" s="102"/>
      <c r="K3061" s="102"/>
      <c r="L3061" s="102"/>
      <c r="M3061" s="102"/>
      <c r="N3061" s="102"/>
      <c r="O3061" s="102"/>
      <c r="P3061" s="102"/>
      <c r="Q3061" s="102"/>
      <c r="R3061" s="102"/>
    </row>
    <row r="3062" spans="1:18" ht="35.1" customHeight="1" x14ac:dyDescent="0.2">
      <c r="A3062" s="99"/>
      <c r="B3062" s="99"/>
      <c r="C3062" s="102"/>
      <c r="D3062" s="102"/>
      <c r="E3062" s="102"/>
      <c r="F3062" s="102"/>
      <c r="G3062" s="102"/>
      <c r="H3062" s="102"/>
      <c r="I3062" s="102"/>
      <c r="J3062" s="102"/>
      <c r="K3062" s="102"/>
      <c r="L3062" s="102"/>
      <c r="M3062" s="102"/>
      <c r="N3062" s="102"/>
      <c r="O3062" s="102"/>
      <c r="P3062" s="102"/>
      <c r="Q3062" s="102"/>
      <c r="R3062" s="102"/>
    </row>
    <row r="3063" spans="1:18" ht="35.1" customHeight="1" x14ac:dyDescent="0.2">
      <c r="A3063" s="99"/>
      <c r="B3063" s="99"/>
      <c r="C3063" s="102"/>
      <c r="D3063" s="102"/>
      <c r="E3063" s="102"/>
      <c r="F3063" s="102"/>
      <c r="G3063" s="102"/>
      <c r="H3063" s="102"/>
      <c r="I3063" s="102"/>
      <c r="J3063" s="102"/>
      <c r="K3063" s="102"/>
      <c r="L3063" s="102"/>
      <c r="M3063" s="102"/>
      <c r="N3063" s="102"/>
      <c r="O3063" s="102"/>
      <c r="P3063" s="102"/>
      <c r="Q3063" s="102"/>
      <c r="R3063" s="102"/>
    </row>
    <row r="3064" spans="1:18" ht="35.1" customHeight="1" x14ac:dyDescent="0.2">
      <c r="A3064" s="99"/>
      <c r="B3064" s="99"/>
      <c r="C3064" s="102"/>
      <c r="D3064" s="102"/>
      <c r="E3064" s="102"/>
      <c r="F3064" s="102"/>
      <c r="G3064" s="102"/>
      <c r="H3064" s="102"/>
      <c r="I3064" s="102"/>
      <c r="J3064" s="102"/>
      <c r="K3064" s="102"/>
      <c r="L3064" s="102"/>
      <c r="M3064" s="102"/>
      <c r="N3064" s="102"/>
      <c r="O3064" s="102"/>
      <c r="P3064" s="102"/>
      <c r="Q3064" s="102"/>
      <c r="R3064" s="102"/>
    </row>
    <row r="3065" spans="1:18" ht="35.1" customHeight="1" x14ac:dyDescent="0.2">
      <c r="A3065" s="99"/>
      <c r="B3065" s="99"/>
      <c r="C3065" s="102"/>
      <c r="D3065" s="102"/>
      <c r="E3065" s="102"/>
      <c r="F3065" s="102"/>
      <c r="G3065" s="102"/>
      <c r="H3065" s="102"/>
      <c r="I3065" s="102"/>
      <c r="J3065" s="102"/>
      <c r="K3065" s="102"/>
      <c r="L3065" s="102"/>
      <c r="M3065" s="102"/>
      <c r="N3065" s="102"/>
      <c r="O3065" s="102"/>
      <c r="P3065" s="102"/>
      <c r="Q3065" s="102"/>
      <c r="R3065" s="102"/>
    </row>
    <row r="3066" spans="1:18" ht="35.1" customHeight="1" x14ac:dyDescent="0.2">
      <c r="A3066" s="99"/>
      <c r="B3066" s="99"/>
      <c r="C3066" s="102"/>
      <c r="D3066" s="102"/>
      <c r="E3066" s="102"/>
      <c r="F3066" s="102"/>
      <c r="G3066" s="102"/>
      <c r="H3066" s="102"/>
      <c r="I3066" s="102"/>
      <c r="J3066" s="102"/>
      <c r="K3066" s="102"/>
      <c r="L3066" s="102"/>
      <c r="M3066" s="102"/>
      <c r="N3066" s="102"/>
      <c r="O3066" s="102"/>
      <c r="P3066" s="102"/>
      <c r="Q3066" s="102"/>
      <c r="R3066" s="102"/>
    </row>
    <row r="3067" spans="1:18" ht="35.1" customHeight="1" x14ac:dyDescent="0.2">
      <c r="A3067" s="99"/>
      <c r="B3067" s="99"/>
      <c r="C3067" s="102"/>
      <c r="D3067" s="102"/>
      <c r="E3067" s="102"/>
      <c r="F3067" s="102"/>
      <c r="G3067" s="102"/>
      <c r="H3067" s="102"/>
      <c r="I3067" s="102"/>
      <c r="J3067" s="102"/>
      <c r="K3067" s="102"/>
      <c r="L3067" s="102"/>
      <c r="M3067" s="102"/>
      <c r="N3067" s="102"/>
      <c r="O3067" s="102"/>
      <c r="P3067" s="102"/>
      <c r="Q3067" s="102"/>
      <c r="R3067" s="102"/>
    </row>
    <row r="3068" spans="1:18" ht="35.1" customHeight="1" x14ac:dyDescent="0.2">
      <c r="A3068" s="99"/>
      <c r="B3068" s="99"/>
      <c r="C3068" s="102"/>
      <c r="D3068" s="102"/>
      <c r="E3068" s="102"/>
      <c r="F3068" s="102"/>
      <c r="G3068" s="102"/>
      <c r="H3068" s="102"/>
      <c r="I3068" s="102"/>
      <c r="J3068" s="102"/>
      <c r="K3068" s="102"/>
      <c r="L3068" s="102"/>
      <c r="M3068" s="102"/>
      <c r="N3068" s="102"/>
      <c r="O3068" s="102"/>
      <c r="P3068" s="102"/>
      <c r="Q3068" s="102"/>
      <c r="R3068" s="102"/>
    </row>
    <row r="3069" spans="1:18" ht="35.1" customHeight="1" x14ac:dyDescent="0.2">
      <c r="A3069" s="99"/>
      <c r="B3069" s="99"/>
      <c r="C3069" s="102"/>
      <c r="D3069" s="102"/>
      <c r="E3069" s="102"/>
      <c r="F3069" s="102"/>
      <c r="G3069" s="102"/>
      <c r="H3069" s="102"/>
      <c r="I3069" s="102"/>
      <c r="J3069" s="102"/>
      <c r="K3069" s="102"/>
      <c r="L3069" s="102"/>
      <c r="M3069" s="102"/>
      <c r="N3069" s="102"/>
      <c r="O3069" s="102"/>
      <c r="P3069" s="102"/>
      <c r="Q3069" s="102"/>
      <c r="R3069" s="102"/>
    </row>
    <row r="3070" spans="1:18" ht="35.1" customHeight="1" x14ac:dyDescent="0.2">
      <c r="A3070" s="99"/>
      <c r="B3070" s="99"/>
      <c r="C3070" s="102"/>
      <c r="D3070" s="102"/>
      <c r="E3070" s="102"/>
      <c r="F3070" s="102"/>
      <c r="G3070" s="102"/>
      <c r="H3070" s="102"/>
      <c r="I3070" s="102"/>
      <c r="J3070" s="102"/>
      <c r="K3070" s="102"/>
      <c r="L3070" s="102"/>
      <c r="M3070" s="102"/>
      <c r="N3070" s="102"/>
      <c r="O3070" s="102"/>
      <c r="P3070" s="102"/>
      <c r="Q3070" s="102"/>
      <c r="R3070" s="102"/>
    </row>
    <row r="3071" spans="1:18" ht="35.1" customHeight="1" x14ac:dyDescent="0.2">
      <c r="A3071" s="99"/>
      <c r="B3071" s="99"/>
      <c r="C3071" s="102"/>
      <c r="D3071" s="102"/>
      <c r="E3071" s="102"/>
      <c r="F3071" s="102"/>
      <c r="G3071" s="102"/>
      <c r="H3071" s="102"/>
      <c r="I3071" s="102"/>
      <c r="J3071" s="102"/>
      <c r="K3071" s="102"/>
      <c r="L3071" s="102"/>
      <c r="M3071" s="102"/>
      <c r="N3071" s="102"/>
      <c r="O3071" s="102"/>
      <c r="P3071" s="102"/>
      <c r="Q3071" s="102"/>
      <c r="R3071" s="102"/>
    </row>
    <row r="3072" spans="1:18" ht="35.1" customHeight="1" x14ac:dyDescent="0.2">
      <c r="A3072" s="99"/>
      <c r="B3072" s="99"/>
      <c r="C3072" s="102"/>
      <c r="D3072" s="102"/>
      <c r="E3072" s="102"/>
      <c r="F3072" s="102"/>
      <c r="G3072" s="102"/>
      <c r="H3072" s="102"/>
      <c r="I3072" s="102"/>
      <c r="J3072" s="102"/>
      <c r="K3072" s="102"/>
      <c r="L3072" s="102"/>
      <c r="M3072" s="102"/>
      <c r="N3072" s="102"/>
      <c r="O3072" s="102"/>
      <c r="P3072" s="102"/>
      <c r="Q3072" s="102"/>
      <c r="R3072" s="102"/>
    </row>
    <row r="3073" spans="1:18" ht="35.1" customHeight="1" x14ac:dyDescent="0.2">
      <c r="A3073" s="99"/>
      <c r="B3073" s="99"/>
      <c r="C3073" s="102"/>
      <c r="D3073" s="102"/>
      <c r="E3073" s="102"/>
      <c r="F3073" s="102"/>
      <c r="G3073" s="102"/>
      <c r="H3073" s="102"/>
      <c r="I3073" s="102"/>
      <c r="J3073" s="102"/>
      <c r="K3073" s="102"/>
      <c r="L3073" s="102"/>
      <c r="M3073" s="102"/>
      <c r="N3073" s="102"/>
      <c r="O3073" s="102"/>
      <c r="P3073" s="102"/>
      <c r="Q3073" s="102"/>
      <c r="R3073" s="102"/>
    </row>
    <row r="3074" spans="1:18" ht="35.1" customHeight="1" x14ac:dyDescent="0.2">
      <c r="A3074" s="99"/>
      <c r="B3074" s="99"/>
      <c r="C3074" s="102"/>
      <c r="D3074" s="102"/>
      <c r="E3074" s="102"/>
      <c r="F3074" s="102"/>
      <c r="G3074" s="102"/>
      <c r="H3074" s="102"/>
      <c r="I3074" s="102"/>
      <c r="J3074" s="102"/>
      <c r="K3074" s="102"/>
      <c r="L3074" s="102"/>
      <c r="M3074" s="102"/>
      <c r="N3074" s="102"/>
      <c r="O3074" s="102"/>
      <c r="P3074" s="102"/>
      <c r="Q3074" s="102"/>
      <c r="R3074" s="102"/>
    </row>
    <row r="3075" spans="1:18" ht="35.1" customHeight="1" x14ac:dyDescent="0.2">
      <c r="A3075" s="99"/>
      <c r="B3075" s="99"/>
      <c r="C3075" s="102"/>
      <c r="D3075" s="102"/>
      <c r="E3075" s="102"/>
      <c r="F3075" s="102"/>
      <c r="G3075" s="102"/>
      <c r="H3075" s="102"/>
      <c r="I3075" s="102"/>
      <c r="J3075" s="102"/>
      <c r="K3075" s="102"/>
      <c r="L3075" s="102"/>
      <c r="M3075" s="102"/>
      <c r="N3075" s="102"/>
      <c r="O3075" s="102"/>
      <c r="P3075" s="102"/>
      <c r="Q3075" s="102"/>
      <c r="R3075" s="102"/>
    </row>
    <row r="3076" spans="1:18" ht="35.1" customHeight="1" x14ac:dyDescent="0.2">
      <c r="A3076" s="99"/>
      <c r="B3076" s="99"/>
      <c r="C3076" s="102"/>
      <c r="D3076" s="102"/>
      <c r="E3076" s="102"/>
      <c r="F3076" s="102"/>
      <c r="G3076" s="102"/>
      <c r="H3076" s="102"/>
      <c r="I3076" s="102"/>
      <c r="J3076" s="102"/>
      <c r="K3076" s="102"/>
      <c r="L3076" s="102"/>
      <c r="M3076" s="102"/>
      <c r="N3076" s="102"/>
      <c r="O3076" s="102"/>
      <c r="P3076" s="102"/>
      <c r="Q3076" s="102"/>
      <c r="R3076" s="102"/>
    </row>
    <row r="3077" spans="1:18" ht="35.1" customHeight="1" x14ac:dyDescent="0.2">
      <c r="A3077" s="99"/>
      <c r="B3077" s="99"/>
      <c r="C3077" s="102"/>
      <c r="D3077" s="102"/>
      <c r="E3077" s="102"/>
      <c r="F3077" s="102"/>
      <c r="G3077" s="102"/>
      <c r="H3077" s="102"/>
      <c r="I3077" s="102"/>
      <c r="J3077" s="102"/>
      <c r="K3077" s="102"/>
      <c r="L3077" s="102"/>
      <c r="M3077" s="102"/>
      <c r="N3077" s="102"/>
      <c r="O3077" s="102"/>
      <c r="P3077" s="102"/>
      <c r="Q3077" s="102"/>
      <c r="R3077" s="102"/>
    </row>
    <row r="3078" spans="1:18" ht="35.1" customHeight="1" x14ac:dyDescent="0.2">
      <c r="A3078" s="99"/>
      <c r="B3078" s="99"/>
      <c r="C3078" s="102"/>
      <c r="D3078" s="102"/>
      <c r="E3078" s="102"/>
      <c r="F3078" s="102"/>
      <c r="G3078" s="102"/>
      <c r="H3078" s="102"/>
      <c r="I3078" s="102"/>
      <c r="J3078" s="102"/>
      <c r="K3078" s="102"/>
      <c r="L3078" s="102"/>
      <c r="M3078" s="102"/>
      <c r="N3078" s="102"/>
      <c r="O3078" s="102"/>
      <c r="P3078" s="102"/>
      <c r="Q3078" s="102"/>
      <c r="R3078" s="102"/>
    </row>
    <row r="3079" spans="1:18" ht="35.1" customHeight="1" x14ac:dyDescent="0.2">
      <c r="A3079" s="99"/>
      <c r="B3079" s="99"/>
      <c r="C3079" s="102"/>
      <c r="D3079" s="102"/>
      <c r="E3079" s="102"/>
      <c r="F3079" s="102"/>
      <c r="G3079" s="102"/>
      <c r="H3079" s="102"/>
      <c r="I3079" s="102"/>
      <c r="J3079" s="102"/>
      <c r="K3079" s="102"/>
      <c r="L3079" s="102"/>
      <c r="M3079" s="102"/>
      <c r="N3079" s="102"/>
      <c r="O3079" s="102"/>
      <c r="P3079" s="102"/>
      <c r="Q3079" s="102"/>
      <c r="R3079" s="102"/>
    </row>
    <row r="3080" spans="1:18" ht="35.1" customHeight="1" x14ac:dyDescent="0.2">
      <c r="A3080" s="99"/>
      <c r="B3080" s="99"/>
      <c r="C3080" s="102"/>
      <c r="D3080" s="102"/>
      <c r="E3080" s="102"/>
      <c r="F3080" s="102"/>
      <c r="G3080" s="102"/>
      <c r="H3080" s="102"/>
      <c r="I3080" s="102"/>
      <c r="J3080" s="102"/>
      <c r="K3080" s="102"/>
      <c r="L3080" s="102"/>
      <c r="M3080" s="102"/>
      <c r="N3080" s="102"/>
      <c r="O3080" s="102"/>
      <c r="P3080" s="102"/>
      <c r="Q3080" s="102"/>
      <c r="R3080" s="102"/>
    </row>
    <row r="3081" spans="1:18" ht="35.1" customHeight="1" x14ac:dyDescent="0.2">
      <c r="A3081" s="99"/>
      <c r="B3081" s="99"/>
      <c r="C3081" s="102"/>
      <c r="D3081" s="102"/>
      <c r="E3081" s="102"/>
      <c r="F3081" s="102"/>
      <c r="G3081" s="102"/>
      <c r="H3081" s="102"/>
      <c r="I3081" s="102"/>
      <c r="J3081" s="102"/>
      <c r="K3081" s="102"/>
      <c r="L3081" s="102"/>
      <c r="M3081" s="102"/>
      <c r="N3081" s="102"/>
      <c r="O3081" s="102"/>
      <c r="P3081" s="102"/>
      <c r="Q3081" s="102"/>
      <c r="R3081" s="102"/>
    </row>
    <row r="3082" spans="1:18" ht="35.1" customHeight="1" x14ac:dyDescent="0.2">
      <c r="A3082" s="99"/>
      <c r="B3082" s="99"/>
      <c r="C3082" s="102"/>
      <c r="D3082" s="102"/>
      <c r="E3082" s="102"/>
      <c r="F3082" s="102"/>
      <c r="G3082" s="102"/>
      <c r="H3082" s="102"/>
      <c r="I3082" s="102"/>
      <c r="J3082" s="102"/>
      <c r="K3082" s="102"/>
      <c r="L3082" s="102"/>
      <c r="M3082" s="102"/>
      <c r="N3082" s="102"/>
      <c r="O3082" s="102"/>
      <c r="P3082" s="102"/>
      <c r="Q3082" s="102"/>
      <c r="R3082" s="102"/>
    </row>
    <row r="3083" spans="1:18" ht="35.1" customHeight="1" x14ac:dyDescent="0.2">
      <c r="A3083" s="99"/>
      <c r="B3083" s="99"/>
      <c r="C3083" s="102"/>
      <c r="D3083" s="102"/>
      <c r="E3083" s="102"/>
      <c r="F3083" s="102"/>
      <c r="G3083" s="102"/>
      <c r="H3083" s="102"/>
      <c r="I3083" s="102"/>
      <c r="J3083" s="102"/>
      <c r="K3083" s="102"/>
      <c r="L3083" s="102"/>
      <c r="M3083" s="102"/>
      <c r="N3083" s="102"/>
      <c r="O3083" s="102"/>
      <c r="P3083" s="102"/>
      <c r="Q3083" s="102"/>
      <c r="R3083" s="102"/>
    </row>
    <row r="3084" spans="1:18" ht="35.1" customHeight="1" x14ac:dyDescent="0.2">
      <c r="A3084" s="99"/>
      <c r="B3084" s="99"/>
      <c r="C3084" s="102"/>
      <c r="D3084" s="102"/>
      <c r="E3084" s="102"/>
      <c r="F3084" s="102"/>
      <c r="G3084" s="102"/>
      <c r="H3084" s="102"/>
      <c r="I3084" s="102"/>
      <c r="J3084" s="102"/>
      <c r="K3084" s="102"/>
      <c r="L3084" s="102"/>
      <c r="M3084" s="102"/>
      <c r="N3084" s="102"/>
      <c r="O3084" s="102"/>
      <c r="P3084" s="102"/>
      <c r="Q3084" s="102"/>
      <c r="R3084" s="102"/>
    </row>
    <row r="3085" spans="1:18" ht="35.1" customHeight="1" x14ac:dyDescent="0.2">
      <c r="A3085" s="99"/>
      <c r="B3085" s="99"/>
      <c r="C3085" s="102"/>
      <c r="D3085" s="102"/>
      <c r="E3085" s="102"/>
      <c r="F3085" s="102"/>
      <c r="G3085" s="102"/>
      <c r="H3085" s="102"/>
      <c r="I3085" s="102"/>
      <c r="J3085" s="102"/>
      <c r="K3085" s="102"/>
      <c r="L3085" s="102"/>
      <c r="M3085" s="102"/>
      <c r="N3085" s="102"/>
      <c r="O3085" s="102"/>
      <c r="P3085" s="102"/>
      <c r="Q3085" s="102"/>
      <c r="R3085" s="102"/>
    </row>
    <row r="3086" spans="1:18" ht="35.1" customHeight="1" x14ac:dyDescent="0.2">
      <c r="A3086" s="99"/>
      <c r="B3086" s="99"/>
      <c r="C3086" s="102"/>
      <c r="D3086" s="102"/>
      <c r="E3086" s="102"/>
      <c r="F3086" s="102"/>
      <c r="G3086" s="102"/>
      <c r="H3086" s="102"/>
      <c r="I3086" s="102"/>
      <c r="J3086" s="102"/>
      <c r="K3086" s="102"/>
      <c r="L3086" s="102"/>
      <c r="M3086" s="102"/>
      <c r="N3086" s="102"/>
      <c r="O3086" s="102"/>
      <c r="P3086" s="102"/>
      <c r="Q3086" s="102"/>
      <c r="R3086" s="102"/>
    </row>
    <row r="3087" spans="1:18" ht="35.1" customHeight="1" x14ac:dyDescent="0.2">
      <c r="A3087" s="99"/>
      <c r="B3087" s="99"/>
      <c r="C3087" s="102"/>
      <c r="D3087" s="102"/>
      <c r="E3087" s="102"/>
      <c r="F3087" s="102"/>
      <c r="G3087" s="102"/>
      <c r="H3087" s="102"/>
      <c r="I3087" s="102"/>
      <c r="J3087" s="102"/>
      <c r="K3087" s="102"/>
      <c r="L3087" s="102"/>
      <c r="M3087" s="102"/>
      <c r="N3087" s="102"/>
      <c r="O3087" s="102"/>
      <c r="P3087" s="102"/>
      <c r="Q3087" s="102"/>
      <c r="R3087" s="102"/>
    </row>
    <row r="3088" spans="1:18" ht="35.1" customHeight="1" x14ac:dyDescent="0.2">
      <c r="A3088" s="99"/>
      <c r="B3088" s="99"/>
      <c r="C3088" s="102"/>
      <c r="D3088" s="102"/>
      <c r="E3088" s="102"/>
      <c r="F3088" s="102"/>
      <c r="G3088" s="102"/>
      <c r="H3088" s="102"/>
      <c r="I3088" s="102"/>
      <c r="J3088" s="102"/>
      <c r="K3088" s="102"/>
      <c r="L3088" s="102"/>
      <c r="M3088" s="102"/>
      <c r="N3088" s="102"/>
      <c r="O3088" s="102"/>
      <c r="P3088" s="102"/>
      <c r="Q3088" s="102"/>
      <c r="R3088" s="102"/>
    </row>
    <row r="3089" spans="1:18" ht="35.1" customHeight="1" x14ac:dyDescent="0.2">
      <c r="A3089" s="99"/>
      <c r="B3089" s="99"/>
      <c r="C3089" s="102"/>
      <c r="D3089" s="102"/>
      <c r="E3089" s="102"/>
      <c r="F3089" s="102"/>
      <c r="G3089" s="102"/>
      <c r="H3089" s="102"/>
      <c r="I3089" s="102"/>
      <c r="J3089" s="102"/>
      <c r="K3089" s="102"/>
      <c r="L3089" s="102"/>
      <c r="M3089" s="102"/>
      <c r="N3089" s="102"/>
      <c r="O3089" s="102"/>
      <c r="P3089" s="102"/>
      <c r="Q3089" s="102"/>
      <c r="R3089" s="102"/>
    </row>
    <row r="3090" spans="1:18" ht="35.1" customHeight="1" x14ac:dyDescent="0.2">
      <c r="A3090" s="99"/>
      <c r="B3090" s="99"/>
      <c r="C3090" s="102"/>
      <c r="D3090" s="102"/>
      <c r="E3090" s="102"/>
      <c r="F3090" s="102"/>
      <c r="G3090" s="102"/>
      <c r="H3090" s="102"/>
      <c r="I3090" s="102"/>
      <c r="J3090" s="102"/>
      <c r="K3090" s="102"/>
      <c r="L3090" s="102"/>
      <c r="M3090" s="102"/>
      <c r="N3090" s="102"/>
      <c r="O3090" s="102"/>
      <c r="P3090" s="102"/>
      <c r="Q3090" s="102"/>
      <c r="R3090" s="102"/>
    </row>
    <row r="3091" spans="1:18" ht="35.1" customHeight="1" x14ac:dyDescent="0.2">
      <c r="A3091" s="99"/>
      <c r="B3091" s="99"/>
      <c r="C3091" s="102"/>
      <c r="D3091" s="102"/>
      <c r="E3091" s="102"/>
      <c r="F3091" s="102"/>
      <c r="G3091" s="102"/>
      <c r="H3091" s="102"/>
      <c r="I3091" s="102"/>
      <c r="J3091" s="102"/>
      <c r="K3091" s="102"/>
      <c r="L3091" s="102"/>
      <c r="M3091" s="102"/>
      <c r="N3091" s="102"/>
      <c r="O3091" s="102"/>
      <c r="P3091" s="102"/>
      <c r="Q3091" s="102"/>
      <c r="R3091" s="102"/>
    </row>
    <row r="3092" spans="1:18" ht="35.1" customHeight="1" x14ac:dyDescent="0.2">
      <c r="A3092" s="99"/>
      <c r="B3092" s="99"/>
      <c r="C3092" s="102"/>
      <c r="D3092" s="102"/>
      <c r="E3092" s="102"/>
      <c r="F3092" s="102"/>
      <c r="G3092" s="102"/>
      <c r="H3092" s="102"/>
      <c r="I3092" s="102"/>
      <c r="J3092" s="102"/>
      <c r="K3092" s="102"/>
      <c r="L3092" s="102"/>
      <c r="M3092" s="102"/>
      <c r="N3092" s="102"/>
      <c r="O3092" s="102"/>
      <c r="P3092" s="102"/>
      <c r="Q3092" s="102"/>
      <c r="R3092" s="102"/>
    </row>
    <row r="3093" spans="1:18" ht="35.1" customHeight="1" x14ac:dyDescent="0.2">
      <c r="A3093" s="99"/>
      <c r="B3093" s="99"/>
      <c r="C3093" s="102"/>
      <c r="D3093" s="102"/>
      <c r="E3093" s="102"/>
      <c r="F3093" s="102"/>
      <c r="G3093" s="102"/>
      <c r="H3093" s="102"/>
      <c r="I3093" s="102"/>
      <c r="J3093" s="102"/>
      <c r="K3093" s="102"/>
      <c r="L3093" s="102"/>
      <c r="M3093" s="102"/>
      <c r="N3093" s="102"/>
      <c r="O3093" s="102"/>
      <c r="P3093" s="102"/>
      <c r="Q3093" s="102"/>
      <c r="R3093" s="102"/>
    </row>
    <row r="3094" spans="1:18" ht="35.1" customHeight="1" x14ac:dyDescent="0.2">
      <c r="A3094" s="99"/>
      <c r="B3094" s="99"/>
      <c r="C3094" s="102"/>
      <c r="D3094" s="102"/>
      <c r="E3094" s="102"/>
      <c r="F3094" s="102"/>
      <c r="G3094" s="102"/>
      <c r="H3094" s="102"/>
      <c r="I3094" s="102"/>
      <c r="J3094" s="102"/>
      <c r="K3094" s="102"/>
      <c r="L3094" s="102"/>
      <c r="M3094" s="102"/>
      <c r="N3094" s="102"/>
      <c r="O3094" s="102"/>
      <c r="P3094" s="102"/>
      <c r="Q3094" s="102"/>
      <c r="R3094" s="102"/>
    </row>
    <row r="3095" spans="1:18" ht="35.1" customHeight="1" x14ac:dyDescent="0.2">
      <c r="A3095" s="99"/>
      <c r="B3095" s="99"/>
      <c r="C3095" s="102"/>
      <c r="D3095" s="102"/>
      <c r="E3095" s="102"/>
      <c r="F3095" s="102"/>
      <c r="G3095" s="102"/>
      <c r="H3095" s="102"/>
      <c r="I3095" s="102"/>
      <c r="J3095" s="102"/>
      <c r="K3095" s="102"/>
      <c r="L3095" s="102"/>
      <c r="M3095" s="102"/>
      <c r="N3095" s="102"/>
      <c r="O3095" s="102"/>
      <c r="P3095" s="102"/>
      <c r="Q3095" s="102"/>
      <c r="R3095" s="102"/>
    </row>
    <row r="3096" spans="1:18" ht="35.1" customHeight="1" x14ac:dyDescent="0.2">
      <c r="A3096" s="99"/>
      <c r="B3096" s="99"/>
      <c r="C3096" s="102"/>
      <c r="D3096" s="102"/>
      <c r="E3096" s="102"/>
      <c r="F3096" s="102"/>
      <c r="G3096" s="102"/>
      <c r="H3096" s="102"/>
      <c r="I3096" s="102"/>
      <c r="J3096" s="102"/>
      <c r="K3096" s="102"/>
      <c r="L3096" s="102"/>
      <c r="M3096" s="102"/>
      <c r="N3096" s="102"/>
      <c r="O3096" s="102"/>
      <c r="P3096" s="102"/>
      <c r="Q3096" s="102"/>
      <c r="R3096" s="102"/>
    </row>
    <row r="3097" spans="1:18" ht="35.1" customHeight="1" x14ac:dyDescent="0.2">
      <c r="A3097" s="99"/>
      <c r="B3097" s="99"/>
      <c r="C3097" s="102"/>
      <c r="D3097" s="102"/>
      <c r="E3097" s="102"/>
      <c r="F3097" s="102"/>
      <c r="G3097" s="102"/>
      <c r="H3097" s="102"/>
      <c r="I3097" s="102"/>
      <c r="J3097" s="102"/>
      <c r="K3097" s="102"/>
      <c r="L3097" s="102"/>
      <c r="M3097" s="102"/>
      <c r="N3097" s="102"/>
      <c r="O3097" s="102"/>
      <c r="P3097" s="102"/>
      <c r="Q3097" s="102"/>
      <c r="R3097" s="102"/>
    </row>
    <row r="3098" spans="1:18" ht="35.1" customHeight="1" x14ac:dyDescent="0.2">
      <c r="A3098" s="99"/>
      <c r="B3098" s="99"/>
      <c r="C3098" s="102"/>
      <c r="D3098" s="102"/>
      <c r="E3098" s="102"/>
      <c r="F3098" s="102"/>
      <c r="G3098" s="102"/>
      <c r="H3098" s="102"/>
      <c r="I3098" s="102"/>
      <c r="J3098" s="102"/>
      <c r="K3098" s="102"/>
      <c r="L3098" s="102"/>
      <c r="M3098" s="102"/>
      <c r="N3098" s="102"/>
      <c r="O3098" s="102"/>
      <c r="P3098" s="102"/>
      <c r="Q3098" s="102"/>
      <c r="R3098" s="102"/>
    </row>
    <row r="3099" spans="1:18" ht="35.1" customHeight="1" x14ac:dyDescent="0.2">
      <c r="A3099" s="99"/>
      <c r="B3099" s="99"/>
      <c r="C3099" s="102"/>
      <c r="D3099" s="102"/>
      <c r="E3099" s="102"/>
      <c r="F3099" s="102"/>
      <c r="G3099" s="102"/>
      <c r="H3099" s="102"/>
      <c r="I3099" s="102"/>
      <c r="J3099" s="102"/>
      <c r="K3099" s="102"/>
      <c r="L3099" s="102"/>
      <c r="M3099" s="102"/>
      <c r="N3099" s="102"/>
      <c r="O3099" s="102"/>
      <c r="P3099" s="102"/>
      <c r="Q3099" s="102"/>
      <c r="R3099" s="102"/>
    </row>
    <row r="3100" spans="1:18" ht="35.1" customHeight="1" x14ac:dyDescent="0.2">
      <c r="A3100" s="99"/>
      <c r="B3100" s="99"/>
      <c r="C3100" s="102"/>
      <c r="D3100" s="102"/>
      <c r="E3100" s="102"/>
      <c r="F3100" s="102"/>
      <c r="G3100" s="102"/>
      <c r="H3100" s="102"/>
      <c r="I3100" s="102"/>
      <c r="J3100" s="102"/>
      <c r="K3100" s="102"/>
      <c r="L3100" s="102"/>
      <c r="M3100" s="102"/>
      <c r="N3100" s="102"/>
      <c r="O3100" s="102"/>
      <c r="P3100" s="102"/>
      <c r="Q3100" s="102"/>
      <c r="R3100" s="102"/>
    </row>
    <row r="3101" spans="1:18" ht="35.1" customHeight="1" x14ac:dyDescent="0.2">
      <c r="A3101" s="99"/>
      <c r="B3101" s="99"/>
      <c r="C3101" s="102"/>
      <c r="D3101" s="102"/>
      <c r="E3101" s="102"/>
      <c r="F3101" s="102"/>
      <c r="G3101" s="102"/>
      <c r="H3101" s="102"/>
      <c r="I3101" s="102"/>
      <c r="J3101" s="102"/>
      <c r="K3101" s="102"/>
      <c r="L3101" s="102"/>
      <c r="M3101" s="102"/>
      <c r="N3101" s="102"/>
      <c r="O3101" s="102"/>
      <c r="P3101" s="102"/>
      <c r="Q3101" s="102"/>
      <c r="R3101" s="102"/>
    </row>
    <row r="3102" spans="1:18" ht="35.1" customHeight="1" x14ac:dyDescent="0.2">
      <c r="A3102" s="99"/>
      <c r="B3102" s="99"/>
      <c r="C3102" s="102"/>
      <c r="D3102" s="102"/>
      <c r="E3102" s="102"/>
      <c r="F3102" s="102"/>
      <c r="G3102" s="102"/>
      <c r="H3102" s="102"/>
      <c r="I3102" s="102"/>
      <c r="J3102" s="102"/>
      <c r="K3102" s="102"/>
      <c r="L3102" s="102"/>
      <c r="M3102" s="102"/>
      <c r="N3102" s="102"/>
      <c r="O3102" s="102"/>
      <c r="P3102" s="102"/>
      <c r="Q3102" s="102"/>
      <c r="R3102" s="102"/>
    </row>
    <row r="3103" spans="1:18" ht="35.1" customHeight="1" x14ac:dyDescent="0.2">
      <c r="A3103" s="99"/>
      <c r="B3103" s="99"/>
      <c r="C3103" s="102"/>
      <c r="D3103" s="102"/>
      <c r="E3103" s="102"/>
      <c r="F3103" s="102"/>
      <c r="G3103" s="102"/>
      <c r="H3103" s="102"/>
      <c r="I3103" s="102"/>
      <c r="J3103" s="102"/>
      <c r="K3103" s="102"/>
      <c r="L3103" s="102"/>
      <c r="M3103" s="102"/>
      <c r="N3103" s="102"/>
      <c r="O3103" s="102"/>
      <c r="P3103" s="102"/>
      <c r="Q3103" s="102"/>
      <c r="R3103" s="102"/>
    </row>
    <row r="3104" spans="1:18" ht="35.1" customHeight="1" x14ac:dyDescent="0.2">
      <c r="A3104" s="99"/>
      <c r="B3104" s="99"/>
      <c r="C3104" s="102"/>
      <c r="D3104" s="102"/>
      <c r="E3104" s="102"/>
      <c r="F3104" s="102"/>
      <c r="G3104" s="102"/>
      <c r="H3104" s="102"/>
      <c r="I3104" s="102"/>
      <c r="J3104" s="102"/>
      <c r="K3104" s="102"/>
      <c r="L3104" s="102"/>
      <c r="M3104" s="102"/>
      <c r="N3104" s="102"/>
      <c r="O3104" s="102"/>
      <c r="P3104" s="102"/>
      <c r="Q3104" s="102"/>
      <c r="R3104" s="102"/>
    </row>
    <row r="3105" spans="1:18" ht="35.1" customHeight="1" x14ac:dyDescent="0.2">
      <c r="A3105" s="99"/>
      <c r="B3105" s="99"/>
      <c r="C3105" s="102"/>
      <c r="D3105" s="102"/>
      <c r="E3105" s="102"/>
      <c r="F3105" s="102"/>
      <c r="G3105" s="102"/>
      <c r="H3105" s="102"/>
      <c r="I3105" s="102"/>
      <c r="J3105" s="102"/>
      <c r="K3105" s="102"/>
      <c r="L3105" s="102"/>
      <c r="M3105" s="102"/>
      <c r="N3105" s="102"/>
      <c r="O3105" s="102"/>
      <c r="P3105" s="102"/>
      <c r="Q3105" s="102"/>
      <c r="R3105" s="102"/>
    </row>
    <row r="3106" spans="1:18" ht="35.1" customHeight="1" x14ac:dyDescent="0.2">
      <c r="A3106" s="99"/>
      <c r="B3106" s="99"/>
      <c r="C3106" s="102"/>
      <c r="D3106" s="102"/>
      <c r="E3106" s="102"/>
      <c r="F3106" s="102"/>
      <c r="G3106" s="102"/>
      <c r="H3106" s="102"/>
      <c r="I3106" s="102"/>
      <c r="J3106" s="102"/>
      <c r="K3106" s="102"/>
      <c r="L3106" s="102"/>
      <c r="M3106" s="102"/>
      <c r="N3106" s="102"/>
      <c r="O3106" s="102"/>
      <c r="P3106" s="102"/>
      <c r="Q3106" s="102"/>
      <c r="R3106" s="102"/>
    </row>
    <row r="3107" spans="1:18" ht="35.1" customHeight="1" x14ac:dyDescent="0.2">
      <c r="A3107" s="99"/>
      <c r="B3107" s="99"/>
      <c r="C3107" s="102"/>
      <c r="D3107" s="102"/>
      <c r="E3107" s="102"/>
      <c r="F3107" s="102"/>
      <c r="G3107" s="102"/>
      <c r="H3107" s="102"/>
      <c r="I3107" s="102"/>
      <c r="J3107" s="102"/>
      <c r="K3107" s="102"/>
      <c r="L3107" s="102"/>
      <c r="M3107" s="102"/>
      <c r="N3107" s="102"/>
      <c r="O3107" s="102"/>
      <c r="P3107" s="102"/>
      <c r="Q3107" s="102"/>
      <c r="R3107" s="102"/>
    </row>
    <row r="3108" spans="1:18" ht="35.1" customHeight="1" x14ac:dyDescent="0.2">
      <c r="A3108" s="99"/>
      <c r="B3108" s="99"/>
      <c r="C3108" s="102"/>
      <c r="D3108" s="102"/>
      <c r="E3108" s="102"/>
      <c r="F3108" s="102"/>
      <c r="G3108" s="102"/>
      <c r="H3108" s="102"/>
      <c r="I3108" s="102"/>
      <c r="J3108" s="102"/>
      <c r="K3108" s="102"/>
      <c r="L3108" s="102"/>
      <c r="M3108" s="102"/>
      <c r="N3108" s="102"/>
      <c r="O3108" s="102"/>
      <c r="P3108" s="102"/>
      <c r="Q3108" s="102"/>
      <c r="R3108" s="102"/>
    </row>
    <row r="3109" spans="1:18" ht="35.1" customHeight="1" x14ac:dyDescent="0.2">
      <c r="A3109" s="99"/>
      <c r="B3109" s="99"/>
      <c r="C3109" s="102"/>
      <c r="D3109" s="102"/>
      <c r="E3109" s="102"/>
      <c r="F3109" s="102"/>
      <c r="G3109" s="102"/>
      <c r="H3109" s="102"/>
      <c r="I3109" s="102"/>
      <c r="J3109" s="102"/>
      <c r="K3109" s="102"/>
      <c r="L3109" s="102"/>
      <c r="M3109" s="102"/>
      <c r="N3109" s="102"/>
      <c r="O3109" s="102"/>
      <c r="P3109" s="102"/>
      <c r="Q3109" s="102"/>
      <c r="R3109" s="102"/>
    </row>
    <row r="3110" spans="1:18" ht="35.1" customHeight="1" x14ac:dyDescent="0.2">
      <c r="A3110" s="99"/>
      <c r="B3110" s="99"/>
      <c r="C3110" s="102"/>
      <c r="D3110" s="102"/>
      <c r="E3110" s="102"/>
      <c r="F3110" s="102"/>
      <c r="G3110" s="102"/>
      <c r="H3110" s="102"/>
      <c r="I3110" s="102"/>
      <c r="J3110" s="102"/>
      <c r="K3110" s="102"/>
      <c r="L3110" s="102"/>
      <c r="M3110" s="102"/>
      <c r="N3110" s="102"/>
      <c r="O3110" s="102"/>
      <c r="P3110" s="102"/>
      <c r="Q3110" s="102"/>
      <c r="R3110" s="102"/>
    </row>
    <row r="3111" spans="1:18" ht="35.1" customHeight="1" x14ac:dyDescent="0.2">
      <c r="A3111" s="99"/>
      <c r="B3111" s="99"/>
      <c r="C3111" s="102"/>
      <c r="D3111" s="102"/>
      <c r="E3111" s="102"/>
      <c r="F3111" s="102"/>
      <c r="G3111" s="102"/>
      <c r="H3111" s="102"/>
      <c r="I3111" s="102"/>
      <c r="J3111" s="102"/>
      <c r="K3111" s="102"/>
      <c r="L3111" s="102"/>
      <c r="M3111" s="102"/>
      <c r="N3111" s="102"/>
      <c r="O3111" s="102"/>
      <c r="P3111" s="102"/>
      <c r="Q3111" s="102"/>
      <c r="R3111" s="102"/>
    </row>
    <row r="3112" spans="1:18" ht="35.1" customHeight="1" x14ac:dyDescent="0.2">
      <c r="A3112" s="99"/>
      <c r="B3112" s="99"/>
      <c r="C3112" s="102"/>
      <c r="D3112" s="102"/>
      <c r="E3112" s="102"/>
      <c r="F3112" s="102"/>
      <c r="G3112" s="102"/>
      <c r="H3112" s="102"/>
      <c r="I3112" s="102"/>
      <c r="J3112" s="102"/>
      <c r="K3112" s="102"/>
      <c r="L3112" s="102"/>
      <c r="M3112" s="102"/>
      <c r="N3112" s="102"/>
      <c r="O3112" s="102"/>
      <c r="P3112" s="102"/>
      <c r="Q3112" s="102"/>
      <c r="R3112" s="102"/>
    </row>
    <row r="3113" spans="1:18" ht="35.1" customHeight="1" x14ac:dyDescent="0.2">
      <c r="A3113" s="99"/>
      <c r="B3113" s="99"/>
      <c r="C3113" s="102"/>
      <c r="D3113" s="102"/>
      <c r="E3113" s="102"/>
      <c r="F3113" s="102"/>
      <c r="G3113" s="102"/>
      <c r="H3113" s="102"/>
      <c r="I3113" s="102"/>
      <c r="J3113" s="102"/>
      <c r="K3113" s="102"/>
      <c r="L3113" s="102"/>
      <c r="M3113" s="102"/>
      <c r="N3113" s="102"/>
      <c r="O3113" s="102"/>
      <c r="P3113" s="102"/>
      <c r="Q3113" s="102"/>
      <c r="R3113" s="102"/>
    </row>
    <row r="3114" spans="1:18" ht="35.1" customHeight="1" x14ac:dyDescent="0.2">
      <c r="A3114" s="99"/>
      <c r="B3114" s="99"/>
      <c r="C3114" s="102"/>
      <c r="D3114" s="102"/>
      <c r="E3114" s="102"/>
      <c r="F3114" s="102"/>
      <c r="G3114" s="102"/>
      <c r="H3114" s="102"/>
      <c r="I3114" s="102"/>
      <c r="J3114" s="102"/>
      <c r="K3114" s="102"/>
      <c r="L3114" s="102"/>
      <c r="M3114" s="102"/>
      <c r="N3114" s="102"/>
      <c r="O3114" s="102"/>
      <c r="P3114" s="102"/>
      <c r="Q3114" s="102"/>
      <c r="R3114" s="102"/>
    </row>
    <row r="3115" spans="1:18" ht="35.1" customHeight="1" x14ac:dyDescent="0.2">
      <c r="A3115" s="99"/>
      <c r="B3115" s="99"/>
      <c r="C3115" s="102"/>
      <c r="D3115" s="102"/>
      <c r="E3115" s="102"/>
      <c r="F3115" s="102"/>
      <c r="G3115" s="102"/>
      <c r="H3115" s="102"/>
      <c r="I3115" s="102"/>
      <c r="J3115" s="102"/>
      <c r="K3115" s="102"/>
      <c r="L3115" s="102"/>
      <c r="M3115" s="102"/>
      <c r="N3115" s="102"/>
      <c r="O3115" s="102"/>
      <c r="P3115" s="102"/>
      <c r="Q3115" s="102"/>
      <c r="R3115" s="102"/>
    </row>
    <row r="3116" spans="1:18" ht="35.1" customHeight="1" x14ac:dyDescent="0.2">
      <c r="A3116" s="99"/>
      <c r="B3116" s="99"/>
      <c r="C3116" s="102"/>
      <c r="D3116" s="102"/>
      <c r="E3116" s="102"/>
      <c r="F3116" s="102"/>
      <c r="G3116" s="102"/>
      <c r="H3116" s="102"/>
      <c r="I3116" s="102"/>
      <c r="J3116" s="102"/>
      <c r="K3116" s="102"/>
      <c r="L3116" s="102"/>
      <c r="M3116" s="102"/>
      <c r="N3116" s="102"/>
      <c r="O3116" s="102"/>
      <c r="P3116" s="102"/>
      <c r="Q3116" s="102"/>
      <c r="R3116" s="102"/>
    </row>
    <row r="3117" spans="1:18" ht="35.1" customHeight="1" x14ac:dyDescent="0.2">
      <c r="A3117" s="99"/>
      <c r="B3117" s="99"/>
      <c r="C3117" s="102"/>
      <c r="D3117" s="102"/>
      <c r="E3117" s="102"/>
      <c r="F3117" s="102"/>
      <c r="G3117" s="102"/>
      <c r="H3117" s="102"/>
      <c r="I3117" s="102"/>
      <c r="J3117" s="102"/>
      <c r="K3117" s="102"/>
      <c r="L3117" s="102"/>
      <c r="M3117" s="102"/>
      <c r="N3117" s="102"/>
      <c r="O3117" s="102"/>
      <c r="P3117" s="102"/>
      <c r="Q3117" s="102"/>
      <c r="R3117" s="102"/>
    </row>
    <row r="3118" spans="1:18" ht="35.1" customHeight="1" x14ac:dyDescent="0.2">
      <c r="A3118" s="99"/>
      <c r="B3118" s="99"/>
      <c r="C3118" s="102"/>
      <c r="D3118" s="102"/>
      <c r="E3118" s="102"/>
      <c r="F3118" s="102"/>
      <c r="G3118" s="102"/>
      <c r="H3118" s="102"/>
      <c r="I3118" s="102"/>
      <c r="J3118" s="102"/>
      <c r="K3118" s="102"/>
      <c r="L3118" s="102"/>
      <c r="M3118" s="102"/>
      <c r="N3118" s="102"/>
      <c r="O3118" s="102"/>
      <c r="P3118" s="102"/>
      <c r="Q3118" s="102"/>
      <c r="R3118" s="102"/>
    </row>
    <row r="3119" spans="1:18" ht="35.1" customHeight="1" x14ac:dyDescent="0.2">
      <c r="A3119" s="99"/>
      <c r="B3119" s="99"/>
      <c r="C3119" s="102"/>
      <c r="D3119" s="102"/>
      <c r="E3119" s="102"/>
      <c r="F3119" s="102"/>
      <c r="G3119" s="102"/>
      <c r="H3119" s="102"/>
      <c r="I3119" s="102"/>
      <c r="J3119" s="102"/>
      <c r="K3119" s="102"/>
      <c r="L3119" s="102"/>
      <c r="M3119" s="102"/>
      <c r="N3119" s="102"/>
      <c r="O3119" s="102"/>
      <c r="P3119" s="102"/>
      <c r="Q3119" s="102"/>
      <c r="R3119" s="102"/>
    </row>
    <row r="3120" spans="1:18" ht="35.1" customHeight="1" x14ac:dyDescent="0.2">
      <c r="A3120" s="99"/>
      <c r="B3120" s="99"/>
      <c r="C3120" s="102"/>
      <c r="D3120" s="102"/>
      <c r="E3120" s="102"/>
      <c r="F3120" s="102"/>
      <c r="G3120" s="102"/>
      <c r="H3120" s="102"/>
      <c r="I3120" s="102"/>
      <c r="J3120" s="102"/>
      <c r="K3120" s="102"/>
      <c r="L3120" s="102"/>
      <c r="M3120" s="102"/>
      <c r="N3120" s="102"/>
      <c r="O3120" s="102"/>
      <c r="P3120" s="102"/>
      <c r="Q3120" s="102"/>
      <c r="R3120" s="102"/>
    </row>
    <row r="3121" spans="1:18" ht="35.1" customHeight="1" x14ac:dyDescent="0.2">
      <c r="A3121" s="99"/>
      <c r="B3121" s="99"/>
      <c r="C3121" s="102"/>
      <c r="D3121" s="102"/>
      <c r="E3121" s="102"/>
      <c r="F3121" s="102"/>
      <c r="G3121" s="102"/>
      <c r="H3121" s="102"/>
      <c r="I3121" s="102"/>
      <c r="J3121" s="102"/>
      <c r="K3121" s="102"/>
      <c r="L3121" s="102"/>
      <c r="M3121" s="102"/>
      <c r="N3121" s="102"/>
      <c r="O3121" s="102"/>
      <c r="P3121" s="102"/>
      <c r="Q3121" s="102"/>
      <c r="R3121" s="102"/>
    </row>
    <row r="3122" spans="1:18" ht="35.1" customHeight="1" x14ac:dyDescent="0.2">
      <c r="A3122" s="99"/>
      <c r="B3122" s="99"/>
      <c r="C3122" s="102"/>
      <c r="D3122" s="102"/>
      <c r="E3122" s="102"/>
      <c r="F3122" s="102"/>
      <c r="G3122" s="102"/>
      <c r="H3122" s="102"/>
      <c r="I3122" s="102"/>
      <c r="J3122" s="102"/>
      <c r="K3122" s="102"/>
      <c r="L3122" s="102"/>
      <c r="M3122" s="102"/>
      <c r="N3122" s="102"/>
      <c r="O3122" s="102"/>
      <c r="P3122" s="102"/>
      <c r="Q3122" s="102"/>
      <c r="R3122" s="102"/>
    </row>
    <row r="3123" spans="1:18" ht="35.1" customHeight="1" x14ac:dyDescent="0.2">
      <c r="A3123" s="99"/>
      <c r="B3123" s="99"/>
      <c r="C3123" s="102"/>
      <c r="D3123" s="102"/>
      <c r="E3123" s="102"/>
      <c r="F3123" s="102"/>
      <c r="G3123" s="102"/>
      <c r="H3123" s="102"/>
      <c r="I3123" s="102"/>
      <c r="J3123" s="102"/>
      <c r="K3123" s="102"/>
      <c r="L3123" s="102"/>
      <c r="M3123" s="102"/>
      <c r="N3123" s="102"/>
      <c r="O3123" s="102"/>
      <c r="P3123" s="102"/>
      <c r="Q3123" s="102"/>
      <c r="R3123" s="102"/>
    </row>
    <row r="3124" spans="1:18" ht="35.1" customHeight="1" x14ac:dyDescent="0.2">
      <c r="A3124" s="99"/>
      <c r="B3124" s="99"/>
      <c r="C3124" s="102"/>
      <c r="D3124" s="102"/>
      <c r="E3124" s="102"/>
      <c r="F3124" s="102"/>
      <c r="G3124" s="102"/>
      <c r="H3124" s="102"/>
      <c r="I3124" s="102"/>
      <c r="J3124" s="102"/>
      <c r="K3124" s="102"/>
      <c r="L3124" s="102"/>
      <c r="M3124" s="102"/>
      <c r="N3124" s="102"/>
      <c r="O3124" s="102"/>
      <c r="P3124" s="102"/>
      <c r="Q3124" s="102"/>
      <c r="R3124" s="102"/>
    </row>
    <row r="3125" spans="1:18" ht="35.1" customHeight="1" x14ac:dyDescent="0.2">
      <c r="A3125" s="99"/>
      <c r="B3125" s="99"/>
      <c r="C3125" s="102"/>
      <c r="D3125" s="102"/>
      <c r="E3125" s="102"/>
      <c r="F3125" s="102"/>
      <c r="G3125" s="102"/>
      <c r="H3125" s="102"/>
      <c r="I3125" s="102"/>
      <c r="J3125" s="102"/>
      <c r="K3125" s="102"/>
      <c r="L3125" s="102"/>
      <c r="M3125" s="102"/>
      <c r="N3125" s="102"/>
      <c r="O3125" s="102"/>
      <c r="P3125" s="102"/>
      <c r="Q3125" s="102"/>
      <c r="R3125" s="102"/>
    </row>
    <row r="3126" spans="1:18" ht="35.1" customHeight="1" x14ac:dyDescent="0.2">
      <c r="A3126" s="99"/>
      <c r="B3126" s="99"/>
      <c r="C3126" s="102"/>
      <c r="D3126" s="102"/>
      <c r="E3126" s="102"/>
      <c r="F3126" s="102"/>
      <c r="G3126" s="102"/>
      <c r="H3126" s="102"/>
      <c r="I3126" s="102"/>
      <c r="J3126" s="102"/>
      <c r="K3126" s="102"/>
      <c r="L3126" s="102"/>
      <c r="M3126" s="102"/>
      <c r="N3126" s="102"/>
      <c r="O3126" s="102"/>
      <c r="P3126" s="102"/>
      <c r="Q3126" s="102"/>
      <c r="R3126" s="102"/>
    </row>
    <row r="3127" spans="1:18" ht="35.1" customHeight="1" x14ac:dyDescent="0.2">
      <c r="A3127" s="99"/>
      <c r="B3127" s="99"/>
      <c r="C3127" s="102"/>
      <c r="D3127" s="102"/>
      <c r="E3127" s="102"/>
      <c r="F3127" s="102"/>
      <c r="G3127" s="102"/>
      <c r="H3127" s="102"/>
      <c r="I3127" s="102"/>
      <c r="J3127" s="102"/>
      <c r="K3127" s="102"/>
      <c r="L3127" s="102"/>
      <c r="M3127" s="102"/>
      <c r="N3127" s="102"/>
      <c r="O3127" s="102"/>
      <c r="P3127" s="102"/>
      <c r="Q3127" s="102"/>
      <c r="R3127" s="102"/>
    </row>
    <row r="3128" spans="1:18" ht="35.1" customHeight="1" x14ac:dyDescent="0.2">
      <c r="A3128" s="99"/>
      <c r="B3128" s="99"/>
      <c r="C3128" s="102"/>
      <c r="D3128" s="102"/>
      <c r="E3128" s="102"/>
      <c r="F3128" s="102"/>
      <c r="G3128" s="102"/>
      <c r="H3128" s="102"/>
      <c r="I3128" s="102"/>
      <c r="J3128" s="102"/>
      <c r="K3128" s="102"/>
      <c r="L3128" s="102"/>
      <c r="M3128" s="102"/>
      <c r="N3128" s="102"/>
      <c r="O3128" s="102"/>
      <c r="P3128" s="102"/>
      <c r="Q3128" s="102"/>
      <c r="R3128" s="102"/>
    </row>
    <row r="3129" spans="1:18" ht="35.1" customHeight="1" x14ac:dyDescent="0.2">
      <c r="A3129" s="99"/>
      <c r="B3129" s="99"/>
      <c r="C3129" s="102"/>
      <c r="D3129" s="102"/>
      <c r="E3129" s="102"/>
      <c r="F3129" s="102"/>
      <c r="G3129" s="102"/>
      <c r="H3129" s="102"/>
      <c r="I3129" s="102"/>
      <c r="J3129" s="102"/>
      <c r="K3129" s="102"/>
      <c r="L3129" s="102"/>
      <c r="M3129" s="102"/>
      <c r="N3129" s="102"/>
      <c r="O3129" s="102"/>
      <c r="P3129" s="102"/>
      <c r="Q3129" s="102"/>
      <c r="R3129" s="102"/>
    </row>
    <row r="3130" spans="1:18" ht="35.1" customHeight="1" x14ac:dyDescent="0.2">
      <c r="A3130" s="99"/>
      <c r="B3130" s="99"/>
      <c r="C3130" s="102"/>
      <c r="D3130" s="102"/>
      <c r="E3130" s="102"/>
      <c r="F3130" s="102"/>
      <c r="G3130" s="102"/>
      <c r="H3130" s="102"/>
      <c r="I3130" s="102"/>
      <c r="J3130" s="102"/>
      <c r="K3130" s="102"/>
      <c r="L3130" s="102"/>
      <c r="M3130" s="102"/>
      <c r="N3130" s="102"/>
      <c r="O3130" s="102"/>
      <c r="P3130" s="102"/>
      <c r="Q3130" s="102"/>
      <c r="R3130" s="102"/>
    </row>
    <row r="3131" spans="1:18" ht="35.1" customHeight="1" x14ac:dyDescent="0.2">
      <c r="A3131" s="99"/>
      <c r="B3131" s="99"/>
      <c r="C3131" s="102"/>
      <c r="D3131" s="102"/>
      <c r="E3131" s="102"/>
      <c r="F3131" s="102"/>
      <c r="G3131" s="102"/>
      <c r="H3131" s="102"/>
      <c r="I3131" s="102"/>
      <c r="J3131" s="102"/>
      <c r="K3131" s="102"/>
      <c r="L3131" s="102"/>
      <c r="M3131" s="102"/>
      <c r="N3131" s="102"/>
      <c r="O3131" s="102"/>
      <c r="P3131" s="102"/>
      <c r="Q3131" s="102"/>
      <c r="R3131" s="102"/>
    </row>
    <row r="3132" spans="1:18" ht="35.1" customHeight="1" x14ac:dyDescent="0.2">
      <c r="A3132" s="99"/>
      <c r="B3132" s="99"/>
      <c r="C3132" s="102"/>
      <c r="D3132" s="102"/>
      <c r="E3132" s="102"/>
      <c r="F3132" s="102"/>
      <c r="G3132" s="102"/>
      <c r="H3132" s="102"/>
      <c r="I3132" s="102"/>
      <c r="J3132" s="102"/>
      <c r="K3132" s="102"/>
      <c r="L3132" s="102"/>
      <c r="M3132" s="102"/>
      <c r="N3132" s="102"/>
      <c r="O3132" s="102"/>
      <c r="P3132" s="102"/>
      <c r="Q3132" s="102"/>
      <c r="R3132" s="102"/>
    </row>
    <row r="3133" spans="1:18" ht="35.1" customHeight="1" x14ac:dyDescent="0.2">
      <c r="A3133" s="99"/>
      <c r="B3133" s="99"/>
      <c r="C3133" s="102"/>
      <c r="D3133" s="102"/>
      <c r="E3133" s="102"/>
      <c r="F3133" s="102"/>
      <c r="G3133" s="102"/>
      <c r="H3133" s="102"/>
      <c r="I3133" s="102"/>
      <c r="J3133" s="102"/>
      <c r="K3133" s="102"/>
      <c r="L3133" s="102"/>
      <c r="M3133" s="102"/>
      <c r="N3133" s="102"/>
      <c r="O3133" s="102"/>
      <c r="P3133" s="102"/>
      <c r="Q3133" s="102"/>
      <c r="R3133" s="102"/>
    </row>
    <row r="3134" spans="1:18" ht="35.1" customHeight="1" x14ac:dyDescent="0.2">
      <c r="A3134" s="99"/>
      <c r="B3134" s="99"/>
      <c r="C3134" s="102"/>
      <c r="D3134" s="102"/>
      <c r="E3134" s="102"/>
      <c r="F3134" s="102"/>
      <c r="G3134" s="102"/>
      <c r="H3134" s="102"/>
      <c r="I3134" s="102"/>
      <c r="J3134" s="102"/>
      <c r="K3134" s="102"/>
      <c r="L3134" s="102"/>
      <c r="M3134" s="102"/>
      <c r="N3134" s="102"/>
      <c r="O3134" s="102"/>
      <c r="P3134" s="102"/>
      <c r="Q3134" s="102"/>
      <c r="R3134" s="102"/>
    </row>
    <row r="3135" spans="1:18" ht="35.1" customHeight="1" x14ac:dyDescent="0.2">
      <c r="A3135" s="99"/>
      <c r="B3135" s="99"/>
      <c r="C3135" s="102"/>
      <c r="D3135" s="102"/>
      <c r="E3135" s="102"/>
      <c r="F3135" s="102"/>
      <c r="G3135" s="102"/>
      <c r="H3135" s="102"/>
      <c r="I3135" s="102"/>
      <c r="J3135" s="102"/>
      <c r="K3135" s="102"/>
      <c r="L3135" s="102"/>
      <c r="M3135" s="102"/>
      <c r="N3135" s="102"/>
      <c r="O3135" s="102"/>
      <c r="P3135" s="102"/>
      <c r="Q3135" s="102"/>
      <c r="R3135" s="102"/>
    </row>
    <row r="3136" spans="1:18" ht="35.1" customHeight="1" x14ac:dyDescent="0.2">
      <c r="A3136" s="99"/>
      <c r="B3136" s="99"/>
      <c r="C3136" s="102"/>
      <c r="D3136" s="102"/>
      <c r="E3136" s="102"/>
      <c r="F3136" s="102"/>
      <c r="G3136" s="102"/>
      <c r="H3136" s="102"/>
      <c r="I3136" s="102"/>
      <c r="J3136" s="102"/>
      <c r="K3136" s="102"/>
      <c r="L3136" s="102"/>
      <c r="M3136" s="102"/>
      <c r="N3136" s="102"/>
      <c r="O3136" s="102"/>
      <c r="P3136" s="102"/>
      <c r="Q3136" s="102"/>
      <c r="R3136" s="102"/>
    </row>
    <row r="3137" spans="1:18" ht="35.1" customHeight="1" x14ac:dyDescent="0.2">
      <c r="A3137" s="99"/>
      <c r="B3137" s="99"/>
      <c r="C3137" s="102"/>
      <c r="D3137" s="102"/>
      <c r="E3137" s="102"/>
      <c r="F3137" s="102"/>
      <c r="G3137" s="102"/>
      <c r="H3137" s="102"/>
      <c r="I3137" s="102"/>
      <c r="J3137" s="102"/>
      <c r="K3137" s="102"/>
      <c r="L3137" s="102"/>
      <c r="M3137" s="102"/>
      <c r="N3137" s="102"/>
      <c r="O3137" s="102"/>
      <c r="P3137" s="102"/>
      <c r="Q3137" s="102"/>
      <c r="R3137" s="102"/>
    </row>
    <row r="3138" spans="1:18" ht="35.1" customHeight="1" x14ac:dyDescent="0.2">
      <c r="A3138" s="99"/>
      <c r="B3138" s="99"/>
      <c r="C3138" s="102"/>
      <c r="D3138" s="102"/>
      <c r="E3138" s="102"/>
      <c r="F3138" s="102"/>
      <c r="G3138" s="102"/>
      <c r="H3138" s="102"/>
      <c r="I3138" s="102"/>
      <c r="J3138" s="102"/>
      <c r="K3138" s="102"/>
      <c r="L3138" s="102"/>
      <c r="M3138" s="102"/>
      <c r="N3138" s="102"/>
      <c r="O3138" s="102"/>
      <c r="P3138" s="102"/>
      <c r="Q3138" s="102"/>
      <c r="R3138" s="102"/>
    </row>
    <row r="3139" spans="1:18" ht="35.1" customHeight="1" x14ac:dyDescent="0.2">
      <c r="A3139" s="99"/>
      <c r="B3139" s="99"/>
      <c r="C3139" s="102"/>
      <c r="D3139" s="102"/>
      <c r="E3139" s="102"/>
      <c r="F3139" s="102"/>
      <c r="G3139" s="102"/>
      <c r="H3139" s="102"/>
      <c r="I3139" s="102"/>
      <c r="J3139" s="102"/>
      <c r="K3139" s="102"/>
      <c r="L3139" s="102"/>
      <c r="M3139" s="102"/>
      <c r="N3139" s="102"/>
      <c r="O3139" s="102"/>
      <c r="P3139" s="102"/>
      <c r="Q3139" s="102"/>
      <c r="R3139" s="102"/>
    </row>
    <row r="3140" spans="1:18" ht="35.1" customHeight="1" x14ac:dyDescent="0.2">
      <c r="A3140" s="99"/>
      <c r="B3140" s="99"/>
      <c r="C3140" s="102"/>
      <c r="D3140" s="102"/>
      <c r="E3140" s="102"/>
      <c r="F3140" s="102"/>
      <c r="G3140" s="102"/>
      <c r="H3140" s="102"/>
      <c r="I3140" s="102"/>
      <c r="J3140" s="102"/>
      <c r="K3140" s="102"/>
      <c r="L3140" s="102"/>
      <c r="M3140" s="102"/>
      <c r="N3140" s="102"/>
      <c r="O3140" s="102"/>
      <c r="P3140" s="102"/>
      <c r="Q3140" s="102"/>
      <c r="R3140" s="102"/>
    </row>
    <row r="3141" spans="1:18" ht="35.1" customHeight="1" x14ac:dyDescent="0.2">
      <c r="A3141" s="99"/>
      <c r="B3141" s="99"/>
      <c r="C3141" s="102"/>
      <c r="D3141" s="102"/>
      <c r="E3141" s="102"/>
      <c r="F3141" s="102"/>
      <c r="G3141" s="102"/>
      <c r="H3141" s="102"/>
      <c r="I3141" s="102"/>
      <c r="J3141" s="102"/>
      <c r="K3141" s="102"/>
      <c r="L3141" s="102"/>
      <c r="M3141" s="102"/>
      <c r="N3141" s="102"/>
      <c r="O3141" s="102"/>
      <c r="P3141" s="102"/>
      <c r="Q3141" s="102"/>
      <c r="R3141" s="102"/>
    </row>
    <row r="3142" spans="1:18" ht="35.1" customHeight="1" x14ac:dyDescent="0.2">
      <c r="A3142" s="99"/>
      <c r="B3142" s="99"/>
      <c r="C3142" s="102"/>
      <c r="D3142" s="102"/>
      <c r="E3142" s="102"/>
      <c r="F3142" s="102"/>
      <c r="G3142" s="102"/>
      <c r="H3142" s="102"/>
      <c r="I3142" s="102"/>
      <c r="J3142" s="102"/>
      <c r="K3142" s="102"/>
      <c r="L3142" s="102"/>
      <c r="M3142" s="102"/>
      <c r="N3142" s="102"/>
      <c r="O3142" s="102"/>
      <c r="P3142" s="102"/>
      <c r="Q3142" s="102"/>
      <c r="R3142" s="102"/>
    </row>
    <row r="3143" spans="1:18" ht="35.1" customHeight="1" x14ac:dyDescent="0.2">
      <c r="A3143" s="99"/>
      <c r="B3143" s="99"/>
      <c r="C3143" s="102"/>
      <c r="D3143" s="102"/>
      <c r="E3143" s="102"/>
      <c r="F3143" s="102"/>
      <c r="G3143" s="102"/>
      <c r="H3143" s="102"/>
      <c r="I3143" s="102"/>
      <c r="J3143" s="102"/>
      <c r="K3143" s="102"/>
      <c r="L3143" s="102"/>
      <c r="M3143" s="102"/>
      <c r="N3143" s="102"/>
      <c r="O3143" s="102"/>
      <c r="P3143" s="102"/>
      <c r="Q3143" s="102"/>
      <c r="R3143" s="102"/>
    </row>
    <row r="3144" spans="1:18" ht="35.1" customHeight="1" x14ac:dyDescent="0.2">
      <c r="A3144" s="99"/>
      <c r="B3144" s="99"/>
      <c r="C3144" s="102"/>
      <c r="D3144" s="102"/>
      <c r="E3144" s="102"/>
      <c r="F3144" s="102"/>
      <c r="G3144" s="102"/>
      <c r="H3144" s="102"/>
      <c r="I3144" s="102"/>
      <c r="J3144" s="102"/>
      <c r="K3144" s="102"/>
      <c r="L3144" s="102"/>
      <c r="M3144" s="102"/>
      <c r="N3144" s="102"/>
      <c r="O3144" s="102"/>
      <c r="P3144" s="102"/>
      <c r="Q3144" s="102"/>
      <c r="R3144" s="102"/>
    </row>
    <row r="3145" spans="1:18" ht="35.1" customHeight="1" x14ac:dyDescent="0.2">
      <c r="A3145" s="99"/>
      <c r="B3145" s="99"/>
      <c r="C3145" s="102"/>
      <c r="D3145" s="102"/>
      <c r="E3145" s="102"/>
      <c r="F3145" s="102"/>
      <c r="G3145" s="102"/>
      <c r="H3145" s="102"/>
      <c r="I3145" s="102"/>
      <c r="J3145" s="102"/>
      <c r="K3145" s="102"/>
      <c r="L3145" s="102"/>
      <c r="M3145" s="102"/>
      <c r="N3145" s="102"/>
      <c r="O3145" s="102"/>
      <c r="P3145" s="102"/>
      <c r="Q3145" s="102"/>
      <c r="R3145" s="102"/>
    </row>
    <row r="3146" spans="1:18" ht="35.1" customHeight="1" x14ac:dyDescent="0.2">
      <c r="A3146" s="99"/>
      <c r="B3146" s="99"/>
      <c r="C3146" s="102"/>
      <c r="D3146" s="102"/>
      <c r="E3146" s="102"/>
      <c r="F3146" s="102"/>
      <c r="G3146" s="102"/>
      <c r="H3146" s="102"/>
      <c r="I3146" s="102"/>
      <c r="J3146" s="102"/>
      <c r="K3146" s="102"/>
      <c r="L3146" s="102"/>
      <c r="M3146" s="102"/>
      <c r="N3146" s="102"/>
      <c r="O3146" s="102"/>
      <c r="P3146" s="102"/>
      <c r="Q3146" s="102"/>
      <c r="R3146" s="102"/>
    </row>
    <row r="3147" spans="1:18" ht="35.1" customHeight="1" x14ac:dyDescent="0.2">
      <c r="A3147" s="99"/>
      <c r="B3147" s="99"/>
      <c r="C3147" s="102"/>
      <c r="D3147" s="102"/>
      <c r="E3147" s="102"/>
      <c r="F3147" s="102"/>
      <c r="G3147" s="102"/>
      <c r="H3147" s="102"/>
      <c r="I3147" s="102"/>
      <c r="J3147" s="102"/>
      <c r="K3147" s="102"/>
      <c r="L3147" s="102"/>
      <c r="M3147" s="102"/>
      <c r="N3147" s="102"/>
      <c r="O3147" s="102"/>
      <c r="P3147" s="102"/>
      <c r="Q3147" s="102"/>
      <c r="R3147" s="102"/>
    </row>
    <row r="3148" spans="1:18" ht="35.1" customHeight="1" x14ac:dyDescent="0.2">
      <c r="A3148" s="99"/>
      <c r="B3148" s="99"/>
      <c r="C3148" s="102"/>
      <c r="D3148" s="102"/>
      <c r="E3148" s="102"/>
      <c r="F3148" s="102"/>
      <c r="G3148" s="102"/>
      <c r="H3148" s="102"/>
      <c r="I3148" s="102"/>
      <c r="J3148" s="102"/>
      <c r="K3148" s="102"/>
      <c r="L3148" s="102"/>
      <c r="M3148" s="102"/>
      <c r="N3148" s="102"/>
      <c r="O3148" s="102"/>
      <c r="P3148" s="102"/>
      <c r="Q3148" s="102"/>
      <c r="R3148" s="102"/>
    </row>
    <row r="3149" spans="1:18" ht="35.1" customHeight="1" x14ac:dyDescent="0.2">
      <c r="A3149" s="99"/>
      <c r="B3149" s="99"/>
      <c r="C3149" s="102"/>
      <c r="D3149" s="102"/>
      <c r="E3149" s="102"/>
      <c r="F3149" s="102"/>
      <c r="G3149" s="102"/>
      <c r="H3149" s="102"/>
      <c r="I3149" s="102"/>
      <c r="J3149" s="102"/>
      <c r="K3149" s="102"/>
      <c r="L3149" s="102"/>
      <c r="M3149" s="102"/>
      <c r="N3149" s="102"/>
      <c r="O3149" s="102"/>
      <c r="P3149" s="102"/>
      <c r="Q3149" s="102"/>
      <c r="R3149" s="102"/>
    </row>
    <row r="3150" spans="1:18" ht="35.1" customHeight="1" x14ac:dyDescent="0.2">
      <c r="A3150" s="99"/>
      <c r="B3150" s="99"/>
      <c r="C3150" s="102"/>
      <c r="D3150" s="102"/>
      <c r="E3150" s="102"/>
      <c r="F3150" s="102"/>
      <c r="G3150" s="102"/>
      <c r="H3150" s="102"/>
      <c r="I3150" s="102"/>
      <c r="J3150" s="102"/>
      <c r="K3150" s="102"/>
      <c r="L3150" s="102"/>
      <c r="M3150" s="102"/>
      <c r="N3150" s="102"/>
      <c r="O3150" s="102"/>
      <c r="P3150" s="102"/>
      <c r="Q3150" s="102"/>
      <c r="R3150" s="102"/>
    </row>
    <row r="3151" spans="1:18" ht="35.1" customHeight="1" x14ac:dyDescent="0.2">
      <c r="A3151" s="99"/>
      <c r="B3151" s="99"/>
      <c r="C3151" s="102"/>
      <c r="D3151" s="102"/>
      <c r="E3151" s="102"/>
      <c r="F3151" s="102"/>
      <c r="G3151" s="102"/>
      <c r="H3151" s="102"/>
      <c r="I3151" s="102"/>
      <c r="J3151" s="102"/>
      <c r="K3151" s="102"/>
      <c r="L3151" s="102"/>
      <c r="M3151" s="102"/>
      <c r="N3151" s="102"/>
      <c r="O3151" s="102"/>
      <c r="P3151" s="102"/>
      <c r="Q3151" s="102"/>
      <c r="R3151" s="102"/>
    </row>
    <row r="3152" spans="1:18" ht="35.1" customHeight="1" x14ac:dyDescent="0.2">
      <c r="A3152" s="99"/>
      <c r="B3152" s="99"/>
      <c r="C3152" s="102"/>
      <c r="D3152" s="102"/>
      <c r="E3152" s="102"/>
      <c r="F3152" s="102"/>
      <c r="G3152" s="102"/>
      <c r="H3152" s="102"/>
      <c r="I3152" s="102"/>
      <c r="J3152" s="102"/>
      <c r="K3152" s="102"/>
      <c r="L3152" s="102"/>
      <c r="M3152" s="102"/>
      <c r="N3152" s="102"/>
      <c r="O3152" s="102"/>
      <c r="P3152" s="102"/>
      <c r="Q3152" s="102"/>
      <c r="R3152" s="102"/>
    </row>
    <row r="3153" spans="1:18" ht="35.1" customHeight="1" x14ac:dyDescent="0.2">
      <c r="A3153" s="99"/>
      <c r="B3153" s="99"/>
      <c r="C3153" s="102"/>
      <c r="D3153" s="102"/>
      <c r="E3153" s="102"/>
      <c r="F3153" s="102"/>
      <c r="G3153" s="102"/>
      <c r="H3153" s="102"/>
      <c r="I3153" s="102"/>
      <c r="J3153" s="102"/>
      <c r="K3153" s="102"/>
      <c r="L3153" s="102"/>
      <c r="M3153" s="102"/>
      <c r="N3153" s="102"/>
      <c r="O3153" s="102"/>
      <c r="P3153" s="102"/>
      <c r="Q3153" s="102"/>
      <c r="R3153" s="102"/>
    </row>
    <row r="3154" spans="1:18" ht="35.1" customHeight="1" x14ac:dyDescent="0.2">
      <c r="A3154" s="99"/>
      <c r="B3154" s="99"/>
      <c r="C3154" s="102"/>
      <c r="D3154" s="102"/>
      <c r="E3154" s="102"/>
      <c r="F3154" s="102"/>
      <c r="G3154" s="102"/>
      <c r="H3154" s="102"/>
      <c r="I3154" s="102"/>
      <c r="J3154" s="102"/>
      <c r="K3154" s="102"/>
      <c r="L3154" s="102"/>
      <c r="M3154" s="102"/>
      <c r="N3154" s="102"/>
      <c r="O3154" s="102"/>
      <c r="P3154" s="102"/>
      <c r="Q3154" s="102"/>
      <c r="R3154" s="102"/>
    </row>
    <row r="3155" spans="1:18" ht="35.1" customHeight="1" x14ac:dyDescent="0.2">
      <c r="A3155" s="99"/>
      <c r="B3155" s="99"/>
      <c r="C3155" s="102"/>
      <c r="D3155" s="102"/>
      <c r="E3155" s="102"/>
      <c r="F3155" s="102"/>
      <c r="G3155" s="102"/>
      <c r="H3155" s="102"/>
      <c r="I3155" s="102"/>
      <c r="J3155" s="102"/>
      <c r="K3155" s="102"/>
      <c r="L3155" s="102"/>
      <c r="M3155" s="102"/>
      <c r="N3155" s="102"/>
      <c r="O3155" s="102"/>
      <c r="P3155" s="102"/>
      <c r="Q3155" s="102"/>
      <c r="R3155" s="102"/>
    </row>
    <row r="3156" spans="1:18" ht="35.1" customHeight="1" x14ac:dyDescent="0.2">
      <c r="A3156" s="99"/>
      <c r="B3156" s="99"/>
      <c r="C3156" s="102"/>
      <c r="D3156" s="102"/>
      <c r="E3156" s="102"/>
      <c r="F3156" s="102"/>
      <c r="G3156" s="102"/>
      <c r="H3156" s="102"/>
      <c r="I3156" s="102"/>
      <c r="J3156" s="102"/>
      <c r="K3156" s="102"/>
      <c r="L3156" s="102"/>
      <c r="M3156" s="102"/>
      <c r="N3156" s="102"/>
      <c r="O3156" s="102"/>
      <c r="P3156" s="102"/>
      <c r="Q3156" s="102"/>
      <c r="R3156" s="102"/>
    </row>
    <row r="3157" spans="1:18" ht="35.1" customHeight="1" x14ac:dyDescent="0.2">
      <c r="A3157" s="99"/>
      <c r="B3157" s="99"/>
      <c r="C3157" s="102"/>
      <c r="D3157" s="102"/>
      <c r="E3157" s="102"/>
      <c r="F3157" s="102"/>
      <c r="G3157" s="102"/>
      <c r="H3157" s="102"/>
      <c r="I3157" s="102"/>
      <c r="J3157" s="102"/>
      <c r="K3157" s="102"/>
      <c r="L3157" s="102"/>
      <c r="M3157" s="102"/>
      <c r="N3157" s="102"/>
      <c r="O3157" s="102"/>
      <c r="P3157" s="102"/>
      <c r="Q3157" s="102"/>
      <c r="R3157" s="102"/>
    </row>
    <row r="3158" spans="1:18" ht="35.1" customHeight="1" x14ac:dyDescent="0.2">
      <c r="A3158" s="99"/>
      <c r="B3158" s="99"/>
      <c r="C3158" s="102"/>
      <c r="D3158" s="102"/>
      <c r="E3158" s="102"/>
      <c r="F3158" s="102"/>
      <c r="G3158" s="102"/>
      <c r="H3158" s="102"/>
      <c r="I3158" s="102"/>
      <c r="J3158" s="102"/>
      <c r="K3158" s="102"/>
      <c r="L3158" s="102"/>
      <c r="M3158" s="102"/>
      <c r="N3158" s="102"/>
      <c r="O3158" s="102"/>
      <c r="P3158" s="102"/>
      <c r="Q3158" s="102"/>
      <c r="R3158" s="102"/>
    </row>
    <row r="3159" spans="1:18" ht="35.1" customHeight="1" x14ac:dyDescent="0.2">
      <c r="A3159" s="99"/>
      <c r="B3159" s="99"/>
      <c r="C3159" s="102"/>
      <c r="D3159" s="102"/>
      <c r="E3159" s="102"/>
      <c r="F3159" s="102"/>
      <c r="G3159" s="102"/>
      <c r="H3159" s="102"/>
      <c r="I3159" s="102"/>
      <c r="J3159" s="102"/>
      <c r="K3159" s="102"/>
      <c r="L3159" s="102"/>
      <c r="M3159" s="102"/>
      <c r="N3159" s="102"/>
      <c r="O3159" s="102"/>
      <c r="P3159" s="102"/>
      <c r="Q3159" s="102"/>
      <c r="R3159" s="102"/>
    </row>
    <row r="3160" spans="1:18" ht="35.1" customHeight="1" x14ac:dyDescent="0.2">
      <c r="A3160" s="99"/>
      <c r="B3160" s="99"/>
      <c r="C3160" s="102"/>
      <c r="D3160" s="102"/>
      <c r="E3160" s="102"/>
      <c r="F3160" s="102"/>
      <c r="G3160" s="102"/>
      <c r="H3160" s="102"/>
      <c r="I3160" s="102"/>
      <c r="J3160" s="102"/>
      <c r="K3160" s="102"/>
      <c r="L3160" s="102"/>
      <c r="M3160" s="102"/>
      <c r="N3160" s="102"/>
      <c r="O3160" s="102"/>
      <c r="P3160" s="102"/>
      <c r="Q3160" s="102"/>
      <c r="R3160" s="102"/>
    </row>
    <row r="3161" spans="1:18" ht="35.1" customHeight="1" x14ac:dyDescent="0.2">
      <c r="A3161" s="99"/>
      <c r="B3161" s="99"/>
      <c r="C3161" s="102"/>
      <c r="D3161" s="102"/>
      <c r="E3161" s="102"/>
      <c r="F3161" s="102"/>
      <c r="G3161" s="102"/>
      <c r="H3161" s="102"/>
      <c r="I3161" s="102"/>
      <c r="J3161" s="102"/>
      <c r="K3161" s="102"/>
      <c r="L3161" s="102"/>
      <c r="M3161" s="102"/>
      <c r="N3161" s="102"/>
      <c r="O3161" s="102"/>
      <c r="P3161" s="102"/>
      <c r="Q3161" s="102"/>
      <c r="R3161" s="102"/>
    </row>
    <row r="3162" spans="1:18" ht="35.1" customHeight="1" x14ac:dyDescent="0.2">
      <c r="A3162" s="99"/>
      <c r="B3162" s="99"/>
      <c r="C3162" s="102"/>
      <c r="D3162" s="102"/>
      <c r="E3162" s="102"/>
      <c r="F3162" s="102"/>
      <c r="G3162" s="102"/>
      <c r="H3162" s="102"/>
      <c r="I3162" s="102"/>
      <c r="J3162" s="102"/>
      <c r="K3162" s="102"/>
      <c r="L3162" s="102"/>
      <c r="M3162" s="102"/>
      <c r="N3162" s="102"/>
      <c r="O3162" s="102"/>
      <c r="P3162" s="102"/>
      <c r="Q3162" s="102"/>
      <c r="R3162" s="102"/>
    </row>
    <row r="3163" spans="1:18" ht="35.1" customHeight="1" x14ac:dyDescent="0.2">
      <c r="A3163" s="99"/>
      <c r="B3163" s="99"/>
      <c r="C3163" s="102"/>
      <c r="D3163" s="102"/>
      <c r="E3163" s="102"/>
      <c r="F3163" s="102"/>
      <c r="G3163" s="102"/>
      <c r="H3163" s="102"/>
      <c r="I3163" s="102"/>
      <c r="J3163" s="102"/>
      <c r="K3163" s="102"/>
      <c r="L3163" s="102"/>
      <c r="M3163" s="102"/>
      <c r="N3163" s="102"/>
      <c r="O3163" s="102"/>
      <c r="P3163" s="102"/>
      <c r="Q3163" s="102"/>
      <c r="R3163" s="102"/>
    </row>
    <row r="3164" spans="1:18" ht="35.1" customHeight="1" x14ac:dyDescent="0.2">
      <c r="A3164" s="99"/>
      <c r="B3164" s="99"/>
      <c r="C3164" s="102"/>
      <c r="D3164" s="102"/>
      <c r="E3164" s="102"/>
      <c r="F3164" s="102"/>
      <c r="G3164" s="102"/>
      <c r="H3164" s="102"/>
      <c r="I3164" s="102"/>
      <c r="J3164" s="102"/>
      <c r="K3164" s="102"/>
      <c r="L3164" s="102"/>
      <c r="M3164" s="102"/>
      <c r="N3164" s="102"/>
      <c r="O3164" s="102"/>
      <c r="P3164" s="102"/>
      <c r="Q3164" s="102"/>
      <c r="R3164" s="102"/>
    </row>
    <row r="3165" spans="1:18" ht="35.1" customHeight="1" x14ac:dyDescent="0.2">
      <c r="A3165" s="99"/>
      <c r="B3165" s="99"/>
      <c r="C3165" s="102"/>
      <c r="D3165" s="102"/>
      <c r="E3165" s="102"/>
      <c r="F3165" s="102"/>
      <c r="G3165" s="102"/>
      <c r="H3165" s="102"/>
      <c r="I3165" s="102"/>
      <c r="J3165" s="102"/>
      <c r="K3165" s="102"/>
      <c r="L3165" s="102"/>
      <c r="M3165" s="102"/>
      <c r="N3165" s="102"/>
      <c r="O3165" s="102"/>
      <c r="P3165" s="102"/>
      <c r="Q3165" s="102"/>
      <c r="R3165" s="102"/>
    </row>
    <row r="3166" spans="1:18" ht="35.1" customHeight="1" x14ac:dyDescent="0.2">
      <c r="A3166" s="99"/>
      <c r="B3166" s="99"/>
      <c r="C3166" s="102"/>
      <c r="D3166" s="102"/>
      <c r="E3166" s="102"/>
      <c r="F3166" s="102"/>
      <c r="G3166" s="102"/>
      <c r="H3166" s="102"/>
      <c r="I3166" s="102"/>
      <c r="J3166" s="102"/>
      <c r="K3166" s="102"/>
      <c r="L3166" s="102"/>
      <c r="M3166" s="102"/>
      <c r="N3166" s="102"/>
      <c r="O3166" s="102"/>
      <c r="P3166" s="102"/>
      <c r="Q3166" s="102"/>
      <c r="R3166" s="102"/>
    </row>
    <row r="3167" spans="1:18" ht="35.1" customHeight="1" x14ac:dyDescent="0.2">
      <c r="A3167" s="99"/>
      <c r="B3167" s="99"/>
      <c r="C3167" s="102"/>
      <c r="D3167" s="102"/>
      <c r="E3167" s="102"/>
      <c r="F3167" s="102"/>
      <c r="G3167" s="102"/>
      <c r="H3167" s="102"/>
      <c r="I3167" s="102"/>
      <c r="J3167" s="102"/>
      <c r="K3167" s="102"/>
      <c r="L3167" s="102"/>
      <c r="M3167" s="102"/>
      <c r="N3167" s="102"/>
      <c r="O3167" s="102"/>
      <c r="P3167" s="102"/>
      <c r="Q3167" s="102"/>
      <c r="R3167" s="102"/>
    </row>
    <row r="3168" spans="1:18" ht="35.1" customHeight="1" x14ac:dyDescent="0.2">
      <c r="A3168" s="99"/>
      <c r="B3168" s="99"/>
      <c r="C3168" s="102"/>
      <c r="D3168" s="102"/>
      <c r="E3168" s="102"/>
      <c r="F3168" s="102"/>
      <c r="G3168" s="102"/>
      <c r="H3168" s="102"/>
      <c r="I3168" s="102"/>
      <c r="J3168" s="102"/>
      <c r="K3168" s="102"/>
      <c r="L3168" s="102"/>
      <c r="M3168" s="102"/>
      <c r="N3168" s="102"/>
      <c r="O3168" s="102"/>
      <c r="P3168" s="102"/>
      <c r="Q3168" s="102"/>
      <c r="R3168" s="102"/>
    </row>
    <row r="3169" spans="1:18" ht="35.1" customHeight="1" x14ac:dyDescent="0.2">
      <c r="A3169" s="99"/>
      <c r="B3169" s="99"/>
      <c r="C3169" s="102"/>
      <c r="D3169" s="102"/>
      <c r="E3169" s="102"/>
      <c r="F3169" s="102"/>
      <c r="G3169" s="102"/>
      <c r="H3169" s="102"/>
      <c r="I3169" s="102"/>
      <c r="J3169" s="102"/>
      <c r="K3169" s="102"/>
      <c r="L3169" s="102"/>
      <c r="M3169" s="102"/>
      <c r="N3169" s="102"/>
      <c r="O3169" s="102"/>
      <c r="P3169" s="102"/>
      <c r="Q3169" s="102"/>
      <c r="R3169" s="102"/>
    </row>
    <row r="3170" spans="1:18" ht="35.1" customHeight="1" x14ac:dyDescent="0.2">
      <c r="A3170" s="99"/>
      <c r="B3170" s="99"/>
      <c r="C3170" s="102"/>
      <c r="D3170" s="102"/>
      <c r="E3170" s="102"/>
      <c r="F3170" s="102"/>
      <c r="G3170" s="102"/>
      <c r="H3170" s="102"/>
      <c r="I3170" s="102"/>
      <c r="J3170" s="102"/>
      <c r="K3170" s="102"/>
      <c r="L3170" s="102"/>
      <c r="M3170" s="102"/>
      <c r="N3170" s="102"/>
      <c r="O3170" s="102"/>
      <c r="P3170" s="102"/>
      <c r="Q3170" s="102"/>
      <c r="R3170" s="102"/>
    </row>
    <row r="3171" spans="1:18" ht="35.1" customHeight="1" x14ac:dyDescent="0.2">
      <c r="A3171" s="99"/>
      <c r="B3171" s="99"/>
      <c r="C3171" s="102"/>
      <c r="D3171" s="102"/>
      <c r="E3171" s="102"/>
      <c r="F3171" s="102"/>
      <c r="G3171" s="102"/>
      <c r="H3171" s="102"/>
      <c r="I3171" s="102"/>
      <c r="J3171" s="102"/>
      <c r="K3171" s="102"/>
      <c r="L3171" s="102"/>
      <c r="M3171" s="102"/>
      <c r="N3171" s="102"/>
      <c r="O3171" s="102"/>
      <c r="P3171" s="102"/>
      <c r="Q3171" s="102"/>
      <c r="R3171" s="102"/>
    </row>
    <row r="3172" spans="1:18" ht="35.1" customHeight="1" x14ac:dyDescent="0.2">
      <c r="A3172" s="99"/>
      <c r="B3172" s="99"/>
      <c r="C3172" s="102"/>
      <c r="D3172" s="102"/>
      <c r="E3172" s="102"/>
      <c r="F3172" s="102"/>
      <c r="G3172" s="102"/>
      <c r="H3172" s="102"/>
      <c r="I3172" s="102"/>
      <c r="J3172" s="102"/>
      <c r="K3172" s="102"/>
      <c r="L3172" s="102"/>
      <c r="M3172" s="102"/>
      <c r="N3172" s="102"/>
      <c r="O3172" s="102"/>
      <c r="P3172" s="102"/>
      <c r="Q3172" s="102"/>
      <c r="R3172" s="102"/>
    </row>
    <row r="3173" spans="1:18" ht="35.1" customHeight="1" x14ac:dyDescent="0.2">
      <c r="A3173" s="99"/>
      <c r="B3173" s="99"/>
      <c r="C3173" s="102"/>
      <c r="D3173" s="102"/>
      <c r="E3173" s="102"/>
      <c r="F3173" s="102"/>
      <c r="G3173" s="102"/>
      <c r="H3173" s="102"/>
      <c r="I3173" s="102"/>
      <c r="J3173" s="102"/>
      <c r="K3173" s="102"/>
      <c r="L3173" s="102"/>
      <c r="M3173" s="102"/>
      <c r="N3173" s="102"/>
      <c r="O3173" s="102"/>
      <c r="P3173" s="102"/>
      <c r="Q3173" s="102"/>
      <c r="R3173" s="102"/>
    </row>
    <row r="3174" spans="1:18" ht="35.1" customHeight="1" x14ac:dyDescent="0.2">
      <c r="A3174" s="99"/>
      <c r="B3174" s="99"/>
      <c r="C3174" s="102"/>
      <c r="D3174" s="102"/>
      <c r="E3174" s="102"/>
      <c r="F3174" s="102"/>
      <c r="G3174" s="102"/>
      <c r="H3174" s="102"/>
      <c r="I3174" s="102"/>
      <c r="J3174" s="102"/>
      <c r="K3174" s="102"/>
      <c r="L3174" s="102"/>
      <c r="M3174" s="102"/>
      <c r="N3174" s="102"/>
      <c r="O3174" s="102"/>
      <c r="P3174" s="102"/>
      <c r="Q3174" s="102"/>
      <c r="R3174" s="102"/>
    </row>
    <row r="3175" spans="1:18" ht="35.1" customHeight="1" x14ac:dyDescent="0.2">
      <c r="A3175" s="99"/>
      <c r="B3175" s="99"/>
      <c r="C3175" s="102"/>
      <c r="D3175" s="102"/>
      <c r="E3175" s="102"/>
      <c r="F3175" s="102"/>
      <c r="G3175" s="102"/>
      <c r="H3175" s="102"/>
      <c r="I3175" s="102"/>
      <c r="J3175" s="102"/>
      <c r="K3175" s="102"/>
      <c r="L3175" s="102"/>
      <c r="M3175" s="102"/>
      <c r="N3175" s="102"/>
      <c r="O3175" s="102"/>
      <c r="P3175" s="102"/>
      <c r="Q3175" s="102"/>
      <c r="R3175" s="102"/>
    </row>
    <row r="3176" spans="1:18" ht="35.1" customHeight="1" x14ac:dyDescent="0.2">
      <c r="A3176" s="99"/>
      <c r="B3176" s="99"/>
      <c r="C3176" s="102"/>
      <c r="D3176" s="102"/>
      <c r="E3176" s="102"/>
      <c r="F3176" s="102"/>
      <c r="G3176" s="102"/>
      <c r="H3176" s="102"/>
      <c r="I3176" s="102"/>
      <c r="J3176" s="102"/>
      <c r="K3176" s="102"/>
      <c r="L3176" s="102"/>
      <c r="M3176" s="102"/>
      <c r="N3176" s="102"/>
      <c r="O3176" s="102"/>
      <c r="P3176" s="102"/>
      <c r="Q3176" s="102"/>
      <c r="R3176" s="102"/>
    </row>
    <row r="3177" spans="1:18" ht="35.1" customHeight="1" x14ac:dyDescent="0.2">
      <c r="A3177" s="99"/>
      <c r="B3177" s="99"/>
      <c r="C3177" s="102"/>
      <c r="D3177" s="102"/>
      <c r="E3177" s="102"/>
      <c r="F3177" s="102"/>
      <c r="G3177" s="102"/>
      <c r="H3177" s="102"/>
      <c r="I3177" s="102"/>
      <c r="J3177" s="102"/>
      <c r="K3177" s="102"/>
      <c r="L3177" s="102"/>
      <c r="M3177" s="102"/>
      <c r="N3177" s="102"/>
      <c r="O3177" s="102"/>
      <c r="P3177" s="102"/>
      <c r="Q3177" s="102"/>
      <c r="R3177" s="102"/>
    </row>
    <row r="3178" spans="1:18" ht="35.1" customHeight="1" x14ac:dyDescent="0.2">
      <c r="A3178" s="99"/>
      <c r="B3178" s="99"/>
      <c r="C3178" s="102"/>
      <c r="D3178" s="102"/>
      <c r="E3178" s="102"/>
      <c r="F3178" s="102"/>
      <c r="G3178" s="102"/>
      <c r="H3178" s="102"/>
      <c r="I3178" s="102"/>
      <c r="J3178" s="102"/>
      <c r="K3178" s="102"/>
      <c r="L3178" s="102"/>
      <c r="M3178" s="102"/>
      <c r="N3178" s="102"/>
      <c r="O3178" s="102"/>
      <c r="P3178" s="102"/>
      <c r="Q3178" s="102"/>
      <c r="R3178" s="102"/>
    </row>
    <row r="3179" spans="1:18" ht="35.1" customHeight="1" x14ac:dyDescent="0.2">
      <c r="A3179" s="99"/>
      <c r="B3179" s="99"/>
      <c r="C3179" s="102"/>
      <c r="D3179" s="102"/>
      <c r="E3179" s="102"/>
      <c r="F3179" s="102"/>
      <c r="G3179" s="102"/>
      <c r="H3179" s="102"/>
      <c r="I3179" s="102"/>
      <c r="J3179" s="102"/>
      <c r="K3179" s="102"/>
      <c r="L3179" s="102"/>
      <c r="M3179" s="102"/>
      <c r="N3179" s="102"/>
      <c r="O3179" s="102"/>
      <c r="P3179" s="102"/>
      <c r="Q3179" s="102"/>
      <c r="R3179" s="102"/>
    </row>
    <row r="3180" spans="1:18" ht="35.1" customHeight="1" x14ac:dyDescent="0.2">
      <c r="A3180" s="99"/>
      <c r="B3180" s="99"/>
      <c r="C3180" s="102"/>
      <c r="D3180" s="102"/>
      <c r="E3180" s="102"/>
      <c r="F3180" s="102"/>
      <c r="G3180" s="102"/>
      <c r="H3180" s="102"/>
      <c r="I3180" s="102"/>
      <c r="J3180" s="102"/>
      <c r="K3180" s="102"/>
      <c r="L3180" s="102"/>
      <c r="M3180" s="102"/>
      <c r="N3180" s="102"/>
      <c r="O3180" s="102"/>
      <c r="P3180" s="102"/>
      <c r="Q3180" s="102"/>
      <c r="R3180" s="102"/>
    </row>
    <row r="3181" spans="1:18" ht="35.1" customHeight="1" x14ac:dyDescent="0.2">
      <c r="A3181" s="99"/>
      <c r="B3181" s="99"/>
      <c r="C3181" s="102"/>
      <c r="D3181" s="102"/>
      <c r="E3181" s="102"/>
      <c r="F3181" s="102"/>
      <c r="G3181" s="102"/>
      <c r="H3181" s="102"/>
      <c r="I3181" s="102"/>
      <c r="J3181" s="102"/>
      <c r="K3181" s="102"/>
      <c r="L3181" s="102"/>
      <c r="M3181" s="102"/>
      <c r="N3181" s="102"/>
      <c r="O3181" s="102"/>
      <c r="P3181" s="102"/>
      <c r="Q3181" s="102"/>
      <c r="R3181" s="102"/>
    </row>
    <row r="3182" spans="1:18" ht="35.1" customHeight="1" x14ac:dyDescent="0.2">
      <c r="A3182" s="99"/>
      <c r="B3182" s="99"/>
      <c r="C3182" s="102"/>
      <c r="D3182" s="102"/>
      <c r="E3182" s="102"/>
      <c r="F3182" s="102"/>
      <c r="G3182" s="102"/>
      <c r="H3182" s="102"/>
      <c r="I3182" s="102"/>
      <c r="J3182" s="102"/>
      <c r="K3182" s="102"/>
      <c r="L3182" s="102"/>
      <c r="M3182" s="102"/>
      <c r="N3182" s="102"/>
      <c r="O3182" s="102"/>
      <c r="P3182" s="102"/>
      <c r="Q3182" s="102"/>
      <c r="R3182" s="102"/>
    </row>
    <row r="3183" spans="1:18" ht="35.1" customHeight="1" x14ac:dyDescent="0.2">
      <c r="A3183" s="99"/>
      <c r="B3183" s="99"/>
      <c r="C3183" s="102"/>
      <c r="D3183" s="102"/>
      <c r="E3183" s="102"/>
      <c r="F3183" s="102"/>
      <c r="G3183" s="102"/>
      <c r="H3183" s="102"/>
      <c r="I3183" s="102"/>
      <c r="J3183" s="102"/>
      <c r="K3183" s="102"/>
      <c r="L3183" s="102"/>
      <c r="M3183" s="102"/>
      <c r="N3183" s="102"/>
      <c r="O3183" s="102"/>
      <c r="P3183" s="102"/>
      <c r="Q3183" s="102"/>
      <c r="R3183" s="102"/>
    </row>
    <row r="3184" spans="1:18" ht="35.1" customHeight="1" x14ac:dyDescent="0.2">
      <c r="A3184" s="99"/>
      <c r="B3184" s="99"/>
      <c r="C3184" s="102"/>
      <c r="D3184" s="102"/>
      <c r="E3184" s="102"/>
      <c r="F3184" s="102"/>
      <c r="G3184" s="102"/>
      <c r="H3184" s="102"/>
      <c r="I3184" s="102"/>
      <c r="J3184" s="102"/>
      <c r="K3184" s="102"/>
      <c r="L3184" s="102"/>
      <c r="M3184" s="102"/>
      <c r="N3184" s="102"/>
      <c r="O3184" s="102"/>
      <c r="P3184" s="102"/>
      <c r="Q3184" s="102"/>
      <c r="R3184" s="102"/>
    </row>
    <row r="3185" spans="1:18" ht="35.1" customHeight="1" x14ac:dyDescent="0.2">
      <c r="A3185" s="99"/>
      <c r="B3185" s="99"/>
      <c r="C3185" s="102"/>
      <c r="D3185" s="102"/>
      <c r="E3185" s="102"/>
      <c r="F3185" s="102"/>
      <c r="G3185" s="102"/>
      <c r="H3185" s="102"/>
      <c r="I3185" s="102"/>
      <c r="J3185" s="102"/>
      <c r="K3185" s="102"/>
      <c r="L3185" s="102"/>
      <c r="M3185" s="102"/>
      <c r="N3185" s="102"/>
      <c r="O3185" s="102"/>
      <c r="P3185" s="102"/>
      <c r="Q3185" s="102"/>
      <c r="R3185" s="102"/>
    </row>
    <row r="3186" spans="1:18" ht="35.1" customHeight="1" x14ac:dyDescent="0.2">
      <c r="A3186" s="99"/>
      <c r="B3186" s="99"/>
      <c r="C3186" s="102"/>
      <c r="D3186" s="102"/>
      <c r="E3186" s="102"/>
      <c r="F3186" s="102"/>
      <c r="G3186" s="102"/>
      <c r="H3186" s="102"/>
      <c r="I3186" s="102"/>
      <c r="J3186" s="102"/>
      <c r="K3186" s="102"/>
      <c r="L3186" s="102"/>
      <c r="M3186" s="102"/>
      <c r="N3186" s="102"/>
      <c r="O3186" s="102"/>
      <c r="P3186" s="102"/>
      <c r="Q3186" s="102"/>
      <c r="R3186" s="102"/>
    </row>
    <row r="3187" spans="1:18" ht="35.1" customHeight="1" x14ac:dyDescent="0.2">
      <c r="A3187" s="99"/>
      <c r="B3187" s="99"/>
      <c r="C3187" s="102"/>
      <c r="D3187" s="102"/>
      <c r="E3187" s="102"/>
      <c r="F3187" s="102"/>
      <c r="G3187" s="102"/>
      <c r="H3187" s="102"/>
      <c r="I3187" s="102"/>
      <c r="J3187" s="102"/>
      <c r="K3187" s="102"/>
      <c r="L3187" s="102"/>
      <c r="M3187" s="102"/>
      <c r="N3187" s="102"/>
      <c r="O3187" s="102"/>
      <c r="P3187" s="102"/>
      <c r="Q3187" s="102"/>
      <c r="R3187" s="102"/>
    </row>
    <row r="3188" spans="1:18" ht="35.1" customHeight="1" x14ac:dyDescent="0.2">
      <c r="A3188" s="99"/>
      <c r="B3188" s="99"/>
      <c r="C3188" s="102"/>
      <c r="D3188" s="102"/>
      <c r="E3188" s="102"/>
      <c r="F3188" s="102"/>
      <c r="G3188" s="102"/>
      <c r="H3188" s="102"/>
      <c r="I3188" s="102"/>
      <c r="J3188" s="102"/>
      <c r="K3188" s="102"/>
      <c r="L3188" s="102"/>
      <c r="M3188" s="102"/>
      <c r="N3188" s="102"/>
      <c r="O3188" s="102"/>
      <c r="P3188" s="102"/>
      <c r="Q3188" s="102"/>
      <c r="R3188" s="102"/>
    </row>
    <row r="3189" spans="1:18" ht="35.1" customHeight="1" x14ac:dyDescent="0.2">
      <c r="A3189" s="99"/>
      <c r="B3189" s="99"/>
      <c r="C3189" s="102"/>
      <c r="D3189" s="102"/>
      <c r="E3189" s="102"/>
      <c r="F3189" s="102"/>
      <c r="G3189" s="102"/>
      <c r="H3189" s="102"/>
      <c r="I3189" s="102"/>
      <c r="J3189" s="102"/>
      <c r="K3189" s="102"/>
      <c r="L3189" s="102"/>
      <c r="M3189" s="102"/>
      <c r="N3189" s="102"/>
      <c r="O3189" s="102"/>
      <c r="P3189" s="102"/>
      <c r="Q3189" s="102"/>
      <c r="R3189" s="102"/>
    </row>
    <row r="3190" spans="1:18" ht="35.1" customHeight="1" x14ac:dyDescent="0.2">
      <c r="A3190" s="99"/>
      <c r="B3190" s="99"/>
      <c r="C3190" s="102"/>
      <c r="D3190" s="102"/>
      <c r="E3190" s="102"/>
      <c r="F3190" s="102"/>
      <c r="G3190" s="102"/>
      <c r="H3190" s="102"/>
      <c r="I3190" s="102"/>
      <c r="J3190" s="102"/>
      <c r="K3190" s="102"/>
      <c r="L3190" s="102"/>
      <c r="M3190" s="102"/>
      <c r="N3190" s="102"/>
      <c r="O3190" s="102"/>
      <c r="P3190" s="102"/>
      <c r="Q3190" s="102"/>
      <c r="R3190" s="102"/>
    </row>
    <row r="3191" spans="1:18" ht="35.1" customHeight="1" x14ac:dyDescent="0.2">
      <c r="A3191" s="99"/>
      <c r="B3191" s="99"/>
      <c r="C3191" s="102"/>
      <c r="D3191" s="102"/>
      <c r="E3191" s="102"/>
      <c r="F3191" s="102"/>
      <c r="G3191" s="102"/>
      <c r="H3191" s="102"/>
      <c r="I3191" s="102"/>
      <c r="J3191" s="102"/>
      <c r="K3191" s="102"/>
      <c r="L3191" s="102"/>
      <c r="M3191" s="102"/>
      <c r="N3191" s="102"/>
      <c r="O3191" s="102"/>
      <c r="P3191" s="102"/>
      <c r="Q3191" s="102"/>
      <c r="R3191" s="102"/>
    </row>
    <row r="3192" spans="1:18" ht="35.1" customHeight="1" x14ac:dyDescent="0.2">
      <c r="A3192" s="99"/>
      <c r="B3192" s="99"/>
      <c r="C3192" s="102"/>
      <c r="D3192" s="102"/>
      <c r="E3192" s="102"/>
      <c r="F3192" s="102"/>
      <c r="G3192" s="102"/>
      <c r="H3192" s="102"/>
      <c r="I3192" s="102"/>
      <c r="J3192" s="102"/>
      <c r="K3192" s="102"/>
      <c r="L3192" s="102"/>
      <c r="M3192" s="102"/>
      <c r="N3192" s="102"/>
      <c r="O3192" s="102"/>
      <c r="P3192" s="102"/>
      <c r="Q3192" s="102"/>
      <c r="R3192" s="102"/>
    </row>
    <row r="3193" spans="1:18" ht="35.1" customHeight="1" x14ac:dyDescent="0.2">
      <c r="A3193" s="99"/>
      <c r="B3193" s="99"/>
      <c r="C3193" s="102"/>
      <c r="D3193" s="102"/>
      <c r="E3193" s="102"/>
      <c r="F3193" s="102"/>
      <c r="G3193" s="102"/>
      <c r="H3193" s="102"/>
      <c r="I3193" s="102"/>
      <c r="J3193" s="102"/>
      <c r="K3193" s="102"/>
      <c r="L3193" s="102"/>
      <c r="M3193" s="102"/>
      <c r="N3193" s="102"/>
      <c r="O3193" s="102"/>
      <c r="P3193" s="102"/>
      <c r="Q3193" s="102"/>
      <c r="R3193" s="102"/>
    </row>
    <row r="3194" spans="1:18" ht="35.1" customHeight="1" x14ac:dyDescent="0.2">
      <c r="A3194" s="99"/>
      <c r="B3194" s="99"/>
      <c r="C3194" s="102"/>
      <c r="D3194" s="102"/>
      <c r="E3194" s="102"/>
      <c r="F3194" s="102"/>
      <c r="G3194" s="102"/>
      <c r="H3194" s="102"/>
      <c r="I3194" s="102"/>
      <c r="J3194" s="102"/>
      <c r="K3194" s="102"/>
      <c r="L3194" s="102"/>
      <c r="M3194" s="102"/>
      <c r="N3194" s="102"/>
      <c r="O3194" s="102"/>
      <c r="P3194" s="102"/>
      <c r="Q3194" s="102"/>
      <c r="R3194" s="102"/>
    </row>
    <row r="3195" spans="1:18" ht="35.1" customHeight="1" x14ac:dyDescent="0.2">
      <c r="A3195" s="99"/>
      <c r="B3195" s="99"/>
      <c r="C3195" s="102"/>
      <c r="D3195" s="102"/>
      <c r="E3195" s="102"/>
      <c r="F3195" s="102"/>
      <c r="G3195" s="102"/>
      <c r="H3195" s="102"/>
      <c r="I3195" s="102"/>
      <c r="J3195" s="102"/>
      <c r="K3195" s="102"/>
      <c r="L3195" s="102"/>
      <c r="M3195" s="102"/>
      <c r="N3195" s="102"/>
      <c r="O3195" s="102"/>
      <c r="P3195" s="102"/>
      <c r="Q3195" s="102"/>
      <c r="R3195" s="102"/>
    </row>
    <row r="3196" spans="1:18" ht="35.1" customHeight="1" x14ac:dyDescent="0.2">
      <c r="A3196" s="99"/>
      <c r="B3196" s="99"/>
      <c r="C3196" s="102"/>
      <c r="D3196" s="102"/>
      <c r="E3196" s="102"/>
      <c r="F3196" s="102"/>
      <c r="G3196" s="102"/>
      <c r="H3196" s="102"/>
      <c r="I3196" s="102"/>
      <c r="J3196" s="102"/>
      <c r="K3196" s="102"/>
      <c r="L3196" s="102"/>
      <c r="M3196" s="102"/>
      <c r="N3196" s="102"/>
      <c r="O3196" s="102"/>
      <c r="P3196" s="102"/>
      <c r="Q3196" s="102"/>
      <c r="R3196" s="102"/>
    </row>
    <row r="3197" spans="1:18" ht="35.1" customHeight="1" x14ac:dyDescent="0.2">
      <c r="A3197" s="99"/>
      <c r="B3197" s="99"/>
      <c r="C3197" s="102"/>
      <c r="D3197" s="102"/>
      <c r="E3197" s="102"/>
      <c r="F3197" s="102"/>
      <c r="G3197" s="102"/>
      <c r="H3197" s="102"/>
      <c r="I3197" s="102"/>
      <c r="J3197" s="102"/>
      <c r="K3197" s="102"/>
      <c r="L3197" s="102"/>
      <c r="M3197" s="102"/>
      <c r="N3197" s="102"/>
      <c r="O3197" s="102"/>
      <c r="P3197" s="102"/>
      <c r="Q3197" s="102"/>
      <c r="R3197" s="102"/>
    </row>
    <row r="3198" spans="1:18" ht="35.1" customHeight="1" x14ac:dyDescent="0.2">
      <c r="A3198" s="99"/>
      <c r="B3198" s="99"/>
      <c r="C3198" s="102"/>
      <c r="D3198" s="102"/>
      <c r="E3198" s="102"/>
      <c r="F3198" s="102"/>
      <c r="G3198" s="102"/>
      <c r="H3198" s="102"/>
      <c r="I3198" s="102"/>
      <c r="J3198" s="102"/>
      <c r="K3198" s="102"/>
      <c r="L3198" s="102"/>
      <c r="M3198" s="102"/>
      <c r="N3198" s="102"/>
      <c r="O3198" s="102"/>
      <c r="P3198" s="102"/>
      <c r="Q3198" s="102"/>
      <c r="R3198" s="102"/>
    </row>
    <row r="3199" spans="1:18" ht="35.1" customHeight="1" x14ac:dyDescent="0.2">
      <c r="A3199" s="99"/>
      <c r="B3199" s="99"/>
      <c r="C3199" s="102"/>
      <c r="D3199" s="102"/>
      <c r="E3199" s="102"/>
      <c r="F3199" s="102"/>
      <c r="G3199" s="102"/>
      <c r="H3199" s="102"/>
      <c r="I3199" s="102"/>
      <c r="J3199" s="102"/>
      <c r="K3199" s="102"/>
      <c r="L3199" s="102"/>
      <c r="M3199" s="102"/>
      <c r="N3199" s="102"/>
      <c r="O3199" s="102"/>
      <c r="P3199" s="102"/>
      <c r="Q3199" s="102"/>
      <c r="R3199" s="102"/>
    </row>
    <row r="3200" spans="1:18" ht="35.1" customHeight="1" x14ac:dyDescent="0.2">
      <c r="A3200" s="99"/>
      <c r="B3200" s="99"/>
      <c r="C3200" s="102"/>
      <c r="D3200" s="102"/>
      <c r="E3200" s="102"/>
      <c r="F3200" s="102"/>
      <c r="G3200" s="102"/>
      <c r="H3200" s="102"/>
      <c r="I3200" s="102"/>
      <c r="J3200" s="102"/>
      <c r="K3200" s="102"/>
      <c r="L3200" s="102"/>
      <c r="M3200" s="102"/>
      <c r="N3200" s="102"/>
      <c r="O3200" s="102"/>
      <c r="P3200" s="102"/>
      <c r="Q3200" s="102"/>
      <c r="R3200" s="102"/>
    </row>
    <row r="3201" spans="1:18" ht="35.1" customHeight="1" x14ac:dyDescent="0.2">
      <c r="A3201" s="99"/>
      <c r="B3201" s="99"/>
      <c r="C3201" s="102"/>
      <c r="D3201" s="102"/>
      <c r="E3201" s="102"/>
      <c r="F3201" s="102"/>
      <c r="G3201" s="102"/>
      <c r="H3201" s="102"/>
      <c r="I3201" s="102"/>
      <c r="J3201" s="102"/>
      <c r="K3201" s="102"/>
      <c r="L3201" s="102"/>
      <c r="M3201" s="102"/>
      <c r="N3201" s="102"/>
      <c r="O3201" s="102"/>
      <c r="P3201" s="102"/>
      <c r="Q3201" s="102"/>
      <c r="R3201" s="102"/>
    </row>
    <row r="3202" spans="1:18" ht="35.1" customHeight="1" x14ac:dyDescent="0.2">
      <c r="A3202" s="99"/>
      <c r="B3202" s="99"/>
      <c r="C3202" s="102"/>
      <c r="D3202" s="102"/>
      <c r="E3202" s="102"/>
      <c r="F3202" s="102"/>
      <c r="G3202" s="102"/>
      <c r="H3202" s="102"/>
      <c r="I3202" s="102"/>
      <c r="J3202" s="102"/>
      <c r="K3202" s="102"/>
      <c r="L3202" s="102"/>
      <c r="M3202" s="102"/>
      <c r="N3202" s="102"/>
      <c r="O3202" s="102"/>
      <c r="P3202" s="102"/>
      <c r="Q3202" s="102"/>
      <c r="R3202" s="102"/>
    </row>
    <row r="3203" spans="1:18" ht="35.1" customHeight="1" x14ac:dyDescent="0.2">
      <c r="A3203" s="99"/>
      <c r="B3203" s="99"/>
      <c r="C3203" s="102"/>
      <c r="D3203" s="102"/>
      <c r="E3203" s="102"/>
      <c r="F3203" s="102"/>
      <c r="G3203" s="102"/>
      <c r="H3203" s="102"/>
      <c r="I3203" s="102"/>
      <c r="J3203" s="102"/>
      <c r="K3203" s="102"/>
      <c r="L3203" s="102"/>
      <c r="M3203" s="102"/>
      <c r="N3203" s="102"/>
      <c r="O3203" s="102"/>
      <c r="P3203" s="102"/>
      <c r="Q3203" s="102"/>
      <c r="R3203" s="102"/>
    </row>
    <row r="3204" spans="1:18" ht="35.1" customHeight="1" x14ac:dyDescent="0.2">
      <c r="A3204" s="99"/>
      <c r="B3204" s="99"/>
      <c r="C3204" s="102"/>
      <c r="D3204" s="102"/>
      <c r="E3204" s="102"/>
      <c r="F3204" s="102"/>
      <c r="G3204" s="102"/>
      <c r="H3204" s="102"/>
      <c r="I3204" s="102"/>
      <c r="J3204" s="102"/>
      <c r="K3204" s="102"/>
      <c r="L3204" s="102"/>
      <c r="M3204" s="102"/>
      <c r="N3204" s="102"/>
      <c r="O3204" s="102"/>
      <c r="P3204" s="102"/>
      <c r="Q3204" s="102"/>
      <c r="R3204" s="102"/>
    </row>
    <row r="3205" spans="1:18" ht="35.1" customHeight="1" x14ac:dyDescent="0.2">
      <c r="A3205" s="99"/>
      <c r="B3205" s="99"/>
      <c r="C3205" s="102"/>
      <c r="D3205" s="102"/>
      <c r="E3205" s="102"/>
      <c r="F3205" s="102"/>
      <c r="G3205" s="102"/>
      <c r="H3205" s="102"/>
      <c r="I3205" s="102"/>
      <c r="J3205" s="102"/>
      <c r="K3205" s="102"/>
      <c r="L3205" s="102"/>
      <c r="M3205" s="102"/>
      <c r="N3205" s="102"/>
      <c r="O3205" s="102"/>
      <c r="P3205" s="102"/>
      <c r="Q3205" s="102"/>
      <c r="R3205" s="102"/>
    </row>
    <row r="3206" spans="1:18" ht="35.1" customHeight="1" x14ac:dyDescent="0.2">
      <c r="A3206" s="99"/>
      <c r="B3206" s="99"/>
      <c r="C3206" s="102"/>
      <c r="D3206" s="102"/>
      <c r="E3206" s="102"/>
      <c r="F3206" s="102"/>
      <c r="G3206" s="102"/>
      <c r="H3206" s="102"/>
      <c r="I3206" s="102"/>
      <c r="J3206" s="102"/>
      <c r="K3206" s="102"/>
      <c r="L3206" s="102"/>
      <c r="M3206" s="102"/>
      <c r="N3206" s="102"/>
      <c r="O3206" s="102"/>
      <c r="P3206" s="102"/>
      <c r="Q3206" s="102"/>
      <c r="R3206" s="102"/>
    </row>
    <row r="3207" spans="1:18" ht="35.1" customHeight="1" x14ac:dyDescent="0.2">
      <c r="A3207" s="99"/>
      <c r="B3207" s="99"/>
      <c r="C3207" s="102"/>
      <c r="D3207" s="102"/>
      <c r="E3207" s="102"/>
      <c r="F3207" s="102"/>
      <c r="G3207" s="102"/>
      <c r="H3207" s="102"/>
      <c r="I3207" s="102"/>
      <c r="J3207" s="102"/>
      <c r="K3207" s="102"/>
      <c r="L3207" s="102"/>
      <c r="M3207" s="102"/>
      <c r="N3207" s="102"/>
      <c r="O3207" s="102"/>
      <c r="P3207" s="102"/>
      <c r="Q3207" s="102"/>
      <c r="R3207" s="102"/>
    </row>
    <row r="3208" spans="1:18" ht="35.1" customHeight="1" x14ac:dyDescent="0.2">
      <c r="A3208" s="99"/>
      <c r="B3208" s="99"/>
      <c r="C3208" s="102"/>
      <c r="D3208" s="102"/>
      <c r="E3208" s="102"/>
      <c r="F3208" s="102"/>
      <c r="G3208" s="102"/>
      <c r="H3208" s="102"/>
      <c r="I3208" s="102"/>
      <c r="J3208" s="102"/>
      <c r="K3208" s="102"/>
      <c r="L3208" s="102"/>
      <c r="M3208" s="102"/>
      <c r="N3208" s="102"/>
      <c r="O3208" s="102"/>
      <c r="P3208" s="102"/>
      <c r="Q3208" s="102"/>
      <c r="R3208" s="102"/>
    </row>
    <row r="3209" spans="1:18" ht="35.1" customHeight="1" x14ac:dyDescent="0.2">
      <c r="A3209" s="99"/>
      <c r="B3209" s="99"/>
      <c r="C3209" s="102"/>
      <c r="D3209" s="102"/>
      <c r="E3209" s="102"/>
      <c r="F3209" s="102"/>
      <c r="G3209" s="102"/>
      <c r="H3209" s="102"/>
      <c r="I3209" s="102"/>
      <c r="J3209" s="102"/>
      <c r="K3209" s="102"/>
      <c r="L3209" s="102"/>
      <c r="M3209" s="102"/>
      <c r="N3209" s="102"/>
      <c r="O3209" s="102"/>
      <c r="P3209" s="102"/>
      <c r="Q3209" s="102"/>
      <c r="R3209" s="102"/>
    </row>
    <row r="3210" spans="1:18" ht="35.1" customHeight="1" x14ac:dyDescent="0.2">
      <c r="A3210" s="99"/>
      <c r="B3210" s="99"/>
      <c r="C3210" s="102"/>
      <c r="D3210" s="102"/>
      <c r="E3210" s="102"/>
      <c r="F3210" s="102"/>
      <c r="G3210" s="102"/>
      <c r="H3210" s="102"/>
      <c r="I3210" s="102"/>
      <c r="J3210" s="102"/>
      <c r="K3210" s="102"/>
      <c r="L3210" s="102"/>
      <c r="M3210" s="102"/>
      <c r="N3210" s="102"/>
      <c r="O3210" s="102"/>
      <c r="P3210" s="102"/>
      <c r="Q3210" s="102"/>
      <c r="R3210" s="102"/>
    </row>
    <row r="3211" spans="1:18" ht="35.1" customHeight="1" x14ac:dyDescent="0.2">
      <c r="A3211" s="99"/>
      <c r="B3211" s="99"/>
      <c r="C3211" s="102"/>
      <c r="D3211" s="102"/>
      <c r="E3211" s="102"/>
      <c r="F3211" s="102"/>
      <c r="G3211" s="102"/>
      <c r="H3211" s="102"/>
      <c r="I3211" s="102"/>
      <c r="J3211" s="102"/>
      <c r="K3211" s="102"/>
      <c r="L3211" s="102"/>
      <c r="M3211" s="102"/>
      <c r="N3211" s="102"/>
      <c r="O3211" s="102"/>
      <c r="P3211" s="102"/>
      <c r="Q3211" s="102"/>
      <c r="R3211" s="102"/>
    </row>
    <row r="3212" spans="1:18" ht="35.1" customHeight="1" x14ac:dyDescent="0.2">
      <c r="A3212" s="99"/>
      <c r="B3212" s="99"/>
      <c r="C3212" s="102"/>
      <c r="D3212" s="102"/>
      <c r="E3212" s="102"/>
      <c r="F3212" s="102"/>
      <c r="G3212" s="102"/>
      <c r="H3212" s="102"/>
      <c r="I3212" s="102"/>
      <c r="J3212" s="102"/>
      <c r="K3212" s="102"/>
      <c r="L3212" s="102"/>
      <c r="M3212" s="102"/>
      <c r="N3212" s="102"/>
      <c r="O3212" s="102"/>
      <c r="P3212" s="102"/>
      <c r="Q3212" s="102"/>
      <c r="R3212" s="102"/>
    </row>
    <row r="3213" spans="1:18" ht="35.1" customHeight="1" x14ac:dyDescent="0.2">
      <c r="A3213" s="99"/>
      <c r="B3213" s="99"/>
      <c r="C3213" s="102"/>
      <c r="D3213" s="102"/>
      <c r="E3213" s="102"/>
      <c r="F3213" s="102"/>
      <c r="G3213" s="102"/>
      <c r="H3213" s="102"/>
      <c r="I3213" s="102"/>
      <c r="J3213" s="102"/>
      <c r="K3213" s="102"/>
      <c r="L3213" s="102"/>
      <c r="M3213" s="102"/>
      <c r="N3213" s="102"/>
      <c r="O3213" s="102"/>
      <c r="P3213" s="102"/>
      <c r="Q3213" s="102"/>
      <c r="R3213" s="102"/>
    </row>
    <row r="3214" spans="1:18" ht="35.1" customHeight="1" x14ac:dyDescent="0.2">
      <c r="A3214" s="99"/>
      <c r="B3214" s="99"/>
      <c r="C3214" s="102"/>
      <c r="D3214" s="102"/>
      <c r="E3214" s="102"/>
      <c r="F3214" s="102"/>
      <c r="G3214" s="102"/>
      <c r="H3214" s="102"/>
      <c r="I3214" s="102"/>
      <c r="J3214" s="102"/>
      <c r="K3214" s="102"/>
      <c r="L3214" s="102"/>
      <c r="M3214" s="102"/>
      <c r="N3214" s="102"/>
      <c r="O3214" s="102"/>
      <c r="P3214" s="102"/>
      <c r="Q3214" s="102"/>
      <c r="R3214" s="102"/>
    </row>
    <row r="3215" spans="1:18" ht="35.1" customHeight="1" x14ac:dyDescent="0.2">
      <c r="A3215" s="99"/>
      <c r="B3215" s="99"/>
      <c r="C3215" s="102"/>
      <c r="D3215" s="102"/>
      <c r="E3215" s="102"/>
      <c r="F3215" s="102"/>
      <c r="G3215" s="102"/>
      <c r="H3215" s="102"/>
      <c r="I3215" s="102"/>
      <c r="J3215" s="102"/>
      <c r="K3215" s="102"/>
      <c r="L3215" s="102"/>
      <c r="M3215" s="102"/>
      <c r="N3215" s="102"/>
      <c r="O3215" s="102"/>
      <c r="P3215" s="102"/>
      <c r="Q3215" s="102"/>
      <c r="R3215" s="102"/>
    </row>
    <row r="3216" spans="1:18" ht="35.1" customHeight="1" x14ac:dyDescent="0.2">
      <c r="A3216" s="99"/>
      <c r="B3216" s="99"/>
      <c r="C3216" s="102"/>
      <c r="D3216" s="102"/>
      <c r="E3216" s="102"/>
      <c r="F3216" s="102"/>
      <c r="G3216" s="102"/>
      <c r="H3216" s="102"/>
      <c r="I3216" s="102"/>
      <c r="J3216" s="102"/>
      <c r="K3216" s="102"/>
      <c r="L3216" s="102"/>
      <c r="M3216" s="102"/>
      <c r="N3216" s="102"/>
      <c r="O3216" s="102"/>
      <c r="P3216" s="102"/>
      <c r="Q3216" s="102"/>
      <c r="R3216" s="102"/>
    </row>
    <row r="3217" spans="1:18" ht="35.1" customHeight="1" x14ac:dyDescent="0.2">
      <c r="A3217" s="99"/>
      <c r="B3217" s="99"/>
      <c r="C3217" s="102"/>
      <c r="D3217" s="102"/>
      <c r="E3217" s="102"/>
      <c r="F3217" s="102"/>
      <c r="G3217" s="102"/>
      <c r="H3217" s="102"/>
      <c r="I3217" s="102"/>
      <c r="J3217" s="102"/>
      <c r="K3217" s="102"/>
      <c r="L3217" s="102"/>
      <c r="M3217" s="102"/>
      <c r="N3217" s="102"/>
      <c r="O3217" s="102"/>
      <c r="P3217" s="102"/>
      <c r="Q3217" s="102"/>
      <c r="R3217" s="102"/>
    </row>
    <row r="3218" spans="1:18" ht="35.1" customHeight="1" x14ac:dyDescent="0.2">
      <c r="A3218" s="99"/>
      <c r="B3218" s="99"/>
      <c r="C3218" s="102"/>
      <c r="D3218" s="102"/>
      <c r="E3218" s="102"/>
      <c r="F3218" s="102"/>
      <c r="G3218" s="102"/>
      <c r="H3218" s="102"/>
      <c r="I3218" s="102"/>
      <c r="J3218" s="102"/>
      <c r="K3218" s="102"/>
      <c r="L3218" s="102"/>
      <c r="M3218" s="102"/>
      <c r="N3218" s="102"/>
      <c r="O3218" s="102"/>
      <c r="P3218" s="102"/>
      <c r="Q3218" s="102"/>
      <c r="R3218" s="102"/>
    </row>
    <row r="3219" spans="1:18" ht="35.1" customHeight="1" x14ac:dyDescent="0.2">
      <c r="A3219" s="99"/>
      <c r="B3219" s="99"/>
      <c r="C3219" s="102"/>
      <c r="D3219" s="102"/>
      <c r="E3219" s="102"/>
      <c r="F3219" s="102"/>
      <c r="G3219" s="102"/>
      <c r="H3219" s="102"/>
      <c r="I3219" s="102"/>
      <c r="J3219" s="102"/>
      <c r="K3219" s="102"/>
      <c r="L3219" s="102"/>
      <c r="M3219" s="102"/>
      <c r="N3219" s="102"/>
      <c r="O3219" s="102"/>
      <c r="P3219" s="102"/>
      <c r="Q3219" s="102"/>
      <c r="R3219" s="102"/>
    </row>
    <row r="3220" spans="1:18" ht="35.1" customHeight="1" x14ac:dyDescent="0.2">
      <c r="A3220" s="99"/>
      <c r="B3220" s="99"/>
      <c r="C3220" s="102"/>
      <c r="D3220" s="102"/>
      <c r="E3220" s="102"/>
      <c r="F3220" s="102"/>
      <c r="G3220" s="102"/>
      <c r="H3220" s="102"/>
      <c r="I3220" s="102"/>
      <c r="J3220" s="102"/>
      <c r="K3220" s="102"/>
      <c r="L3220" s="102"/>
      <c r="M3220" s="102"/>
      <c r="N3220" s="102"/>
      <c r="O3220" s="102"/>
      <c r="P3220" s="102"/>
      <c r="Q3220" s="102"/>
      <c r="R3220" s="102"/>
    </row>
    <row r="3221" spans="1:18" ht="35.1" customHeight="1" x14ac:dyDescent="0.2">
      <c r="A3221" s="99"/>
      <c r="B3221" s="99"/>
      <c r="C3221" s="102"/>
      <c r="D3221" s="102"/>
      <c r="E3221" s="102"/>
      <c r="F3221" s="102"/>
      <c r="G3221" s="102"/>
      <c r="H3221" s="102"/>
      <c r="I3221" s="102"/>
      <c r="J3221" s="102"/>
      <c r="K3221" s="102"/>
      <c r="L3221" s="102"/>
      <c r="M3221" s="102"/>
      <c r="N3221" s="102"/>
      <c r="O3221" s="102"/>
      <c r="P3221" s="102"/>
      <c r="Q3221" s="102"/>
      <c r="R3221" s="102"/>
    </row>
    <row r="3222" spans="1:18" ht="35.1" customHeight="1" x14ac:dyDescent="0.2">
      <c r="A3222" s="99"/>
      <c r="B3222" s="99"/>
      <c r="C3222" s="102"/>
      <c r="D3222" s="102"/>
      <c r="E3222" s="102"/>
      <c r="F3222" s="102"/>
      <c r="G3222" s="102"/>
      <c r="H3222" s="102"/>
      <c r="I3222" s="102"/>
      <c r="J3222" s="102"/>
      <c r="K3222" s="102"/>
      <c r="L3222" s="102"/>
      <c r="M3222" s="102"/>
      <c r="N3222" s="102"/>
      <c r="O3222" s="102"/>
      <c r="P3222" s="102"/>
      <c r="Q3222" s="102"/>
      <c r="R3222" s="102"/>
    </row>
    <row r="3223" spans="1:18" ht="35.1" customHeight="1" x14ac:dyDescent="0.2">
      <c r="A3223" s="99"/>
      <c r="B3223" s="99"/>
      <c r="C3223" s="102"/>
      <c r="D3223" s="102"/>
      <c r="E3223" s="102"/>
      <c r="F3223" s="102"/>
      <c r="G3223" s="102"/>
      <c r="H3223" s="102"/>
      <c r="I3223" s="102"/>
      <c r="J3223" s="102"/>
      <c r="K3223" s="102"/>
      <c r="L3223" s="102"/>
      <c r="M3223" s="102"/>
      <c r="N3223" s="102"/>
      <c r="O3223" s="102"/>
      <c r="P3223" s="102"/>
      <c r="Q3223" s="102"/>
      <c r="R3223" s="102"/>
    </row>
    <row r="3224" spans="1:18" ht="35.1" customHeight="1" x14ac:dyDescent="0.2">
      <c r="A3224" s="99"/>
      <c r="B3224" s="99"/>
      <c r="C3224" s="102"/>
      <c r="D3224" s="102"/>
      <c r="E3224" s="102"/>
      <c r="F3224" s="102"/>
      <c r="G3224" s="102"/>
      <c r="H3224" s="102"/>
      <c r="I3224" s="102"/>
      <c r="J3224" s="102"/>
      <c r="K3224" s="102"/>
      <c r="L3224" s="102"/>
      <c r="M3224" s="102"/>
      <c r="N3224" s="102"/>
      <c r="O3224" s="102"/>
      <c r="P3224" s="102"/>
      <c r="Q3224" s="102"/>
      <c r="R3224" s="102"/>
    </row>
    <row r="3225" spans="1:18" ht="35.1" customHeight="1" x14ac:dyDescent="0.2">
      <c r="A3225" s="99"/>
      <c r="B3225" s="99"/>
      <c r="C3225" s="102"/>
      <c r="D3225" s="102"/>
      <c r="E3225" s="102"/>
      <c r="F3225" s="102"/>
      <c r="G3225" s="102"/>
      <c r="H3225" s="102"/>
      <c r="I3225" s="102"/>
      <c r="J3225" s="102"/>
      <c r="K3225" s="102"/>
      <c r="L3225" s="102"/>
      <c r="M3225" s="102"/>
      <c r="N3225" s="102"/>
      <c r="O3225" s="102"/>
      <c r="P3225" s="102"/>
      <c r="Q3225" s="102"/>
      <c r="R3225" s="102"/>
    </row>
    <row r="3226" spans="1:18" ht="35.1" customHeight="1" x14ac:dyDescent="0.2">
      <c r="A3226" s="99"/>
      <c r="B3226" s="99"/>
      <c r="C3226" s="102"/>
      <c r="D3226" s="102"/>
      <c r="E3226" s="102"/>
      <c r="F3226" s="102"/>
      <c r="G3226" s="102"/>
      <c r="H3226" s="102"/>
      <c r="I3226" s="102"/>
      <c r="J3226" s="102"/>
      <c r="K3226" s="102"/>
      <c r="L3226" s="102"/>
      <c r="M3226" s="102"/>
      <c r="N3226" s="102"/>
      <c r="O3226" s="102"/>
      <c r="P3226" s="102"/>
      <c r="Q3226" s="102"/>
      <c r="R3226" s="102"/>
    </row>
    <row r="3227" spans="1:18" ht="35.1" customHeight="1" x14ac:dyDescent="0.2">
      <c r="A3227" s="99"/>
      <c r="B3227" s="99"/>
      <c r="C3227" s="102"/>
      <c r="D3227" s="102"/>
      <c r="E3227" s="102"/>
      <c r="F3227" s="102"/>
      <c r="G3227" s="102"/>
      <c r="H3227" s="102"/>
      <c r="I3227" s="102"/>
      <c r="J3227" s="102"/>
      <c r="K3227" s="102"/>
      <c r="L3227" s="102"/>
      <c r="M3227" s="102"/>
      <c r="N3227" s="102"/>
      <c r="O3227" s="102"/>
      <c r="P3227" s="102"/>
      <c r="Q3227" s="102"/>
      <c r="R3227" s="102"/>
    </row>
    <row r="3228" spans="1:18" ht="35.1" customHeight="1" x14ac:dyDescent="0.2">
      <c r="A3228" s="99"/>
      <c r="B3228" s="99"/>
      <c r="C3228" s="102"/>
      <c r="D3228" s="102"/>
      <c r="E3228" s="102"/>
      <c r="F3228" s="102"/>
      <c r="G3228" s="102"/>
      <c r="H3228" s="102"/>
      <c r="I3228" s="102"/>
      <c r="J3228" s="102"/>
      <c r="K3228" s="102"/>
      <c r="L3228" s="102"/>
      <c r="M3228" s="102"/>
      <c r="N3228" s="102"/>
      <c r="O3228" s="102"/>
      <c r="P3228" s="102"/>
      <c r="Q3228" s="102"/>
      <c r="R3228" s="102"/>
    </row>
    <row r="3229" spans="1:18" ht="35.1" customHeight="1" x14ac:dyDescent="0.2">
      <c r="A3229" s="99"/>
      <c r="B3229" s="99"/>
      <c r="C3229" s="102"/>
      <c r="D3229" s="102"/>
      <c r="E3229" s="102"/>
      <c r="F3229" s="102"/>
      <c r="G3229" s="102"/>
      <c r="H3229" s="102"/>
      <c r="I3229" s="102"/>
      <c r="J3229" s="102"/>
      <c r="K3229" s="102"/>
      <c r="L3229" s="102"/>
      <c r="M3229" s="102"/>
      <c r="N3229" s="102"/>
      <c r="O3229" s="102"/>
      <c r="P3229" s="102"/>
      <c r="Q3229" s="102"/>
      <c r="R3229" s="102"/>
    </row>
    <row r="3230" spans="1:18" ht="35.1" customHeight="1" x14ac:dyDescent="0.2">
      <c r="A3230" s="99"/>
      <c r="B3230" s="99"/>
      <c r="C3230" s="102"/>
      <c r="D3230" s="102"/>
      <c r="E3230" s="102"/>
      <c r="F3230" s="102"/>
      <c r="G3230" s="102"/>
      <c r="H3230" s="102"/>
      <c r="I3230" s="102"/>
      <c r="J3230" s="102"/>
      <c r="K3230" s="102"/>
      <c r="L3230" s="102"/>
      <c r="M3230" s="102"/>
      <c r="N3230" s="102"/>
      <c r="O3230" s="102"/>
      <c r="P3230" s="102"/>
      <c r="Q3230" s="102"/>
      <c r="R3230" s="102"/>
    </row>
    <row r="3231" spans="1:18" ht="35.1" customHeight="1" x14ac:dyDescent="0.2">
      <c r="A3231" s="99"/>
      <c r="B3231" s="99"/>
      <c r="C3231" s="102"/>
      <c r="D3231" s="102"/>
      <c r="E3231" s="102"/>
      <c r="F3231" s="102"/>
      <c r="G3231" s="102"/>
      <c r="H3231" s="102"/>
      <c r="I3231" s="102"/>
      <c r="J3231" s="102"/>
      <c r="K3231" s="102"/>
      <c r="L3231" s="102"/>
      <c r="M3231" s="102"/>
      <c r="N3231" s="102"/>
      <c r="O3231" s="102"/>
      <c r="P3231" s="102"/>
      <c r="Q3231" s="102"/>
      <c r="R3231" s="102"/>
    </row>
    <row r="3232" spans="1:18" ht="35.1" customHeight="1" x14ac:dyDescent="0.2">
      <c r="A3232" s="99"/>
      <c r="B3232" s="99"/>
      <c r="C3232" s="102"/>
      <c r="D3232" s="102"/>
      <c r="E3232" s="102"/>
      <c r="F3232" s="102"/>
      <c r="G3232" s="102"/>
      <c r="H3232" s="102"/>
      <c r="I3232" s="102"/>
      <c r="J3232" s="102"/>
      <c r="K3232" s="102"/>
      <c r="L3232" s="102"/>
      <c r="M3232" s="102"/>
      <c r="N3232" s="102"/>
      <c r="O3232" s="102"/>
      <c r="P3232" s="102"/>
      <c r="Q3232" s="102"/>
      <c r="R3232" s="102"/>
    </row>
    <row r="3233" spans="1:18" ht="35.1" customHeight="1" x14ac:dyDescent="0.2">
      <c r="A3233" s="99"/>
      <c r="B3233" s="99"/>
      <c r="C3233" s="102"/>
      <c r="D3233" s="102"/>
      <c r="E3233" s="102"/>
      <c r="F3233" s="102"/>
      <c r="G3233" s="102"/>
      <c r="H3233" s="102"/>
      <c r="I3233" s="102"/>
      <c r="J3233" s="102"/>
      <c r="K3233" s="102"/>
      <c r="L3233" s="102"/>
      <c r="M3233" s="102"/>
      <c r="N3233" s="102"/>
      <c r="O3233" s="102"/>
      <c r="P3233" s="102"/>
      <c r="Q3233" s="102"/>
      <c r="R3233" s="102"/>
    </row>
    <row r="3234" spans="1:18" ht="35.1" customHeight="1" x14ac:dyDescent="0.2">
      <c r="A3234" s="99"/>
      <c r="B3234" s="99"/>
      <c r="C3234" s="102"/>
      <c r="D3234" s="102"/>
      <c r="E3234" s="102"/>
      <c r="F3234" s="102"/>
      <c r="G3234" s="102"/>
      <c r="H3234" s="102"/>
      <c r="I3234" s="102"/>
      <c r="J3234" s="102"/>
      <c r="K3234" s="102"/>
      <c r="L3234" s="102"/>
      <c r="M3234" s="102"/>
      <c r="N3234" s="102"/>
      <c r="O3234" s="102"/>
      <c r="P3234" s="102"/>
      <c r="Q3234" s="102"/>
      <c r="R3234" s="102"/>
    </row>
    <row r="3235" spans="1:18" ht="35.1" customHeight="1" x14ac:dyDescent="0.2">
      <c r="A3235" s="99"/>
      <c r="B3235" s="99"/>
      <c r="C3235" s="102"/>
      <c r="D3235" s="102"/>
      <c r="E3235" s="102"/>
      <c r="F3235" s="102"/>
      <c r="G3235" s="102"/>
      <c r="H3235" s="102"/>
      <c r="I3235" s="102"/>
      <c r="J3235" s="102"/>
      <c r="K3235" s="102"/>
      <c r="L3235" s="102"/>
      <c r="M3235" s="102"/>
      <c r="N3235" s="102"/>
      <c r="O3235" s="102"/>
      <c r="P3235" s="102"/>
      <c r="Q3235" s="102"/>
      <c r="R3235" s="102"/>
    </row>
    <row r="3236" spans="1:18" ht="35.1" customHeight="1" x14ac:dyDescent="0.2">
      <c r="A3236" s="99"/>
      <c r="B3236" s="99"/>
      <c r="C3236" s="102"/>
      <c r="D3236" s="102"/>
      <c r="E3236" s="102"/>
      <c r="F3236" s="102"/>
      <c r="G3236" s="102"/>
      <c r="H3236" s="102"/>
      <c r="I3236" s="102"/>
      <c r="J3236" s="102"/>
      <c r="K3236" s="102"/>
      <c r="L3236" s="102"/>
      <c r="M3236" s="102"/>
      <c r="N3236" s="102"/>
      <c r="O3236" s="102"/>
      <c r="P3236" s="102"/>
      <c r="Q3236" s="102"/>
      <c r="R3236" s="102"/>
    </row>
    <row r="3237" spans="1:18" ht="35.1" customHeight="1" x14ac:dyDescent="0.2">
      <c r="A3237" s="99"/>
      <c r="B3237" s="99"/>
      <c r="C3237" s="102"/>
      <c r="D3237" s="102"/>
      <c r="E3237" s="102"/>
      <c r="F3237" s="102"/>
      <c r="G3237" s="102"/>
      <c r="H3237" s="102"/>
      <c r="I3237" s="102"/>
      <c r="J3237" s="102"/>
      <c r="K3237" s="102"/>
      <c r="L3237" s="102"/>
      <c r="M3237" s="102"/>
      <c r="N3237" s="102"/>
      <c r="O3237" s="102"/>
      <c r="P3237" s="102"/>
      <c r="Q3237" s="102"/>
      <c r="R3237" s="102"/>
    </row>
    <row r="3238" spans="1:18" ht="35.1" customHeight="1" x14ac:dyDescent="0.2">
      <c r="A3238" s="99"/>
      <c r="B3238" s="99"/>
      <c r="C3238" s="102"/>
      <c r="D3238" s="102"/>
      <c r="E3238" s="102"/>
      <c r="F3238" s="102"/>
      <c r="G3238" s="102"/>
      <c r="H3238" s="102"/>
      <c r="I3238" s="102"/>
      <c r="J3238" s="102"/>
      <c r="K3238" s="102"/>
      <c r="L3238" s="102"/>
      <c r="M3238" s="102"/>
      <c r="N3238" s="102"/>
      <c r="O3238" s="102"/>
      <c r="P3238" s="102"/>
      <c r="Q3238" s="102"/>
      <c r="R3238" s="102"/>
    </row>
    <row r="3239" spans="1:18" ht="35.1" customHeight="1" x14ac:dyDescent="0.2">
      <c r="A3239" s="99"/>
      <c r="B3239" s="99"/>
      <c r="C3239" s="102"/>
      <c r="D3239" s="102"/>
      <c r="E3239" s="102"/>
      <c r="F3239" s="102"/>
      <c r="G3239" s="102"/>
      <c r="H3239" s="102"/>
      <c r="I3239" s="102"/>
      <c r="J3239" s="102"/>
      <c r="K3239" s="102"/>
      <c r="L3239" s="102"/>
      <c r="M3239" s="102"/>
      <c r="N3239" s="102"/>
      <c r="O3239" s="102"/>
      <c r="P3239" s="102"/>
      <c r="Q3239" s="102"/>
      <c r="R3239" s="102"/>
    </row>
    <row r="3240" spans="1:18" ht="35.1" customHeight="1" x14ac:dyDescent="0.2">
      <c r="A3240" s="99"/>
      <c r="B3240" s="99"/>
      <c r="C3240" s="102"/>
      <c r="D3240" s="102"/>
      <c r="E3240" s="102"/>
      <c r="F3240" s="102"/>
      <c r="G3240" s="102"/>
      <c r="H3240" s="102"/>
      <c r="I3240" s="102"/>
      <c r="J3240" s="102"/>
      <c r="K3240" s="102"/>
      <c r="L3240" s="102"/>
      <c r="M3240" s="102"/>
      <c r="N3240" s="102"/>
      <c r="O3240" s="102"/>
      <c r="P3240" s="102"/>
      <c r="Q3240" s="102"/>
      <c r="R3240" s="102"/>
    </row>
    <row r="3241" spans="1:18" ht="35.1" customHeight="1" x14ac:dyDescent="0.2">
      <c r="A3241" s="99"/>
      <c r="B3241" s="99"/>
      <c r="C3241" s="102"/>
      <c r="D3241" s="102"/>
      <c r="E3241" s="102"/>
      <c r="F3241" s="102"/>
      <c r="G3241" s="102"/>
      <c r="H3241" s="102"/>
      <c r="I3241" s="102"/>
      <c r="J3241" s="102"/>
      <c r="K3241" s="102"/>
      <c r="L3241" s="102"/>
      <c r="M3241" s="102"/>
      <c r="N3241" s="102"/>
      <c r="O3241" s="102"/>
      <c r="P3241" s="102"/>
      <c r="Q3241" s="102"/>
      <c r="R3241" s="102"/>
    </row>
    <row r="3242" spans="1:18" ht="35.1" customHeight="1" x14ac:dyDescent="0.2">
      <c r="A3242" s="99"/>
      <c r="B3242" s="99"/>
      <c r="C3242" s="102"/>
      <c r="D3242" s="102"/>
      <c r="E3242" s="102"/>
      <c r="F3242" s="102"/>
      <c r="G3242" s="102"/>
      <c r="H3242" s="102"/>
      <c r="I3242" s="102"/>
      <c r="J3242" s="102"/>
      <c r="K3242" s="102"/>
      <c r="L3242" s="102"/>
      <c r="M3242" s="102"/>
      <c r="N3242" s="102"/>
      <c r="O3242" s="102"/>
      <c r="P3242" s="102"/>
      <c r="Q3242" s="102"/>
      <c r="R3242" s="102"/>
    </row>
    <row r="3243" spans="1:18" ht="35.1" customHeight="1" x14ac:dyDescent="0.2">
      <c r="A3243" s="99"/>
      <c r="B3243" s="99"/>
      <c r="C3243" s="102"/>
      <c r="D3243" s="102"/>
      <c r="E3243" s="102"/>
      <c r="F3243" s="102"/>
      <c r="G3243" s="102"/>
      <c r="H3243" s="102"/>
      <c r="I3243" s="102"/>
      <c r="J3243" s="102"/>
      <c r="K3243" s="102"/>
      <c r="L3243" s="102"/>
      <c r="M3243" s="102"/>
      <c r="N3243" s="102"/>
      <c r="O3243" s="102"/>
      <c r="P3243" s="102"/>
      <c r="Q3243" s="102"/>
      <c r="R3243" s="102"/>
    </row>
    <row r="3244" spans="1:18" ht="35.1" customHeight="1" x14ac:dyDescent="0.2">
      <c r="A3244" s="99"/>
      <c r="B3244" s="99"/>
      <c r="C3244" s="102"/>
      <c r="D3244" s="102"/>
      <c r="E3244" s="102"/>
      <c r="F3244" s="102"/>
      <c r="G3244" s="102"/>
      <c r="H3244" s="102"/>
      <c r="I3244" s="102"/>
      <c r="J3244" s="102"/>
      <c r="K3244" s="102"/>
      <c r="L3244" s="102"/>
      <c r="M3244" s="102"/>
      <c r="N3244" s="102"/>
      <c r="O3244" s="102"/>
      <c r="P3244" s="102"/>
      <c r="Q3244" s="102"/>
      <c r="R3244" s="102"/>
    </row>
    <row r="3245" spans="1:18" ht="35.1" customHeight="1" x14ac:dyDescent="0.2">
      <c r="A3245" s="99"/>
      <c r="B3245" s="99"/>
      <c r="C3245" s="102"/>
      <c r="D3245" s="102"/>
      <c r="E3245" s="102"/>
      <c r="F3245" s="102"/>
      <c r="G3245" s="102"/>
      <c r="H3245" s="102"/>
      <c r="I3245" s="102"/>
      <c r="J3245" s="102"/>
      <c r="K3245" s="102"/>
      <c r="L3245" s="102"/>
      <c r="M3245" s="102"/>
      <c r="N3245" s="102"/>
      <c r="O3245" s="102"/>
      <c r="P3245" s="102"/>
      <c r="Q3245" s="102"/>
      <c r="R3245" s="102"/>
    </row>
    <row r="3246" spans="1:18" ht="35.1" customHeight="1" x14ac:dyDescent="0.2">
      <c r="A3246" s="99"/>
      <c r="B3246" s="99"/>
      <c r="C3246" s="102"/>
      <c r="D3246" s="102"/>
      <c r="E3246" s="102"/>
      <c r="F3246" s="102"/>
      <c r="G3246" s="102"/>
      <c r="H3246" s="102"/>
      <c r="I3246" s="102"/>
      <c r="J3246" s="102"/>
      <c r="K3246" s="102"/>
      <c r="L3246" s="102"/>
      <c r="M3246" s="102"/>
      <c r="N3246" s="102"/>
      <c r="O3246" s="102"/>
      <c r="P3246" s="102"/>
      <c r="Q3246" s="102"/>
      <c r="R3246" s="102"/>
    </row>
    <row r="3247" spans="1:18" ht="35.1" customHeight="1" x14ac:dyDescent="0.2">
      <c r="A3247" s="99"/>
      <c r="B3247" s="99"/>
      <c r="C3247" s="102"/>
      <c r="D3247" s="102"/>
      <c r="E3247" s="102"/>
      <c r="F3247" s="102"/>
      <c r="G3247" s="102"/>
      <c r="H3247" s="102"/>
      <c r="I3247" s="102"/>
      <c r="J3247" s="102"/>
      <c r="K3247" s="102"/>
      <c r="L3247" s="102"/>
      <c r="M3247" s="102"/>
      <c r="N3247" s="102"/>
      <c r="O3247" s="102"/>
      <c r="P3247" s="102"/>
      <c r="Q3247" s="102"/>
      <c r="R3247" s="102"/>
    </row>
    <row r="3248" spans="1:18" ht="35.1" customHeight="1" x14ac:dyDescent="0.2">
      <c r="A3248" s="99"/>
      <c r="B3248" s="99"/>
      <c r="C3248" s="102"/>
      <c r="D3248" s="102"/>
      <c r="E3248" s="102"/>
      <c r="F3248" s="102"/>
      <c r="G3248" s="102"/>
      <c r="H3248" s="102"/>
      <c r="I3248" s="102"/>
      <c r="J3248" s="102"/>
      <c r="K3248" s="102"/>
      <c r="L3248" s="102"/>
      <c r="M3248" s="102"/>
      <c r="N3248" s="102"/>
      <c r="O3248" s="102"/>
      <c r="P3248" s="102"/>
      <c r="Q3248" s="102"/>
      <c r="R3248" s="102"/>
    </row>
    <row r="3249" spans="1:18" ht="35.1" customHeight="1" x14ac:dyDescent="0.2">
      <c r="A3249" s="99"/>
      <c r="B3249" s="99"/>
      <c r="C3249" s="102"/>
      <c r="D3249" s="102"/>
      <c r="E3249" s="102"/>
      <c r="F3249" s="102"/>
      <c r="G3249" s="102"/>
      <c r="H3249" s="102"/>
      <c r="I3249" s="102"/>
      <c r="J3249" s="102"/>
      <c r="K3249" s="102"/>
      <c r="L3249" s="102"/>
      <c r="M3249" s="102"/>
      <c r="N3249" s="102"/>
      <c r="O3249" s="102"/>
      <c r="P3249" s="102"/>
      <c r="Q3249" s="102"/>
      <c r="R3249" s="102"/>
    </row>
    <row r="3250" spans="1:18" ht="35.1" customHeight="1" x14ac:dyDescent="0.2">
      <c r="A3250" s="99"/>
      <c r="B3250" s="99"/>
      <c r="C3250" s="102"/>
      <c r="D3250" s="102"/>
      <c r="E3250" s="102"/>
      <c r="F3250" s="102"/>
      <c r="G3250" s="102"/>
      <c r="H3250" s="102"/>
      <c r="I3250" s="102"/>
      <c r="J3250" s="102"/>
      <c r="K3250" s="102"/>
      <c r="L3250" s="102"/>
      <c r="M3250" s="102"/>
      <c r="N3250" s="102"/>
      <c r="O3250" s="102"/>
      <c r="P3250" s="102"/>
      <c r="Q3250" s="102"/>
      <c r="R3250" s="102"/>
    </row>
    <row r="3251" spans="1:18" ht="35.1" customHeight="1" x14ac:dyDescent="0.2">
      <c r="A3251" s="99"/>
      <c r="B3251" s="99"/>
      <c r="C3251" s="102"/>
      <c r="D3251" s="102"/>
      <c r="E3251" s="102"/>
      <c r="F3251" s="102"/>
      <c r="G3251" s="102"/>
      <c r="H3251" s="102"/>
      <c r="I3251" s="102"/>
      <c r="J3251" s="102"/>
      <c r="K3251" s="102"/>
      <c r="L3251" s="102"/>
      <c r="M3251" s="102"/>
      <c r="N3251" s="102"/>
      <c r="O3251" s="102"/>
      <c r="P3251" s="102"/>
      <c r="Q3251" s="102"/>
      <c r="R3251" s="102"/>
    </row>
    <row r="3252" spans="1:18" ht="35.1" customHeight="1" x14ac:dyDescent="0.2">
      <c r="A3252" s="99"/>
      <c r="B3252" s="99"/>
      <c r="C3252" s="102"/>
      <c r="D3252" s="102"/>
      <c r="E3252" s="102"/>
      <c r="F3252" s="102"/>
      <c r="G3252" s="102"/>
      <c r="H3252" s="102"/>
      <c r="I3252" s="102"/>
      <c r="J3252" s="102"/>
      <c r="K3252" s="102"/>
      <c r="L3252" s="102"/>
      <c r="M3252" s="102"/>
      <c r="N3252" s="102"/>
      <c r="O3252" s="102"/>
      <c r="P3252" s="102"/>
      <c r="Q3252" s="102"/>
      <c r="R3252" s="102"/>
    </row>
    <row r="3253" spans="1:18" ht="35.1" customHeight="1" x14ac:dyDescent="0.2">
      <c r="A3253" s="99"/>
      <c r="B3253" s="99"/>
      <c r="C3253" s="102"/>
      <c r="D3253" s="102"/>
      <c r="E3253" s="102"/>
      <c r="F3253" s="102"/>
      <c r="G3253" s="102"/>
      <c r="H3253" s="102"/>
      <c r="I3253" s="102"/>
      <c r="J3253" s="102"/>
      <c r="K3253" s="102"/>
      <c r="L3253" s="102"/>
      <c r="M3253" s="102"/>
      <c r="N3253" s="102"/>
      <c r="O3253" s="102"/>
      <c r="P3253" s="102"/>
      <c r="Q3253" s="102"/>
      <c r="R3253" s="102"/>
    </row>
    <row r="3254" spans="1:18" ht="35.1" customHeight="1" x14ac:dyDescent="0.2">
      <c r="A3254" s="99"/>
      <c r="B3254" s="99"/>
      <c r="C3254" s="102"/>
      <c r="D3254" s="102"/>
      <c r="E3254" s="102"/>
      <c r="F3254" s="102"/>
      <c r="G3254" s="102"/>
      <c r="H3254" s="102"/>
      <c r="I3254" s="102"/>
      <c r="J3254" s="102"/>
      <c r="K3254" s="102"/>
      <c r="L3254" s="102"/>
      <c r="M3254" s="102"/>
      <c r="N3254" s="102"/>
      <c r="O3254" s="102"/>
      <c r="P3254" s="102"/>
      <c r="Q3254" s="102"/>
      <c r="R3254" s="102"/>
    </row>
    <row r="3255" spans="1:18" ht="35.1" customHeight="1" x14ac:dyDescent="0.2">
      <c r="A3255" s="99"/>
      <c r="B3255" s="99"/>
      <c r="C3255" s="102"/>
      <c r="D3255" s="102"/>
      <c r="E3255" s="102"/>
      <c r="F3255" s="102"/>
      <c r="G3255" s="102"/>
      <c r="H3255" s="102"/>
      <c r="I3255" s="102"/>
      <c r="J3255" s="102"/>
      <c r="K3255" s="102"/>
      <c r="L3255" s="102"/>
      <c r="M3255" s="102"/>
      <c r="N3255" s="102"/>
      <c r="O3255" s="102"/>
      <c r="P3255" s="102"/>
      <c r="Q3255" s="102"/>
      <c r="R3255" s="102"/>
    </row>
    <row r="3256" spans="1:18" ht="35.1" customHeight="1" x14ac:dyDescent="0.2">
      <c r="A3256" s="99"/>
      <c r="B3256" s="99"/>
      <c r="C3256" s="102"/>
      <c r="D3256" s="102"/>
      <c r="E3256" s="102"/>
      <c r="F3256" s="102"/>
      <c r="G3256" s="102"/>
      <c r="H3256" s="102"/>
      <c r="I3256" s="102"/>
      <c r="J3256" s="102"/>
      <c r="K3256" s="102"/>
      <c r="L3256" s="102"/>
      <c r="M3256" s="102"/>
      <c r="N3256" s="102"/>
      <c r="O3256" s="102"/>
      <c r="P3256" s="102"/>
      <c r="Q3256" s="102"/>
      <c r="R3256" s="102"/>
    </row>
    <row r="3257" spans="1:18" ht="35.1" customHeight="1" x14ac:dyDescent="0.2">
      <c r="A3257" s="99"/>
      <c r="B3257" s="99"/>
      <c r="C3257" s="102"/>
      <c r="D3257" s="102"/>
      <c r="E3257" s="102"/>
      <c r="F3257" s="102"/>
      <c r="G3257" s="102"/>
      <c r="H3257" s="102"/>
      <c r="I3257" s="102"/>
      <c r="J3257" s="102"/>
      <c r="K3257" s="102"/>
      <c r="L3257" s="102"/>
      <c r="M3257" s="102"/>
      <c r="N3257" s="102"/>
      <c r="O3257" s="102"/>
      <c r="P3257" s="102"/>
      <c r="Q3257" s="102"/>
      <c r="R3257" s="102"/>
    </row>
    <row r="3258" spans="1:18" ht="35.1" customHeight="1" x14ac:dyDescent="0.2">
      <c r="A3258" s="99"/>
      <c r="B3258" s="99"/>
      <c r="C3258" s="102"/>
      <c r="D3258" s="102"/>
      <c r="E3258" s="102"/>
      <c r="F3258" s="102"/>
      <c r="G3258" s="102"/>
      <c r="H3258" s="102"/>
      <c r="I3258" s="102"/>
      <c r="J3258" s="102"/>
      <c r="K3258" s="102"/>
      <c r="L3258" s="102"/>
      <c r="M3258" s="102"/>
      <c r="N3258" s="102"/>
      <c r="O3258" s="102"/>
      <c r="P3258" s="102"/>
      <c r="Q3258" s="102"/>
      <c r="R3258" s="102"/>
    </row>
    <row r="3259" spans="1:18" ht="35.1" customHeight="1" x14ac:dyDescent="0.2">
      <c r="A3259" s="99"/>
      <c r="B3259" s="99"/>
      <c r="C3259" s="102"/>
      <c r="D3259" s="102"/>
      <c r="E3259" s="102"/>
      <c r="F3259" s="102"/>
      <c r="G3259" s="102"/>
      <c r="H3259" s="102"/>
      <c r="I3259" s="102"/>
      <c r="J3259" s="102"/>
      <c r="K3259" s="102"/>
      <c r="L3259" s="102"/>
      <c r="M3259" s="102"/>
      <c r="N3259" s="102"/>
      <c r="O3259" s="102"/>
      <c r="P3259" s="102"/>
      <c r="Q3259" s="102"/>
      <c r="R3259" s="102"/>
    </row>
    <row r="3260" spans="1:18" ht="35.1" customHeight="1" x14ac:dyDescent="0.2">
      <c r="A3260" s="99"/>
      <c r="B3260" s="99"/>
      <c r="C3260" s="102"/>
      <c r="D3260" s="102"/>
      <c r="E3260" s="102"/>
      <c r="F3260" s="102"/>
      <c r="G3260" s="102"/>
      <c r="H3260" s="102"/>
      <c r="I3260" s="102"/>
      <c r="J3260" s="102"/>
      <c r="K3260" s="102"/>
      <c r="L3260" s="102"/>
      <c r="M3260" s="102"/>
      <c r="N3260" s="102"/>
      <c r="O3260" s="102"/>
      <c r="P3260" s="102"/>
      <c r="Q3260" s="102"/>
      <c r="R3260" s="102"/>
    </row>
    <row r="3261" spans="1:18" ht="35.1" customHeight="1" x14ac:dyDescent="0.2">
      <c r="A3261" s="99"/>
      <c r="B3261" s="99"/>
      <c r="C3261" s="102"/>
      <c r="D3261" s="102"/>
      <c r="E3261" s="102"/>
      <c r="F3261" s="102"/>
      <c r="G3261" s="102"/>
      <c r="H3261" s="102"/>
      <c r="I3261" s="102"/>
      <c r="J3261" s="102"/>
      <c r="K3261" s="102"/>
      <c r="L3261" s="102"/>
      <c r="M3261" s="102"/>
      <c r="N3261" s="102"/>
      <c r="O3261" s="102"/>
      <c r="P3261" s="102"/>
      <c r="Q3261" s="102"/>
      <c r="R3261" s="102"/>
    </row>
    <row r="3262" spans="1:18" ht="35.1" customHeight="1" x14ac:dyDescent="0.2">
      <c r="A3262" s="99"/>
      <c r="B3262" s="99"/>
      <c r="C3262" s="102"/>
      <c r="D3262" s="102"/>
      <c r="E3262" s="102"/>
      <c r="F3262" s="102"/>
      <c r="G3262" s="102"/>
      <c r="H3262" s="102"/>
      <c r="I3262" s="102"/>
      <c r="J3262" s="102"/>
      <c r="K3262" s="102"/>
      <c r="L3262" s="102"/>
      <c r="M3262" s="102"/>
      <c r="N3262" s="102"/>
      <c r="O3262" s="102"/>
      <c r="P3262" s="102"/>
      <c r="Q3262" s="102"/>
      <c r="R3262" s="102"/>
    </row>
    <row r="3263" spans="1:18" ht="35.1" customHeight="1" x14ac:dyDescent="0.2">
      <c r="A3263" s="99"/>
      <c r="B3263" s="99"/>
      <c r="C3263" s="102"/>
      <c r="D3263" s="102"/>
      <c r="E3263" s="102"/>
      <c r="F3263" s="102"/>
      <c r="G3263" s="102"/>
      <c r="H3263" s="102"/>
      <c r="I3263" s="102"/>
      <c r="J3263" s="102"/>
      <c r="K3263" s="102"/>
      <c r="L3263" s="102"/>
      <c r="M3263" s="102"/>
      <c r="N3263" s="102"/>
      <c r="O3263" s="102"/>
      <c r="P3263" s="102"/>
      <c r="Q3263" s="102"/>
      <c r="R3263" s="102"/>
    </row>
    <row r="3264" spans="1:18" ht="35.1" customHeight="1" x14ac:dyDescent="0.2">
      <c r="A3264" s="99"/>
      <c r="B3264" s="99"/>
      <c r="C3264" s="102"/>
      <c r="D3264" s="102"/>
      <c r="E3264" s="102"/>
      <c r="F3264" s="102"/>
      <c r="G3264" s="102"/>
      <c r="H3264" s="102"/>
      <c r="I3264" s="102"/>
      <c r="J3264" s="102"/>
      <c r="K3264" s="102"/>
      <c r="L3264" s="102"/>
      <c r="M3264" s="102"/>
      <c r="N3264" s="102"/>
      <c r="O3264" s="102"/>
      <c r="P3264" s="102"/>
      <c r="Q3264" s="102"/>
      <c r="R3264" s="102"/>
    </row>
    <row r="3265" spans="1:18" ht="35.1" customHeight="1" x14ac:dyDescent="0.2">
      <c r="A3265" s="99"/>
      <c r="B3265" s="99"/>
      <c r="C3265" s="102"/>
      <c r="D3265" s="102"/>
      <c r="E3265" s="102"/>
      <c r="F3265" s="102"/>
      <c r="G3265" s="102"/>
      <c r="H3265" s="102"/>
      <c r="I3265" s="102"/>
      <c r="J3265" s="102"/>
      <c r="K3265" s="102"/>
      <c r="L3265" s="102"/>
      <c r="M3265" s="102"/>
      <c r="N3265" s="102"/>
      <c r="O3265" s="102"/>
      <c r="P3265" s="102"/>
      <c r="Q3265" s="102"/>
      <c r="R3265" s="102"/>
    </row>
    <row r="3266" spans="1:18" ht="35.1" customHeight="1" x14ac:dyDescent="0.2">
      <c r="A3266" s="99"/>
      <c r="B3266" s="99"/>
      <c r="C3266" s="102"/>
      <c r="D3266" s="102"/>
      <c r="E3266" s="102"/>
      <c r="F3266" s="102"/>
      <c r="G3266" s="102"/>
      <c r="H3266" s="102"/>
      <c r="I3266" s="102"/>
      <c r="J3266" s="102"/>
      <c r="K3266" s="102"/>
      <c r="L3266" s="102"/>
      <c r="M3266" s="102"/>
      <c r="N3266" s="102"/>
      <c r="O3266" s="102"/>
      <c r="P3266" s="102"/>
      <c r="Q3266" s="102"/>
      <c r="R3266" s="102"/>
    </row>
    <row r="3267" spans="1:18" ht="35.1" customHeight="1" x14ac:dyDescent="0.2">
      <c r="A3267" s="99"/>
      <c r="B3267" s="99"/>
      <c r="C3267" s="102"/>
      <c r="D3267" s="102"/>
      <c r="E3267" s="102"/>
      <c r="F3267" s="102"/>
      <c r="G3267" s="102"/>
      <c r="H3267" s="102"/>
      <c r="I3267" s="102"/>
      <c r="J3267" s="102"/>
      <c r="K3267" s="102"/>
      <c r="L3267" s="102"/>
      <c r="M3267" s="102"/>
      <c r="N3267" s="102"/>
      <c r="O3267" s="102"/>
      <c r="P3267" s="102"/>
      <c r="Q3267" s="102"/>
      <c r="R3267" s="102"/>
    </row>
    <row r="3268" spans="1:18" ht="35.1" customHeight="1" x14ac:dyDescent="0.2">
      <c r="A3268" s="99"/>
      <c r="B3268" s="99"/>
      <c r="C3268" s="102"/>
      <c r="D3268" s="102"/>
      <c r="E3268" s="102"/>
      <c r="F3268" s="102"/>
      <c r="G3268" s="102"/>
      <c r="H3268" s="102"/>
      <c r="I3268" s="102"/>
      <c r="J3268" s="102"/>
      <c r="K3268" s="102"/>
      <c r="L3268" s="102"/>
      <c r="M3268" s="102"/>
      <c r="N3268" s="102"/>
      <c r="O3268" s="102"/>
      <c r="P3268" s="102"/>
      <c r="Q3268" s="102"/>
      <c r="R3268" s="102"/>
    </row>
    <row r="3269" spans="1:18" ht="35.1" customHeight="1" x14ac:dyDescent="0.2">
      <c r="A3269" s="99"/>
      <c r="B3269" s="99"/>
      <c r="C3269" s="102"/>
      <c r="D3269" s="102"/>
      <c r="E3269" s="102"/>
      <c r="F3269" s="102"/>
      <c r="G3269" s="102"/>
      <c r="H3269" s="102"/>
      <c r="I3269" s="102"/>
      <c r="J3269" s="102"/>
      <c r="K3269" s="102"/>
      <c r="L3269" s="102"/>
      <c r="M3269" s="102"/>
      <c r="N3269" s="102"/>
      <c r="O3269" s="102"/>
      <c r="P3269" s="102"/>
      <c r="Q3269" s="102"/>
      <c r="R3269" s="102"/>
    </row>
    <row r="3270" spans="1:18" ht="35.1" customHeight="1" x14ac:dyDescent="0.2">
      <c r="A3270" s="99"/>
      <c r="B3270" s="99"/>
      <c r="C3270" s="102"/>
      <c r="D3270" s="102"/>
      <c r="E3270" s="102"/>
      <c r="F3270" s="102"/>
      <c r="G3270" s="102"/>
      <c r="H3270" s="102"/>
      <c r="I3270" s="102"/>
      <c r="J3270" s="102"/>
      <c r="K3270" s="102"/>
      <c r="L3270" s="102"/>
      <c r="M3270" s="102"/>
      <c r="N3270" s="102"/>
      <c r="O3270" s="102"/>
      <c r="P3270" s="102"/>
      <c r="Q3270" s="102"/>
      <c r="R3270" s="102"/>
    </row>
    <row r="3271" spans="1:18" ht="35.1" customHeight="1" x14ac:dyDescent="0.2">
      <c r="A3271" s="99"/>
      <c r="B3271" s="99"/>
      <c r="C3271" s="102"/>
      <c r="D3271" s="102"/>
      <c r="E3271" s="102"/>
      <c r="F3271" s="102"/>
      <c r="G3271" s="102"/>
      <c r="H3271" s="102"/>
      <c r="I3271" s="102"/>
      <c r="J3271" s="102"/>
      <c r="K3271" s="102"/>
      <c r="L3271" s="102"/>
      <c r="M3271" s="102"/>
      <c r="N3271" s="102"/>
      <c r="O3271" s="102"/>
      <c r="P3271" s="102"/>
      <c r="Q3271" s="102"/>
      <c r="R3271" s="102"/>
    </row>
    <row r="3272" spans="1:18" ht="35.1" customHeight="1" x14ac:dyDescent="0.2">
      <c r="A3272" s="99"/>
      <c r="B3272" s="99"/>
      <c r="C3272" s="102"/>
      <c r="D3272" s="102"/>
      <c r="E3272" s="102"/>
      <c r="F3272" s="102"/>
      <c r="G3272" s="102"/>
      <c r="H3272" s="102"/>
      <c r="I3272" s="102"/>
      <c r="J3272" s="102"/>
      <c r="K3272" s="102"/>
      <c r="L3272" s="102"/>
      <c r="M3272" s="102"/>
      <c r="N3272" s="102"/>
      <c r="O3272" s="102"/>
      <c r="P3272" s="102"/>
      <c r="Q3272" s="102"/>
      <c r="R3272" s="102"/>
    </row>
    <row r="3273" spans="1:18" ht="35.1" customHeight="1" x14ac:dyDescent="0.2">
      <c r="A3273" s="99"/>
      <c r="B3273" s="99"/>
      <c r="C3273" s="102"/>
      <c r="D3273" s="102"/>
      <c r="E3273" s="102"/>
      <c r="F3273" s="102"/>
      <c r="G3273" s="102"/>
      <c r="H3273" s="102"/>
      <c r="I3273" s="102"/>
      <c r="J3273" s="102"/>
      <c r="K3273" s="102"/>
      <c r="L3273" s="102"/>
      <c r="M3273" s="102"/>
      <c r="N3273" s="102"/>
      <c r="O3273" s="102"/>
      <c r="P3273" s="102"/>
      <c r="Q3273" s="102"/>
      <c r="R3273" s="102"/>
    </row>
    <row r="3274" spans="1:18" ht="35.1" customHeight="1" x14ac:dyDescent="0.2">
      <c r="A3274" s="99"/>
      <c r="B3274" s="99"/>
      <c r="C3274" s="102"/>
      <c r="D3274" s="102"/>
      <c r="E3274" s="102"/>
      <c r="F3274" s="102"/>
      <c r="G3274" s="102"/>
      <c r="H3274" s="102"/>
      <c r="I3274" s="102"/>
      <c r="J3274" s="102"/>
      <c r="K3274" s="102"/>
      <c r="L3274" s="102"/>
      <c r="M3274" s="102"/>
      <c r="N3274" s="102"/>
      <c r="O3274" s="102"/>
      <c r="P3274" s="102"/>
      <c r="Q3274" s="102"/>
      <c r="R3274" s="102"/>
    </row>
    <row r="3275" spans="1:18" ht="35.1" customHeight="1" x14ac:dyDescent="0.2">
      <c r="A3275" s="99"/>
      <c r="B3275" s="99"/>
      <c r="C3275" s="102"/>
      <c r="D3275" s="102"/>
      <c r="E3275" s="102"/>
      <c r="F3275" s="102"/>
      <c r="G3275" s="102"/>
      <c r="H3275" s="102"/>
      <c r="I3275" s="102"/>
      <c r="J3275" s="102"/>
      <c r="K3275" s="102"/>
      <c r="L3275" s="102"/>
      <c r="M3275" s="102"/>
      <c r="N3275" s="102"/>
      <c r="O3275" s="102"/>
      <c r="P3275" s="102"/>
      <c r="Q3275" s="102"/>
      <c r="R3275" s="102"/>
    </row>
    <row r="3276" spans="1:18" ht="35.1" customHeight="1" x14ac:dyDescent="0.2">
      <c r="A3276" s="99"/>
      <c r="B3276" s="99"/>
      <c r="C3276" s="102"/>
      <c r="D3276" s="102"/>
      <c r="E3276" s="102"/>
      <c r="F3276" s="102"/>
      <c r="G3276" s="102"/>
      <c r="H3276" s="102"/>
      <c r="I3276" s="102"/>
      <c r="J3276" s="102"/>
      <c r="K3276" s="102"/>
      <c r="L3276" s="102"/>
      <c r="M3276" s="102"/>
      <c r="N3276" s="102"/>
      <c r="O3276" s="102"/>
      <c r="P3276" s="102"/>
      <c r="Q3276" s="102"/>
      <c r="R3276" s="102"/>
    </row>
    <row r="3277" spans="1:18" ht="35.1" customHeight="1" x14ac:dyDescent="0.2">
      <c r="A3277" s="99"/>
      <c r="B3277" s="99"/>
      <c r="C3277" s="102"/>
      <c r="D3277" s="102"/>
      <c r="E3277" s="102"/>
      <c r="F3277" s="102"/>
      <c r="G3277" s="102"/>
      <c r="H3277" s="102"/>
      <c r="I3277" s="102"/>
      <c r="J3277" s="102"/>
      <c r="K3277" s="102"/>
      <c r="L3277" s="102"/>
      <c r="M3277" s="102"/>
      <c r="N3277" s="102"/>
      <c r="O3277" s="102"/>
      <c r="P3277" s="102"/>
      <c r="Q3277" s="102"/>
      <c r="R3277" s="102"/>
    </row>
    <row r="3278" spans="1:18" ht="35.1" customHeight="1" x14ac:dyDescent="0.2">
      <c r="A3278" s="99"/>
      <c r="B3278" s="99"/>
      <c r="C3278" s="102"/>
      <c r="D3278" s="102"/>
      <c r="E3278" s="102"/>
      <c r="F3278" s="102"/>
      <c r="G3278" s="102"/>
      <c r="H3278" s="102"/>
      <c r="I3278" s="102"/>
      <c r="J3278" s="102"/>
      <c r="K3278" s="102"/>
      <c r="L3278" s="102"/>
      <c r="M3278" s="102"/>
      <c r="N3278" s="102"/>
      <c r="O3278" s="102"/>
      <c r="P3278" s="102"/>
      <c r="Q3278" s="102"/>
      <c r="R3278" s="102"/>
    </row>
    <row r="3279" spans="1:18" ht="35.1" customHeight="1" x14ac:dyDescent="0.2">
      <c r="A3279" s="99"/>
      <c r="B3279" s="99"/>
      <c r="C3279" s="102"/>
      <c r="D3279" s="102"/>
      <c r="E3279" s="102"/>
      <c r="F3279" s="102"/>
      <c r="G3279" s="102"/>
      <c r="H3279" s="102"/>
      <c r="I3279" s="102"/>
      <c r="J3279" s="102"/>
      <c r="K3279" s="102"/>
      <c r="L3279" s="102"/>
      <c r="M3279" s="102"/>
      <c r="N3279" s="102"/>
      <c r="O3279" s="102"/>
      <c r="P3279" s="102"/>
      <c r="Q3279" s="102"/>
      <c r="R3279" s="102"/>
    </row>
    <row r="3280" spans="1:18" ht="35.1" customHeight="1" x14ac:dyDescent="0.2">
      <c r="A3280" s="99"/>
      <c r="B3280" s="99"/>
      <c r="C3280" s="102"/>
      <c r="D3280" s="102"/>
      <c r="E3280" s="102"/>
      <c r="F3280" s="102"/>
      <c r="G3280" s="102"/>
      <c r="H3280" s="102"/>
      <c r="I3280" s="102"/>
      <c r="J3280" s="102"/>
      <c r="K3280" s="102"/>
      <c r="L3280" s="102"/>
      <c r="M3280" s="102"/>
      <c r="N3280" s="102"/>
      <c r="O3280" s="102"/>
      <c r="P3280" s="102"/>
      <c r="Q3280" s="102"/>
      <c r="R3280" s="102"/>
    </row>
    <row r="3281" spans="1:18" ht="35.1" customHeight="1" x14ac:dyDescent="0.2">
      <c r="A3281" s="99"/>
      <c r="B3281" s="99"/>
      <c r="C3281" s="102"/>
      <c r="D3281" s="102"/>
      <c r="E3281" s="102"/>
      <c r="F3281" s="102"/>
      <c r="G3281" s="102"/>
      <c r="H3281" s="102"/>
      <c r="I3281" s="102"/>
      <c r="J3281" s="102"/>
      <c r="K3281" s="102"/>
      <c r="L3281" s="102"/>
      <c r="M3281" s="102"/>
      <c r="N3281" s="102"/>
      <c r="O3281" s="102"/>
      <c r="P3281" s="102"/>
      <c r="Q3281" s="102"/>
      <c r="R3281" s="102"/>
    </row>
    <row r="3282" spans="1:18" ht="35.1" customHeight="1" x14ac:dyDescent="0.2">
      <c r="A3282" s="99"/>
      <c r="B3282" s="99"/>
      <c r="C3282" s="102"/>
      <c r="D3282" s="102"/>
      <c r="E3282" s="102"/>
      <c r="F3282" s="102"/>
      <c r="G3282" s="102"/>
      <c r="H3282" s="102"/>
      <c r="I3282" s="102"/>
      <c r="J3282" s="102"/>
      <c r="K3282" s="102"/>
      <c r="L3282" s="102"/>
      <c r="M3282" s="102"/>
      <c r="N3282" s="102"/>
      <c r="O3282" s="102"/>
      <c r="P3282" s="102"/>
      <c r="Q3282" s="102"/>
      <c r="R3282" s="102"/>
    </row>
    <row r="3283" spans="1:18" ht="35.1" customHeight="1" x14ac:dyDescent="0.2">
      <c r="A3283" s="99"/>
      <c r="B3283" s="99"/>
      <c r="C3283" s="102"/>
      <c r="D3283" s="102"/>
      <c r="E3283" s="102"/>
      <c r="F3283" s="102"/>
      <c r="G3283" s="102"/>
      <c r="H3283" s="102"/>
      <c r="I3283" s="102"/>
      <c r="J3283" s="102"/>
      <c r="K3283" s="102"/>
      <c r="L3283" s="102"/>
      <c r="M3283" s="102"/>
      <c r="N3283" s="102"/>
      <c r="O3283" s="102"/>
      <c r="P3283" s="102"/>
      <c r="Q3283" s="102"/>
      <c r="R3283" s="102"/>
    </row>
    <row r="3284" spans="1:18" ht="35.1" customHeight="1" x14ac:dyDescent="0.2">
      <c r="A3284" s="99"/>
      <c r="B3284" s="99"/>
      <c r="C3284" s="102"/>
      <c r="D3284" s="102"/>
      <c r="E3284" s="102"/>
      <c r="F3284" s="102"/>
      <c r="G3284" s="102"/>
      <c r="H3284" s="102"/>
      <c r="I3284" s="102"/>
      <c r="J3284" s="102"/>
      <c r="K3284" s="102"/>
      <c r="L3284" s="102"/>
      <c r="M3284" s="102"/>
      <c r="N3284" s="102"/>
      <c r="O3284" s="102"/>
      <c r="P3284" s="102"/>
      <c r="Q3284" s="102"/>
      <c r="R3284" s="102"/>
    </row>
    <row r="3285" spans="1:18" ht="35.1" customHeight="1" x14ac:dyDescent="0.2">
      <c r="A3285" s="99"/>
      <c r="B3285" s="99"/>
      <c r="C3285" s="102"/>
      <c r="D3285" s="102"/>
      <c r="E3285" s="102"/>
      <c r="F3285" s="102"/>
      <c r="G3285" s="102"/>
      <c r="H3285" s="102"/>
      <c r="I3285" s="102"/>
      <c r="J3285" s="102"/>
      <c r="K3285" s="102"/>
      <c r="L3285" s="102"/>
      <c r="M3285" s="102"/>
      <c r="N3285" s="102"/>
      <c r="O3285" s="102"/>
      <c r="P3285" s="102"/>
      <c r="Q3285" s="102"/>
      <c r="R3285" s="102"/>
    </row>
    <row r="3286" spans="1:18" ht="35.1" customHeight="1" x14ac:dyDescent="0.2">
      <c r="A3286" s="99"/>
      <c r="B3286" s="99"/>
      <c r="C3286" s="102"/>
      <c r="D3286" s="102"/>
      <c r="E3286" s="102"/>
      <c r="F3286" s="102"/>
      <c r="G3286" s="102"/>
      <c r="H3286" s="102"/>
      <c r="I3286" s="102"/>
      <c r="J3286" s="102"/>
      <c r="K3286" s="102"/>
      <c r="L3286" s="102"/>
      <c r="M3286" s="102"/>
      <c r="N3286" s="102"/>
      <c r="O3286" s="102"/>
      <c r="P3286" s="102"/>
      <c r="Q3286" s="102"/>
      <c r="R3286" s="102"/>
    </row>
    <row r="3287" spans="1:18" ht="35.1" customHeight="1" x14ac:dyDescent="0.2">
      <c r="A3287" s="99"/>
      <c r="B3287" s="99"/>
      <c r="C3287" s="102"/>
      <c r="D3287" s="102"/>
      <c r="E3287" s="102"/>
      <c r="F3287" s="102"/>
      <c r="G3287" s="102"/>
      <c r="H3287" s="102"/>
      <c r="I3287" s="102"/>
      <c r="J3287" s="102"/>
      <c r="K3287" s="102"/>
      <c r="L3287" s="102"/>
      <c r="M3287" s="102"/>
      <c r="N3287" s="102"/>
      <c r="O3287" s="102"/>
      <c r="P3287" s="102"/>
      <c r="Q3287" s="102"/>
      <c r="R3287" s="102"/>
    </row>
    <row r="3288" spans="1:18" ht="35.1" customHeight="1" x14ac:dyDescent="0.2">
      <c r="A3288" s="99"/>
      <c r="B3288" s="99"/>
      <c r="C3288" s="102"/>
      <c r="D3288" s="102"/>
      <c r="E3288" s="102"/>
      <c r="F3288" s="102"/>
      <c r="G3288" s="102"/>
      <c r="H3288" s="102"/>
      <c r="I3288" s="102"/>
      <c r="J3288" s="102"/>
      <c r="K3288" s="102"/>
      <c r="L3288" s="102"/>
      <c r="M3288" s="102"/>
      <c r="N3288" s="102"/>
      <c r="O3288" s="102"/>
      <c r="P3288" s="102"/>
      <c r="Q3288" s="102"/>
      <c r="R3288" s="102"/>
    </row>
    <row r="3289" spans="1:18" ht="35.1" customHeight="1" x14ac:dyDescent="0.2">
      <c r="A3289" s="99"/>
      <c r="B3289" s="99"/>
      <c r="C3289" s="102"/>
      <c r="D3289" s="102"/>
      <c r="E3289" s="102"/>
      <c r="F3289" s="102"/>
      <c r="G3289" s="102"/>
      <c r="H3289" s="102"/>
      <c r="I3289" s="102"/>
      <c r="J3289" s="102"/>
      <c r="K3289" s="102"/>
      <c r="L3289" s="102"/>
      <c r="M3289" s="102"/>
      <c r="N3289" s="102"/>
      <c r="O3289" s="102"/>
      <c r="P3289" s="102"/>
      <c r="Q3289" s="102"/>
      <c r="R3289" s="102"/>
    </row>
    <row r="3290" spans="1:18" ht="35.1" customHeight="1" x14ac:dyDescent="0.2">
      <c r="A3290" s="99"/>
      <c r="B3290" s="99"/>
      <c r="C3290" s="102"/>
      <c r="D3290" s="102"/>
      <c r="E3290" s="102"/>
      <c r="F3290" s="102"/>
      <c r="G3290" s="102"/>
      <c r="H3290" s="102"/>
      <c r="I3290" s="102"/>
      <c r="J3290" s="102"/>
      <c r="K3290" s="102"/>
      <c r="L3290" s="102"/>
      <c r="M3290" s="102"/>
      <c r="N3290" s="102"/>
      <c r="O3290" s="102"/>
      <c r="P3290" s="102"/>
      <c r="Q3290" s="102"/>
      <c r="R3290" s="102"/>
    </row>
    <row r="3291" spans="1:18" ht="35.1" customHeight="1" x14ac:dyDescent="0.2">
      <c r="A3291" s="99"/>
      <c r="B3291" s="99"/>
      <c r="C3291" s="102"/>
      <c r="D3291" s="102"/>
      <c r="E3291" s="102"/>
      <c r="F3291" s="102"/>
      <c r="G3291" s="102"/>
      <c r="H3291" s="102"/>
      <c r="I3291" s="102"/>
      <c r="J3291" s="102"/>
      <c r="K3291" s="102"/>
      <c r="L3291" s="102"/>
      <c r="M3291" s="102"/>
      <c r="N3291" s="102"/>
      <c r="O3291" s="102"/>
      <c r="P3291" s="102"/>
      <c r="Q3291" s="102"/>
      <c r="R3291" s="102"/>
    </row>
    <row r="3292" spans="1:18" ht="35.1" customHeight="1" x14ac:dyDescent="0.2">
      <c r="A3292" s="99"/>
      <c r="B3292" s="99"/>
      <c r="C3292" s="102"/>
      <c r="D3292" s="102"/>
      <c r="E3292" s="102"/>
      <c r="F3292" s="102"/>
      <c r="G3292" s="102"/>
      <c r="H3292" s="102"/>
      <c r="I3292" s="102"/>
      <c r="J3292" s="102"/>
      <c r="K3292" s="102"/>
      <c r="L3292" s="102"/>
      <c r="M3292" s="102"/>
      <c r="N3292" s="102"/>
      <c r="O3292" s="102"/>
      <c r="P3292" s="102"/>
      <c r="Q3292" s="102"/>
      <c r="R3292" s="102"/>
    </row>
    <row r="3293" spans="1:18" ht="35.1" customHeight="1" x14ac:dyDescent="0.2">
      <c r="A3293" s="99"/>
      <c r="B3293" s="99"/>
      <c r="C3293" s="102"/>
      <c r="D3293" s="102"/>
      <c r="E3293" s="102"/>
      <c r="F3293" s="102"/>
      <c r="G3293" s="102"/>
      <c r="H3293" s="102"/>
      <c r="I3293" s="102"/>
      <c r="J3293" s="102"/>
      <c r="K3293" s="102"/>
      <c r="L3293" s="102"/>
      <c r="M3293" s="102"/>
      <c r="N3293" s="102"/>
      <c r="O3293" s="102"/>
      <c r="P3293" s="102"/>
      <c r="Q3293" s="102"/>
      <c r="R3293" s="102"/>
    </row>
    <row r="3294" spans="1:18" ht="35.1" customHeight="1" x14ac:dyDescent="0.2">
      <c r="A3294" s="99"/>
      <c r="B3294" s="99"/>
      <c r="C3294" s="102"/>
      <c r="D3294" s="102"/>
      <c r="E3294" s="102"/>
      <c r="F3294" s="102"/>
      <c r="G3294" s="102"/>
      <c r="H3294" s="102"/>
      <c r="I3294" s="102"/>
      <c r="J3294" s="102"/>
      <c r="K3294" s="102"/>
      <c r="L3294" s="102"/>
      <c r="M3294" s="102"/>
      <c r="N3294" s="102"/>
      <c r="O3294" s="102"/>
      <c r="P3294" s="102"/>
      <c r="Q3294" s="102"/>
      <c r="R3294" s="102"/>
    </row>
    <row r="3295" spans="1:18" ht="35.1" customHeight="1" x14ac:dyDescent="0.2">
      <c r="A3295" s="99"/>
      <c r="B3295" s="99"/>
      <c r="C3295" s="102"/>
      <c r="D3295" s="102"/>
      <c r="E3295" s="102"/>
      <c r="F3295" s="102"/>
      <c r="G3295" s="102"/>
      <c r="H3295" s="102"/>
      <c r="I3295" s="102"/>
      <c r="J3295" s="102"/>
      <c r="K3295" s="102"/>
      <c r="L3295" s="102"/>
      <c r="M3295" s="102"/>
      <c r="N3295" s="102"/>
      <c r="O3295" s="102"/>
      <c r="P3295" s="102"/>
      <c r="Q3295" s="102"/>
      <c r="R3295" s="102"/>
    </row>
    <row r="3296" spans="1:18" ht="35.1" customHeight="1" x14ac:dyDescent="0.2">
      <c r="A3296" s="99"/>
      <c r="B3296" s="99"/>
      <c r="C3296" s="102"/>
      <c r="D3296" s="102"/>
      <c r="E3296" s="102"/>
      <c r="F3296" s="102"/>
      <c r="G3296" s="102"/>
      <c r="H3296" s="102"/>
      <c r="I3296" s="102"/>
      <c r="J3296" s="102"/>
      <c r="K3296" s="102"/>
      <c r="L3296" s="102"/>
      <c r="M3296" s="102"/>
      <c r="N3296" s="102"/>
      <c r="O3296" s="102"/>
      <c r="P3296" s="102"/>
      <c r="Q3296" s="102"/>
      <c r="R3296" s="102"/>
    </row>
    <row r="3297" spans="1:18" ht="35.1" customHeight="1" x14ac:dyDescent="0.2">
      <c r="A3297" s="99"/>
      <c r="B3297" s="99"/>
      <c r="C3297" s="102"/>
      <c r="D3297" s="102"/>
      <c r="E3297" s="102"/>
      <c r="F3297" s="102"/>
      <c r="G3297" s="102"/>
      <c r="H3297" s="102"/>
      <c r="I3297" s="102"/>
      <c r="J3297" s="102"/>
      <c r="K3297" s="102"/>
      <c r="L3297" s="102"/>
      <c r="M3297" s="102"/>
      <c r="N3297" s="102"/>
      <c r="O3297" s="102"/>
      <c r="P3297" s="102"/>
      <c r="Q3297" s="102"/>
      <c r="R3297" s="102"/>
    </row>
    <row r="3298" spans="1:18" ht="35.1" customHeight="1" x14ac:dyDescent="0.2">
      <c r="A3298" s="99"/>
      <c r="B3298" s="99"/>
      <c r="C3298" s="102"/>
      <c r="D3298" s="102"/>
      <c r="E3298" s="102"/>
      <c r="F3298" s="102"/>
      <c r="G3298" s="102"/>
      <c r="H3298" s="102"/>
      <c r="I3298" s="102"/>
      <c r="J3298" s="102"/>
      <c r="K3298" s="102"/>
      <c r="L3298" s="102"/>
      <c r="M3298" s="102"/>
      <c r="N3298" s="102"/>
      <c r="O3298" s="102"/>
      <c r="P3298" s="102"/>
      <c r="Q3298" s="102"/>
      <c r="R3298" s="102"/>
    </row>
    <row r="3299" spans="1:18" ht="35.1" customHeight="1" x14ac:dyDescent="0.2">
      <c r="A3299" s="99"/>
      <c r="B3299" s="99"/>
      <c r="C3299" s="102"/>
      <c r="D3299" s="102"/>
      <c r="E3299" s="102"/>
      <c r="F3299" s="102"/>
      <c r="G3299" s="102"/>
      <c r="H3299" s="102"/>
      <c r="I3299" s="102"/>
      <c r="J3299" s="102"/>
      <c r="K3299" s="102"/>
      <c r="L3299" s="102"/>
      <c r="M3299" s="102"/>
      <c r="N3299" s="102"/>
      <c r="O3299" s="102"/>
      <c r="P3299" s="102"/>
      <c r="Q3299" s="102"/>
      <c r="R3299" s="102"/>
    </row>
    <row r="3300" spans="1:18" ht="35.1" customHeight="1" x14ac:dyDescent="0.2">
      <c r="A3300" s="99"/>
      <c r="B3300" s="99"/>
      <c r="C3300" s="102"/>
      <c r="D3300" s="102"/>
      <c r="E3300" s="102"/>
      <c r="F3300" s="102"/>
      <c r="G3300" s="102"/>
      <c r="H3300" s="102"/>
      <c r="I3300" s="102"/>
      <c r="J3300" s="102"/>
      <c r="K3300" s="102"/>
      <c r="L3300" s="102"/>
      <c r="M3300" s="102"/>
      <c r="N3300" s="102"/>
      <c r="O3300" s="102"/>
      <c r="P3300" s="102"/>
      <c r="Q3300" s="102"/>
      <c r="R3300" s="102"/>
    </row>
    <row r="3301" spans="1:18" ht="35.1" customHeight="1" x14ac:dyDescent="0.2">
      <c r="A3301" s="99"/>
      <c r="B3301" s="99"/>
      <c r="C3301" s="102"/>
      <c r="D3301" s="102"/>
      <c r="E3301" s="102"/>
      <c r="F3301" s="102"/>
      <c r="G3301" s="102"/>
      <c r="H3301" s="102"/>
      <c r="I3301" s="102"/>
      <c r="J3301" s="102"/>
      <c r="K3301" s="102"/>
      <c r="L3301" s="102"/>
      <c r="M3301" s="102"/>
      <c r="N3301" s="102"/>
      <c r="O3301" s="102"/>
      <c r="P3301" s="102"/>
      <c r="Q3301" s="102"/>
      <c r="R3301" s="102"/>
    </row>
    <row r="3302" spans="1:18" ht="35.1" customHeight="1" x14ac:dyDescent="0.2">
      <c r="A3302" s="99"/>
      <c r="B3302" s="99"/>
      <c r="C3302" s="102"/>
      <c r="D3302" s="102"/>
      <c r="E3302" s="102"/>
      <c r="F3302" s="102"/>
      <c r="G3302" s="102"/>
      <c r="H3302" s="102"/>
      <c r="I3302" s="102"/>
      <c r="J3302" s="102"/>
      <c r="K3302" s="102"/>
      <c r="L3302" s="102"/>
      <c r="M3302" s="102"/>
      <c r="N3302" s="102"/>
      <c r="O3302" s="102"/>
      <c r="P3302" s="102"/>
      <c r="Q3302" s="102"/>
      <c r="R3302" s="102"/>
    </row>
    <row r="3303" spans="1:18" ht="35.1" customHeight="1" x14ac:dyDescent="0.2">
      <c r="A3303" s="99"/>
      <c r="B3303" s="99"/>
      <c r="C3303" s="102"/>
      <c r="D3303" s="102"/>
      <c r="E3303" s="102"/>
      <c r="F3303" s="102"/>
      <c r="G3303" s="102"/>
      <c r="H3303" s="102"/>
      <c r="I3303" s="102"/>
      <c r="J3303" s="102"/>
      <c r="K3303" s="102"/>
      <c r="L3303" s="102"/>
      <c r="M3303" s="102"/>
      <c r="N3303" s="102"/>
      <c r="O3303" s="102"/>
      <c r="P3303" s="102"/>
      <c r="Q3303" s="102"/>
      <c r="R3303" s="102"/>
    </row>
    <row r="3304" spans="1:18" ht="35.1" customHeight="1" x14ac:dyDescent="0.2">
      <c r="A3304" s="99"/>
      <c r="B3304" s="99"/>
      <c r="C3304" s="102"/>
      <c r="D3304" s="102"/>
      <c r="E3304" s="102"/>
      <c r="F3304" s="102"/>
      <c r="G3304" s="102"/>
      <c r="H3304" s="102"/>
      <c r="I3304" s="102"/>
      <c r="J3304" s="102"/>
      <c r="K3304" s="102"/>
      <c r="L3304" s="102"/>
      <c r="M3304" s="102"/>
      <c r="N3304" s="102"/>
      <c r="O3304" s="102"/>
      <c r="P3304" s="102"/>
      <c r="Q3304" s="102"/>
      <c r="R3304" s="102"/>
    </row>
    <row r="3305" spans="1:18" ht="35.1" customHeight="1" x14ac:dyDescent="0.2">
      <c r="A3305" s="99"/>
      <c r="B3305" s="99"/>
      <c r="C3305" s="102"/>
      <c r="D3305" s="102"/>
      <c r="E3305" s="102"/>
      <c r="F3305" s="102"/>
      <c r="G3305" s="102"/>
      <c r="H3305" s="102"/>
      <c r="I3305" s="102"/>
      <c r="J3305" s="102"/>
      <c r="K3305" s="102"/>
      <c r="L3305" s="102"/>
      <c r="M3305" s="102"/>
      <c r="N3305" s="102"/>
      <c r="O3305" s="102"/>
      <c r="P3305" s="102"/>
      <c r="Q3305" s="102"/>
      <c r="R3305" s="102"/>
    </row>
    <row r="3306" spans="1:18" ht="35.1" customHeight="1" x14ac:dyDescent="0.2">
      <c r="A3306" s="99"/>
      <c r="B3306" s="99"/>
      <c r="C3306" s="102"/>
      <c r="D3306" s="102"/>
      <c r="E3306" s="102"/>
      <c r="F3306" s="102"/>
      <c r="G3306" s="102"/>
      <c r="H3306" s="102"/>
      <c r="I3306" s="102"/>
      <c r="J3306" s="102"/>
      <c r="K3306" s="102"/>
      <c r="L3306" s="102"/>
      <c r="M3306" s="102"/>
      <c r="N3306" s="102"/>
      <c r="O3306" s="102"/>
      <c r="P3306" s="102"/>
      <c r="Q3306" s="102"/>
      <c r="R3306" s="102"/>
    </row>
    <row r="3307" spans="1:18" ht="35.1" customHeight="1" x14ac:dyDescent="0.2">
      <c r="A3307" s="99"/>
      <c r="B3307" s="99"/>
      <c r="C3307" s="102"/>
      <c r="D3307" s="102"/>
      <c r="E3307" s="102"/>
      <c r="F3307" s="102"/>
      <c r="G3307" s="102"/>
      <c r="H3307" s="102"/>
      <c r="I3307" s="102"/>
      <c r="J3307" s="102"/>
      <c r="K3307" s="102"/>
      <c r="L3307" s="102"/>
      <c r="M3307" s="102"/>
      <c r="N3307" s="102"/>
      <c r="O3307" s="102"/>
      <c r="P3307" s="102"/>
      <c r="Q3307" s="102"/>
      <c r="R3307" s="102"/>
    </row>
    <row r="3308" spans="1:18" ht="35.1" customHeight="1" x14ac:dyDescent="0.2">
      <c r="A3308" s="99"/>
      <c r="B3308" s="99"/>
      <c r="C3308" s="102"/>
      <c r="D3308" s="102"/>
      <c r="E3308" s="102"/>
      <c r="F3308" s="102"/>
      <c r="G3308" s="102"/>
      <c r="H3308" s="102"/>
      <c r="I3308" s="102"/>
      <c r="J3308" s="102"/>
      <c r="K3308" s="102"/>
      <c r="L3308" s="102"/>
      <c r="M3308" s="102"/>
      <c r="N3308" s="102"/>
      <c r="O3308" s="102"/>
      <c r="P3308" s="102"/>
      <c r="Q3308" s="102"/>
      <c r="R3308" s="102"/>
    </row>
    <row r="3309" spans="1:18" ht="35.1" customHeight="1" x14ac:dyDescent="0.2">
      <c r="A3309" s="99"/>
      <c r="B3309" s="99"/>
      <c r="C3309" s="102"/>
      <c r="D3309" s="102"/>
      <c r="E3309" s="102"/>
      <c r="F3309" s="102"/>
      <c r="G3309" s="102"/>
      <c r="H3309" s="102"/>
      <c r="I3309" s="102"/>
      <c r="J3309" s="102"/>
      <c r="K3309" s="102"/>
      <c r="L3309" s="102"/>
      <c r="M3309" s="102"/>
      <c r="N3309" s="102"/>
      <c r="O3309" s="102"/>
      <c r="P3309" s="102"/>
      <c r="Q3309" s="102"/>
      <c r="R3309" s="102"/>
    </row>
    <row r="3310" spans="1:18" ht="35.1" customHeight="1" x14ac:dyDescent="0.2">
      <c r="A3310" s="99"/>
      <c r="B3310" s="99"/>
      <c r="C3310" s="102"/>
      <c r="D3310" s="102"/>
      <c r="E3310" s="102"/>
      <c r="F3310" s="102"/>
      <c r="G3310" s="102"/>
      <c r="H3310" s="102"/>
      <c r="I3310" s="102"/>
      <c r="J3310" s="102"/>
      <c r="K3310" s="102"/>
      <c r="L3310" s="102"/>
      <c r="M3310" s="102"/>
      <c r="N3310" s="102"/>
      <c r="O3310" s="102"/>
      <c r="P3310" s="102"/>
      <c r="Q3310" s="102"/>
      <c r="R3310" s="102"/>
    </row>
    <row r="3311" spans="1:18" ht="35.1" customHeight="1" x14ac:dyDescent="0.2">
      <c r="A3311" s="99"/>
      <c r="B3311" s="99"/>
      <c r="C3311" s="102"/>
      <c r="D3311" s="102"/>
      <c r="E3311" s="102"/>
      <c r="F3311" s="102"/>
      <c r="G3311" s="102"/>
      <c r="H3311" s="102"/>
      <c r="I3311" s="102"/>
      <c r="J3311" s="102"/>
      <c r="K3311" s="102"/>
      <c r="L3311" s="102"/>
      <c r="M3311" s="102"/>
      <c r="N3311" s="102"/>
      <c r="O3311" s="102"/>
      <c r="P3311" s="102"/>
      <c r="Q3311" s="102"/>
      <c r="R3311" s="102"/>
    </row>
    <row r="3312" spans="1:18" ht="35.1" customHeight="1" x14ac:dyDescent="0.2">
      <c r="A3312" s="99"/>
      <c r="B3312" s="99"/>
      <c r="C3312" s="102"/>
      <c r="D3312" s="102"/>
      <c r="E3312" s="102"/>
      <c r="F3312" s="102"/>
      <c r="G3312" s="102"/>
      <c r="H3312" s="102"/>
      <c r="I3312" s="102"/>
      <c r="J3312" s="102"/>
      <c r="K3312" s="102"/>
      <c r="L3312" s="102"/>
      <c r="M3312" s="102"/>
      <c r="N3312" s="102"/>
      <c r="O3312" s="102"/>
      <c r="P3312" s="102"/>
      <c r="Q3312" s="102"/>
      <c r="R3312" s="102"/>
    </row>
    <row r="3313" spans="1:18" ht="35.1" customHeight="1" x14ac:dyDescent="0.2">
      <c r="A3313" s="99"/>
      <c r="B3313" s="99"/>
      <c r="C3313" s="102"/>
      <c r="D3313" s="102"/>
      <c r="E3313" s="102"/>
      <c r="F3313" s="102"/>
      <c r="G3313" s="102"/>
      <c r="H3313" s="102"/>
      <c r="I3313" s="102"/>
      <c r="J3313" s="102"/>
      <c r="K3313" s="102"/>
      <c r="L3313" s="102"/>
      <c r="M3313" s="102"/>
      <c r="N3313" s="102"/>
      <c r="O3313" s="102"/>
      <c r="P3313" s="102"/>
      <c r="Q3313" s="102"/>
      <c r="R3313" s="102"/>
    </row>
    <row r="3314" spans="1:18" ht="35.1" customHeight="1" x14ac:dyDescent="0.2">
      <c r="A3314" s="99"/>
      <c r="B3314" s="99"/>
      <c r="C3314" s="102"/>
      <c r="D3314" s="102"/>
      <c r="E3314" s="102"/>
      <c r="F3314" s="102"/>
      <c r="G3314" s="102"/>
      <c r="H3314" s="102"/>
      <c r="I3314" s="102"/>
      <c r="J3314" s="102"/>
      <c r="K3314" s="102"/>
      <c r="L3314" s="102"/>
      <c r="M3314" s="102"/>
      <c r="N3314" s="102"/>
      <c r="O3314" s="102"/>
      <c r="P3314" s="102"/>
      <c r="Q3314" s="102"/>
      <c r="R3314" s="102"/>
    </row>
    <row r="3315" spans="1:18" ht="35.1" customHeight="1" x14ac:dyDescent="0.2">
      <c r="A3315" s="99"/>
      <c r="B3315" s="99"/>
      <c r="C3315" s="102"/>
      <c r="D3315" s="102"/>
      <c r="E3315" s="102"/>
      <c r="F3315" s="102"/>
      <c r="G3315" s="102"/>
      <c r="H3315" s="102"/>
      <c r="I3315" s="102"/>
      <c r="J3315" s="102"/>
      <c r="K3315" s="102"/>
      <c r="L3315" s="102"/>
      <c r="M3315" s="102"/>
      <c r="N3315" s="102"/>
      <c r="O3315" s="102"/>
      <c r="P3315" s="102"/>
      <c r="Q3315" s="102"/>
      <c r="R3315" s="102"/>
    </row>
    <row r="3316" spans="1:18" ht="35.1" customHeight="1" x14ac:dyDescent="0.2">
      <c r="A3316" s="99"/>
      <c r="B3316" s="99"/>
      <c r="C3316" s="102"/>
      <c r="D3316" s="102"/>
      <c r="E3316" s="102"/>
      <c r="F3316" s="102"/>
      <c r="G3316" s="102"/>
      <c r="H3316" s="102"/>
      <c r="I3316" s="102"/>
      <c r="J3316" s="102"/>
      <c r="K3316" s="102"/>
      <c r="L3316" s="102"/>
      <c r="M3316" s="102"/>
      <c r="N3316" s="102"/>
      <c r="O3316" s="102"/>
      <c r="P3316" s="102"/>
      <c r="Q3316" s="102"/>
      <c r="R3316" s="102"/>
    </row>
    <row r="3317" spans="1:18" ht="35.1" customHeight="1" x14ac:dyDescent="0.2">
      <c r="A3317" s="99"/>
      <c r="B3317" s="99"/>
      <c r="C3317" s="102"/>
      <c r="D3317" s="102"/>
      <c r="E3317" s="102"/>
      <c r="F3317" s="102"/>
      <c r="G3317" s="102"/>
      <c r="H3317" s="102"/>
      <c r="I3317" s="102"/>
      <c r="J3317" s="102"/>
      <c r="K3317" s="102"/>
      <c r="L3317" s="102"/>
      <c r="M3317" s="102"/>
      <c r="N3317" s="102"/>
      <c r="O3317" s="102"/>
      <c r="P3317" s="102"/>
      <c r="Q3317" s="102"/>
      <c r="R3317" s="102"/>
    </row>
    <row r="3318" spans="1:18" ht="35.1" customHeight="1" x14ac:dyDescent="0.2">
      <c r="A3318" s="99"/>
      <c r="B3318" s="99"/>
      <c r="C3318" s="102"/>
      <c r="D3318" s="102"/>
      <c r="E3318" s="102"/>
      <c r="F3318" s="102"/>
      <c r="G3318" s="102"/>
      <c r="H3318" s="102"/>
      <c r="I3318" s="102"/>
      <c r="J3318" s="102"/>
      <c r="K3318" s="102"/>
      <c r="L3318" s="102"/>
      <c r="M3318" s="102"/>
      <c r="N3318" s="102"/>
      <c r="O3318" s="102"/>
      <c r="P3318" s="102"/>
      <c r="Q3318" s="102"/>
      <c r="R3318" s="102"/>
    </row>
    <row r="3319" spans="1:18" ht="35.1" customHeight="1" x14ac:dyDescent="0.2">
      <c r="A3319" s="99"/>
      <c r="B3319" s="99"/>
      <c r="C3319" s="102"/>
      <c r="D3319" s="102"/>
      <c r="E3319" s="102"/>
      <c r="F3319" s="102"/>
      <c r="G3319" s="102"/>
      <c r="H3319" s="102"/>
      <c r="I3319" s="102"/>
      <c r="J3319" s="102"/>
      <c r="K3319" s="102"/>
      <c r="L3319" s="102"/>
      <c r="M3319" s="102"/>
      <c r="N3319" s="102"/>
      <c r="O3319" s="102"/>
      <c r="P3319" s="102"/>
      <c r="Q3319" s="102"/>
      <c r="R3319" s="102"/>
    </row>
    <row r="3320" spans="1:18" ht="35.1" customHeight="1" x14ac:dyDescent="0.2">
      <c r="A3320" s="99"/>
      <c r="B3320" s="99"/>
      <c r="C3320" s="102"/>
      <c r="D3320" s="102"/>
      <c r="E3320" s="102"/>
      <c r="F3320" s="102"/>
      <c r="G3320" s="102"/>
      <c r="H3320" s="102"/>
      <c r="I3320" s="102"/>
      <c r="J3320" s="102"/>
      <c r="K3320" s="102"/>
      <c r="L3320" s="102"/>
      <c r="M3320" s="102"/>
      <c r="N3320" s="102"/>
      <c r="O3320" s="102"/>
      <c r="P3320" s="102"/>
      <c r="Q3320" s="102"/>
      <c r="R3320" s="102"/>
    </row>
    <row r="3321" spans="1:18" ht="35.1" customHeight="1" x14ac:dyDescent="0.2">
      <c r="A3321" s="99"/>
      <c r="B3321" s="99"/>
      <c r="C3321" s="102"/>
      <c r="D3321" s="102"/>
      <c r="E3321" s="102"/>
      <c r="F3321" s="102"/>
      <c r="G3321" s="102"/>
      <c r="H3321" s="102"/>
      <c r="I3321" s="102"/>
      <c r="J3321" s="102"/>
      <c r="K3321" s="102"/>
      <c r="L3321" s="102"/>
      <c r="M3321" s="102"/>
      <c r="N3321" s="102"/>
      <c r="O3321" s="102"/>
      <c r="P3321" s="102"/>
      <c r="Q3321" s="102"/>
      <c r="R3321" s="102"/>
    </row>
    <row r="3322" spans="1:18" ht="35.1" customHeight="1" x14ac:dyDescent="0.2">
      <c r="A3322" s="99"/>
      <c r="B3322" s="99"/>
      <c r="C3322" s="102"/>
      <c r="D3322" s="102"/>
      <c r="E3322" s="102"/>
      <c r="F3322" s="102"/>
      <c r="G3322" s="102"/>
      <c r="H3322" s="102"/>
      <c r="I3322" s="102"/>
      <c r="J3322" s="102"/>
      <c r="K3322" s="102"/>
      <c r="L3322" s="102"/>
      <c r="M3322" s="102"/>
      <c r="N3322" s="102"/>
      <c r="O3322" s="102"/>
      <c r="P3322" s="102"/>
      <c r="Q3322" s="102"/>
      <c r="R3322" s="102"/>
    </row>
    <row r="3323" spans="1:18" ht="35.1" customHeight="1" x14ac:dyDescent="0.2">
      <c r="A3323" s="99"/>
      <c r="B3323" s="99"/>
      <c r="C3323" s="102"/>
      <c r="D3323" s="102"/>
      <c r="E3323" s="102"/>
      <c r="F3323" s="102"/>
      <c r="G3323" s="102"/>
      <c r="H3323" s="102"/>
      <c r="I3323" s="102"/>
      <c r="J3323" s="102"/>
      <c r="K3323" s="102"/>
      <c r="L3323" s="102"/>
      <c r="M3323" s="102"/>
      <c r="N3323" s="102"/>
      <c r="O3323" s="102"/>
      <c r="P3323" s="102"/>
      <c r="Q3323" s="102"/>
      <c r="R3323" s="102"/>
    </row>
    <row r="3324" spans="1:18" ht="35.1" customHeight="1" x14ac:dyDescent="0.2">
      <c r="A3324" s="99"/>
      <c r="B3324" s="99"/>
      <c r="C3324" s="102"/>
      <c r="D3324" s="102"/>
      <c r="E3324" s="102"/>
      <c r="F3324" s="102"/>
      <c r="G3324" s="102"/>
      <c r="H3324" s="102"/>
      <c r="I3324" s="102"/>
      <c r="J3324" s="102"/>
      <c r="K3324" s="102"/>
      <c r="L3324" s="102"/>
      <c r="M3324" s="102"/>
      <c r="N3324" s="102"/>
      <c r="O3324" s="102"/>
      <c r="P3324" s="102"/>
      <c r="Q3324" s="102"/>
      <c r="R3324" s="102"/>
    </row>
    <row r="3325" spans="1:18" ht="35.1" customHeight="1" x14ac:dyDescent="0.2">
      <c r="A3325" s="99"/>
      <c r="B3325" s="99"/>
      <c r="C3325" s="102"/>
      <c r="D3325" s="102"/>
      <c r="E3325" s="102"/>
      <c r="F3325" s="102"/>
      <c r="G3325" s="102"/>
      <c r="H3325" s="102"/>
      <c r="I3325" s="102"/>
      <c r="J3325" s="102"/>
      <c r="K3325" s="102"/>
      <c r="L3325" s="102"/>
      <c r="M3325" s="102"/>
      <c r="N3325" s="102"/>
      <c r="O3325" s="102"/>
      <c r="P3325" s="102"/>
      <c r="Q3325" s="102"/>
      <c r="R3325" s="102"/>
    </row>
    <row r="3326" spans="1:18" ht="35.1" customHeight="1" x14ac:dyDescent="0.2">
      <c r="A3326" s="99"/>
      <c r="B3326" s="99"/>
      <c r="C3326" s="102"/>
      <c r="D3326" s="102"/>
      <c r="E3326" s="102"/>
      <c r="F3326" s="102"/>
      <c r="G3326" s="102"/>
      <c r="H3326" s="102"/>
      <c r="I3326" s="102"/>
      <c r="J3326" s="102"/>
      <c r="K3326" s="102"/>
      <c r="L3326" s="102"/>
      <c r="M3326" s="102"/>
      <c r="N3326" s="102"/>
      <c r="O3326" s="102"/>
      <c r="P3326" s="102"/>
      <c r="Q3326" s="102"/>
      <c r="R3326" s="102"/>
    </row>
    <row r="3327" spans="1:18" ht="35.1" customHeight="1" x14ac:dyDescent="0.2">
      <c r="A3327" s="99"/>
      <c r="B3327" s="99"/>
      <c r="C3327" s="102"/>
      <c r="D3327" s="102"/>
      <c r="E3327" s="102"/>
      <c r="F3327" s="102"/>
      <c r="G3327" s="102"/>
      <c r="H3327" s="102"/>
      <c r="I3327" s="102"/>
      <c r="J3327" s="102"/>
      <c r="K3327" s="102"/>
      <c r="L3327" s="102"/>
      <c r="M3327" s="102"/>
      <c r="N3327" s="102"/>
      <c r="O3327" s="102"/>
      <c r="P3327" s="102"/>
      <c r="Q3327" s="102"/>
      <c r="R3327" s="102"/>
    </row>
    <row r="3328" spans="1:18" ht="35.1" customHeight="1" x14ac:dyDescent="0.2">
      <c r="A3328" s="99"/>
      <c r="B3328" s="99"/>
      <c r="C3328" s="102"/>
      <c r="D3328" s="102"/>
      <c r="E3328" s="102"/>
      <c r="F3328" s="102"/>
      <c r="G3328" s="102"/>
      <c r="H3328" s="102"/>
      <c r="I3328" s="102"/>
      <c r="J3328" s="102"/>
      <c r="K3328" s="102"/>
      <c r="L3328" s="102"/>
      <c r="M3328" s="102"/>
      <c r="N3328" s="102"/>
      <c r="O3328" s="102"/>
      <c r="P3328" s="102"/>
      <c r="Q3328" s="102"/>
      <c r="R3328" s="102"/>
    </row>
    <row r="3329" spans="1:18" ht="35.1" customHeight="1" x14ac:dyDescent="0.2">
      <c r="A3329" s="99"/>
      <c r="B3329" s="99"/>
      <c r="C3329" s="102"/>
      <c r="D3329" s="102"/>
      <c r="E3329" s="102"/>
      <c r="F3329" s="102"/>
      <c r="G3329" s="102"/>
      <c r="H3329" s="102"/>
      <c r="I3329" s="102"/>
      <c r="J3329" s="102"/>
      <c r="K3329" s="102"/>
      <c r="L3329" s="102"/>
      <c r="M3329" s="102"/>
      <c r="N3329" s="102"/>
      <c r="O3329" s="102"/>
      <c r="P3329" s="102"/>
      <c r="Q3329" s="102"/>
      <c r="R3329" s="102"/>
    </row>
    <row r="3330" spans="1:18" ht="35.1" customHeight="1" x14ac:dyDescent="0.2">
      <c r="A3330" s="99"/>
      <c r="B3330" s="99"/>
      <c r="C3330" s="102"/>
      <c r="D3330" s="102"/>
      <c r="E3330" s="102"/>
      <c r="F3330" s="102"/>
      <c r="G3330" s="102"/>
      <c r="H3330" s="102"/>
      <c r="I3330" s="102"/>
      <c r="J3330" s="102"/>
      <c r="K3330" s="102"/>
      <c r="L3330" s="102"/>
      <c r="M3330" s="102"/>
      <c r="N3330" s="102"/>
      <c r="O3330" s="102"/>
      <c r="P3330" s="102"/>
      <c r="Q3330" s="102"/>
      <c r="R3330" s="102"/>
    </row>
    <row r="3331" spans="1:18" ht="35.1" customHeight="1" x14ac:dyDescent="0.2">
      <c r="A3331" s="99"/>
      <c r="B3331" s="99"/>
      <c r="C3331" s="102"/>
      <c r="D3331" s="102"/>
      <c r="E3331" s="102"/>
      <c r="F3331" s="102"/>
      <c r="G3331" s="102"/>
      <c r="H3331" s="102"/>
      <c r="I3331" s="102"/>
      <c r="J3331" s="102"/>
      <c r="K3331" s="102"/>
      <c r="L3331" s="102"/>
      <c r="M3331" s="102"/>
      <c r="N3331" s="102"/>
      <c r="O3331" s="102"/>
      <c r="P3331" s="102"/>
      <c r="Q3331" s="102"/>
      <c r="R3331" s="102"/>
    </row>
    <row r="3332" spans="1:18" ht="35.1" customHeight="1" x14ac:dyDescent="0.2">
      <c r="A3332" s="99"/>
      <c r="B3332" s="99"/>
      <c r="C3332" s="102"/>
      <c r="D3332" s="102"/>
      <c r="E3332" s="102"/>
      <c r="F3332" s="102"/>
      <c r="G3332" s="102"/>
      <c r="H3332" s="102"/>
      <c r="I3332" s="102"/>
      <c r="J3332" s="102"/>
      <c r="K3332" s="102"/>
      <c r="L3332" s="102"/>
      <c r="M3332" s="102"/>
      <c r="N3332" s="102"/>
      <c r="O3332" s="102"/>
      <c r="P3332" s="102"/>
      <c r="Q3332" s="102"/>
      <c r="R3332" s="102"/>
    </row>
    <row r="3333" spans="1:18" ht="35.1" customHeight="1" x14ac:dyDescent="0.2">
      <c r="A3333" s="99"/>
      <c r="B3333" s="99"/>
      <c r="C3333" s="102"/>
      <c r="D3333" s="102"/>
      <c r="E3333" s="102"/>
      <c r="F3333" s="102"/>
      <c r="G3333" s="102"/>
      <c r="H3333" s="102"/>
      <c r="I3333" s="102"/>
      <c r="J3333" s="102"/>
      <c r="K3333" s="102"/>
      <c r="L3333" s="102"/>
      <c r="M3333" s="102"/>
      <c r="N3333" s="102"/>
      <c r="O3333" s="102"/>
      <c r="P3333" s="102"/>
      <c r="Q3333" s="102"/>
      <c r="R3333" s="102"/>
    </row>
    <row r="3334" spans="1:18" ht="35.1" customHeight="1" x14ac:dyDescent="0.2">
      <c r="A3334" s="99"/>
      <c r="B3334" s="99"/>
      <c r="C3334" s="102"/>
      <c r="D3334" s="102"/>
      <c r="E3334" s="102"/>
      <c r="F3334" s="102"/>
      <c r="G3334" s="102"/>
      <c r="H3334" s="102"/>
      <c r="I3334" s="102"/>
      <c r="J3334" s="102"/>
      <c r="K3334" s="102"/>
      <c r="L3334" s="102"/>
      <c r="M3334" s="102"/>
      <c r="N3334" s="102"/>
      <c r="O3334" s="102"/>
      <c r="P3334" s="102"/>
      <c r="Q3334" s="102"/>
      <c r="R3334" s="102"/>
    </row>
    <row r="3335" spans="1:18" ht="35.1" customHeight="1" x14ac:dyDescent="0.2">
      <c r="A3335" s="99"/>
      <c r="B3335" s="99"/>
      <c r="C3335" s="102"/>
      <c r="D3335" s="102"/>
      <c r="E3335" s="102"/>
      <c r="F3335" s="102"/>
      <c r="G3335" s="102"/>
      <c r="H3335" s="102"/>
      <c r="I3335" s="102"/>
      <c r="J3335" s="102"/>
      <c r="K3335" s="102"/>
      <c r="L3335" s="102"/>
      <c r="M3335" s="102"/>
      <c r="N3335" s="102"/>
      <c r="O3335" s="102"/>
      <c r="P3335" s="102"/>
      <c r="Q3335" s="102"/>
      <c r="R3335" s="102"/>
    </row>
    <row r="3336" spans="1:18" ht="35.1" customHeight="1" x14ac:dyDescent="0.2">
      <c r="A3336" s="99"/>
      <c r="B3336" s="99"/>
      <c r="C3336" s="102"/>
      <c r="D3336" s="102"/>
      <c r="E3336" s="102"/>
      <c r="F3336" s="102"/>
      <c r="G3336" s="102"/>
      <c r="H3336" s="102"/>
      <c r="I3336" s="102"/>
      <c r="J3336" s="102"/>
      <c r="K3336" s="102"/>
      <c r="L3336" s="102"/>
      <c r="M3336" s="102"/>
      <c r="N3336" s="102"/>
      <c r="O3336" s="102"/>
      <c r="P3336" s="102"/>
      <c r="Q3336" s="102"/>
      <c r="R3336" s="102"/>
    </row>
    <row r="3337" spans="1:18" ht="35.1" customHeight="1" x14ac:dyDescent="0.2">
      <c r="A3337" s="99"/>
      <c r="B3337" s="99"/>
      <c r="C3337" s="102"/>
      <c r="D3337" s="102"/>
      <c r="E3337" s="102"/>
      <c r="F3337" s="102"/>
      <c r="G3337" s="102"/>
      <c r="H3337" s="102"/>
      <c r="I3337" s="102"/>
      <c r="J3337" s="102"/>
      <c r="K3337" s="102"/>
      <c r="L3337" s="102"/>
      <c r="M3337" s="102"/>
      <c r="N3337" s="102"/>
      <c r="O3337" s="102"/>
      <c r="P3337" s="102"/>
      <c r="Q3337" s="102"/>
      <c r="R3337" s="102"/>
    </row>
    <row r="3338" spans="1:18" ht="35.1" customHeight="1" x14ac:dyDescent="0.2">
      <c r="A3338" s="99"/>
      <c r="B3338" s="99"/>
      <c r="C3338" s="102"/>
      <c r="D3338" s="102"/>
      <c r="E3338" s="102"/>
      <c r="F3338" s="102"/>
      <c r="G3338" s="102"/>
      <c r="H3338" s="102"/>
      <c r="I3338" s="102"/>
      <c r="J3338" s="102"/>
      <c r="K3338" s="102"/>
      <c r="L3338" s="102"/>
      <c r="M3338" s="102"/>
      <c r="N3338" s="102"/>
      <c r="O3338" s="102"/>
      <c r="P3338" s="102"/>
      <c r="Q3338" s="102"/>
      <c r="R3338" s="102"/>
    </row>
    <row r="3339" spans="1:18" ht="35.1" customHeight="1" x14ac:dyDescent="0.2">
      <c r="A3339" s="99"/>
      <c r="B3339" s="99"/>
      <c r="C3339" s="102"/>
      <c r="D3339" s="102"/>
      <c r="E3339" s="102"/>
      <c r="F3339" s="102"/>
      <c r="G3339" s="102"/>
      <c r="H3339" s="102"/>
      <c r="I3339" s="102"/>
      <c r="J3339" s="102"/>
      <c r="K3339" s="102"/>
      <c r="L3339" s="102"/>
      <c r="M3339" s="102"/>
      <c r="N3339" s="102"/>
      <c r="O3339" s="102"/>
      <c r="P3339" s="102"/>
      <c r="Q3339" s="102"/>
      <c r="R3339" s="102"/>
    </row>
    <row r="3340" spans="1:18" ht="35.1" customHeight="1" x14ac:dyDescent="0.2">
      <c r="A3340" s="99"/>
      <c r="B3340" s="99"/>
      <c r="C3340" s="102"/>
      <c r="D3340" s="102"/>
      <c r="E3340" s="102"/>
      <c r="F3340" s="102"/>
      <c r="G3340" s="102"/>
      <c r="H3340" s="102"/>
      <c r="I3340" s="102"/>
      <c r="J3340" s="102"/>
      <c r="K3340" s="102"/>
      <c r="L3340" s="102"/>
      <c r="M3340" s="102"/>
      <c r="N3340" s="102"/>
      <c r="O3340" s="102"/>
      <c r="P3340" s="102"/>
      <c r="Q3340" s="102"/>
      <c r="R3340" s="102"/>
    </row>
    <row r="3341" spans="1:18" ht="35.1" customHeight="1" x14ac:dyDescent="0.2">
      <c r="A3341" s="99"/>
      <c r="B3341" s="99"/>
      <c r="C3341" s="102"/>
      <c r="D3341" s="102"/>
      <c r="E3341" s="102"/>
      <c r="F3341" s="102"/>
      <c r="G3341" s="102"/>
      <c r="H3341" s="102"/>
      <c r="I3341" s="102"/>
      <c r="J3341" s="102"/>
      <c r="K3341" s="102"/>
      <c r="L3341" s="102"/>
      <c r="M3341" s="102"/>
      <c r="N3341" s="102"/>
      <c r="O3341" s="102"/>
      <c r="P3341" s="102"/>
      <c r="Q3341" s="102"/>
      <c r="R3341" s="102"/>
    </row>
    <row r="3342" spans="1:18" ht="35.1" customHeight="1" x14ac:dyDescent="0.2">
      <c r="A3342" s="99"/>
      <c r="B3342" s="99"/>
      <c r="C3342" s="102"/>
      <c r="D3342" s="102"/>
      <c r="E3342" s="102"/>
      <c r="F3342" s="102"/>
      <c r="G3342" s="102"/>
      <c r="H3342" s="102"/>
      <c r="I3342" s="102"/>
      <c r="J3342" s="102"/>
      <c r="K3342" s="102"/>
      <c r="L3342" s="102"/>
      <c r="M3342" s="102"/>
      <c r="N3342" s="102"/>
      <c r="O3342" s="102"/>
      <c r="P3342" s="102"/>
      <c r="Q3342" s="102"/>
      <c r="R3342" s="102"/>
    </row>
    <row r="3343" spans="1:18" ht="35.1" customHeight="1" x14ac:dyDescent="0.2">
      <c r="A3343" s="99"/>
      <c r="B3343" s="99"/>
      <c r="C3343" s="102"/>
      <c r="D3343" s="102"/>
      <c r="E3343" s="102"/>
      <c r="F3343" s="102"/>
      <c r="G3343" s="102"/>
      <c r="H3343" s="102"/>
      <c r="I3343" s="102"/>
      <c r="J3343" s="102"/>
      <c r="K3343" s="102"/>
      <c r="L3343" s="102"/>
      <c r="M3343" s="102"/>
      <c r="N3343" s="102"/>
      <c r="O3343" s="102"/>
      <c r="P3343" s="102"/>
      <c r="Q3343" s="102"/>
      <c r="R3343" s="102"/>
    </row>
    <row r="3344" spans="1:18" ht="35.1" customHeight="1" x14ac:dyDescent="0.2">
      <c r="A3344" s="99"/>
      <c r="B3344" s="99"/>
      <c r="C3344" s="102"/>
      <c r="D3344" s="102"/>
      <c r="E3344" s="102"/>
      <c r="F3344" s="102"/>
      <c r="G3344" s="102"/>
      <c r="H3344" s="102"/>
      <c r="I3344" s="102"/>
      <c r="J3344" s="102"/>
      <c r="K3344" s="102"/>
      <c r="L3344" s="102"/>
      <c r="M3344" s="102"/>
      <c r="N3344" s="102"/>
      <c r="O3344" s="102"/>
      <c r="P3344" s="102"/>
      <c r="Q3344" s="102"/>
      <c r="R3344" s="102"/>
    </row>
    <row r="3345" spans="1:18" ht="35.1" customHeight="1" x14ac:dyDescent="0.2">
      <c r="A3345" s="99"/>
      <c r="B3345" s="99"/>
      <c r="C3345" s="102"/>
      <c r="D3345" s="102"/>
      <c r="E3345" s="102"/>
      <c r="F3345" s="102"/>
      <c r="G3345" s="102"/>
      <c r="H3345" s="102"/>
      <c r="I3345" s="102"/>
      <c r="J3345" s="102"/>
      <c r="K3345" s="102"/>
      <c r="L3345" s="102"/>
      <c r="M3345" s="102"/>
      <c r="N3345" s="102"/>
      <c r="O3345" s="102"/>
      <c r="P3345" s="102"/>
      <c r="Q3345" s="102"/>
      <c r="R3345" s="102"/>
    </row>
    <row r="3346" spans="1:18" ht="35.1" customHeight="1" x14ac:dyDescent="0.2">
      <c r="A3346" s="99"/>
      <c r="B3346" s="99"/>
      <c r="C3346" s="102"/>
      <c r="D3346" s="102"/>
      <c r="E3346" s="102"/>
      <c r="F3346" s="102"/>
      <c r="G3346" s="102"/>
      <c r="H3346" s="102"/>
      <c r="I3346" s="102"/>
      <c r="J3346" s="102"/>
      <c r="K3346" s="102"/>
      <c r="L3346" s="102"/>
      <c r="M3346" s="102"/>
      <c r="N3346" s="102"/>
      <c r="O3346" s="102"/>
      <c r="P3346" s="102"/>
      <c r="Q3346" s="102"/>
      <c r="R3346" s="102"/>
    </row>
    <row r="3347" spans="1:18" ht="35.1" customHeight="1" x14ac:dyDescent="0.2">
      <c r="A3347" s="99"/>
      <c r="B3347" s="99"/>
      <c r="C3347" s="102"/>
      <c r="D3347" s="102"/>
      <c r="E3347" s="102"/>
      <c r="F3347" s="102"/>
      <c r="G3347" s="102"/>
      <c r="H3347" s="102"/>
      <c r="I3347" s="102"/>
      <c r="J3347" s="102"/>
      <c r="K3347" s="102"/>
      <c r="L3347" s="102"/>
      <c r="M3347" s="102"/>
      <c r="N3347" s="102"/>
      <c r="O3347" s="102"/>
      <c r="P3347" s="102"/>
      <c r="Q3347" s="102"/>
      <c r="R3347" s="102"/>
    </row>
    <row r="3348" spans="1:18" ht="35.1" customHeight="1" x14ac:dyDescent="0.2">
      <c r="A3348" s="99"/>
      <c r="B3348" s="99"/>
      <c r="C3348" s="102"/>
      <c r="D3348" s="102"/>
      <c r="E3348" s="102"/>
      <c r="F3348" s="102"/>
      <c r="G3348" s="102"/>
      <c r="H3348" s="102"/>
      <c r="I3348" s="102"/>
      <c r="J3348" s="102"/>
      <c r="K3348" s="102"/>
      <c r="L3348" s="102"/>
      <c r="M3348" s="102"/>
      <c r="N3348" s="102"/>
      <c r="O3348" s="102"/>
      <c r="P3348" s="102"/>
      <c r="Q3348" s="102"/>
      <c r="R3348" s="102"/>
    </row>
    <row r="3349" spans="1:18" ht="35.1" customHeight="1" x14ac:dyDescent="0.2">
      <c r="A3349" s="99"/>
      <c r="B3349" s="99"/>
      <c r="C3349" s="102"/>
      <c r="D3349" s="102"/>
      <c r="E3349" s="102"/>
      <c r="F3349" s="102"/>
      <c r="G3349" s="102"/>
      <c r="H3349" s="102"/>
      <c r="I3349" s="102"/>
      <c r="J3349" s="102"/>
      <c r="K3349" s="102"/>
      <c r="L3349" s="102"/>
      <c r="M3349" s="102"/>
      <c r="N3349" s="102"/>
      <c r="O3349" s="102"/>
      <c r="P3349" s="102"/>
      <c r="Q3349" s="102"/>
      <c r="R3349" s="102"/>
    </row>
    <row r="3350" spans="1:18" ht="35.1" customHeight="1" x14ac:dyDescent="0.2">
      <c r="A3350" s="99"/>
      <c r="B3350" s="99"/>
      <c r="C3350" s="102"/>
      <c r="D3350" s="102"/>
      <c r="E3350" s="102"/>
      <c r="F3350" s="102"/>
      <c r="G3350" s="102"/>
      <c r="H3350" s="102"/>
      <c r="I3350" s="102"/>
      <c r="J3350" s="102"/>
      <c r="K3350" s="102"/>
      <c r="L3350" s="102"/>
      <c r="M3350" s="102"/>
      <c r="N3350" s="102"/>
      <c r="O3350" s="102"/>
      <c r="P3350" s="102"/>
      <c r="Q3350" s="102"/>
      <c r="R3350" s="102"/>
    </row>
    <row r="3351" spans="1:18" ht="35.1" customHeight="1" x14ac:dyDescent="0.2">
      <c r="A3351" s="99"/>
      <c r="B3351" s="99"/>
      <c r="C3351" s="102"/>
      <c r="D3351" s="102"/>
      <c r="E3351" s="102"/>
      <c r="F3351" s="102"/>
      <c r="G3351" s="102"/>
      <c r="H3351" s="102"/>
      <c r="I3351" s="102"/>
      <c r="J3351" s="102"/>
      <c r="K3351" s="102"/>
      <c r="L3351" s="102"/>
      <c r="M3351" s="102"/>
      <c r="N3351" s="102"/>
      <c r="O3351" s="102"/>
      <c r="P3351" s="102"/>
      <c r="Q3351" s="102"/>
      <c r="R3351" s="102"/>
    </row>
    <row r="3352" spans="1:18" ht="35.1" customHeight="1" x14ac:dyDescent="0.2">
      <c r="A3352" s="99"/>
      <c r="B3352" s="99"/>
      <c r="C3352" s="102"/>
      <c r="D3352" s="102"/>
      <c r="E3352" s="102"/>
      <c r="F3352" s="102"/>
      <c r="G3352" s="102"/>
      <c r="H3352" s="102"/>
      <c r="I3352" s="102"/>
      <c r="J3352" s="102"/>
      <c r="K3352" s="102"/>
      <c r="L3352" s="102"/>
      <c r="M3352" s="102"/>
      <c r="N3352" s="102"/>
      <c r="O3352" s="102"/>
      <c r="P3352" s="102"/>
      <c r="Q3352" s="102"/>
      <c r="R3352" s="102"/>
    </row>
    <row r="3353" spans="1:18" ht="35.1" customHeight="1" x14ac:dyDescent="0.2">
      <c r="A3353" s="99"/>
      <c r="B3353" s="99"/>
      <c r="C3353" s="102"/>
      <c r="D3353" s="102"/>
      <c r="E3353" s="102"/>
      <c r="F3353" s="102"/>
      <c r="G3353" s="102"/>
      <c r="H3353" s="102"/>
      <c r="I3353" s="102"/>
      <c r="J3353" s="102"/>
      <c r="K3353" s="102"/>
      <c r="L3353" s="102"/>
      <c r="M3353" s="102"/>
      <c r="N3353" s="102"/>
      <c r="O3353" s="102"/>
      <c r="P3353" s="102"/>
      <c r="Q3353" s="102"/>
      <c r="R3353" s="102"/>
    </row>
    <row r="3354" spans="1:18" ht="35.1" customHeight="1" x14ac:dyDescent="0.2">
      <c r="A3354" s="99"/>
      <c r="B3354" s="99"/>
      <c r="C3354" s="102"/>
      <c r="D3354" s="102"/>
      <c r="E3354" s="102"/>
      <c r="F3354" s="102"/>
      <c r="G3354" s="102"/>
      <c r="H3354" s="102"/>
      <c r="I3354" s="102"/>
      <c r="J3354" s="102"/>
      <c r="K3354" s="102"/>
      <c r="L3354" s="102"/>
      <c r="M3354" s="102"/>
      <c r="N3354" s="102"/>
      <c r="O3354" s="102"/>
      <c r="P3354" s="102"/>
      <c r="Q3354" s="102"/>
      <c r="R3354" s="102"/>
    </row>
    <row r="3355" spans="1:18" ht="35.1" customHeight="1" x14ac:dyDescent="0.2">
      <c r="A3355" s="99"/>
      <c r="B3355" s="99"/>
      <c r="C3355" s="102"/>
      <c r="D3355" s="102"/>
      <c r="E3355" s="102"/>
      <c r="F3355" s="102"/>
      <c r="G3355" s="102"/>
      <c r="H3355" s="102"/>
      <c r="I3355" s="102"/>
      <c r="J3355" s="102"/>
      <c r="K3355" s="102"/>
      <c r="L3355" s="102"/>
      <c r="M3355" s="102"/>
      <c r="N3355" s="102"/>
      <c r="O3355" s="102"/>
      <c r="P3355" s="102"/>
      <c r="Q3355" s="102"/>
      <c r="R3355" s="102"/>
    </row>
    <row r="3356" spans="1:18" ht="35.1" customHeight="1" x14ac:dyDescent="0.2">
      <c r="A3356" s="99"/>
      <c r="B3356" s="99"/>
      <c r="C3356" s="102"/>
      <c r="D3356" s="102"/>
      <c r="E3356" s="102"/>
      <c r="F3356" s="102"/>
      <c r="G3356" s="102"/>
      <c r="H3356" s="102"/>
      <c r="I3356" s="102"/>
      <c r="J3356" s="102"/>
      <c r="K3356" s="102"/>
      <c r="L3356" s="102"/>
      <c r="M3356" s="102"/>
      <c r="N3356" s="102"/>
      <c r="O3356" s="102"/>
      <c r="P3356" s="102"/>
      <c r="Q3356" s="102"/>
      <c r="R3356" s="102"/>
    </row>
    <row r="3357" spans="1:18" ht="35.1" customHeight="1" x14ac:dyDescent="0.2">
      <c r="A3357" s="99"/>
      <c r="B3357" s="99"/>
      <c r="C3357" s="102"/>
      <c r="D3357" s="102"/>
      <c r="E3357" s="102"/>
      <c r="F3357" s="102"/>
      <c r="G3357" s="102"/>
      <c r="H3357" s="102"/>
      <c r="I3357" s="102"/>
      <c r="J3357" s="102"/>
      <c r="K3357" s="102"/>
      <c r="L3357" s="102"/>
      <c r="M3357" s="102"/>
      <c r="N3357" s="102"/>
      <c r="O3357" s="102"/>
      <c r="P3357" s="102"/>
      <c r="Q3357" s="102"/>
      <c r="R3357" s="102"/>
    </row>
    <row r="3358" spans="1:18" ht="35.1" customHeight="1" x14ac:dyDescent="0.2">
      <c r="A3358" s="99"/>
      <c r="B3358" s="99"/>
      <c r="C3358" s="102"/>
      <c r="D3358" s="102"/>
      <c r="E3358" s="102"/>
      <c r="F3358" s="102"/>
      <c r="G3358" s="102"/>
      <c r="H3358" s="102"/>
      <c r="I3358" s="102"/>
      <c r="J3358" s="102"/>
      <c r="K3358" s="102"/>
      <c r="L3358" s="102"/>
      <c r="M3358" s="102"/>
      <c r="N3358" s="102"/>
      <c r="O3358" s="102"/>
      <c r="P3358" s="102"/>
      <c r="Q3358" s="102"/>
      <c r="R3358" s="102"/>
    </row>
    <row r="3359" spans="1:18" ht="35.1" customHeight="1" x14ac:dyDescent="0.2">
      <c r="A3359" s="99"/>
      <c r="B3359" s="99"/>
      <c r="C3359" s="102"/>
      <c r="D3359" s="102"/>
      <c r="E3359" s="102"/>
      <c r="F3359" s="102"/>
      <c r="G3359" s="102"/>
      <c r="H3359" s="102"/>
      <c r="I3359" s="102"/>
      <c r="J3359" s="102"/>
      <c r="K3359" s="102"/>
      <c r="L3359" s="102"/>
      <c r="M3359" s="102"/>
      <c r="N3359" s="102"/>
      <c r="O3359" s="102"/>
      <c r="P3359" s="102"/>
      <c r="Q3359" s="102"/>
      <c r="R3359" s="102"/>
    </row>
    <row r="3360" spans="1:18" ht="35.1" customHeight="1" x14ac:dyDescent="0.2">
      <c r="A3360" s="99"/>
      <c r="B3360" s="99"/>
      <c r="C3360" s="102"/>
      <c r="D3360" s="102"/>
      <c r="E3360" s="102"/>
      <c r="F3360" s="102"/>
      <c r="G3360" s="102"/>
      <c r="H3360" s="102"/>
      <c r="I3360" s="102"/>
      <c r="J3360" s="102"/>
      <c r="K3360" s="102"/>
      <c r="L3360" s="102"/>
      <c r="M3360" s="102"/>
      <c r="N3360" s="102"/>
      <c r="O3360" s="102"/>
      <c r="P3360" s="102"/>
      <c r="Q3360" s="102"/>
      <c r="R3360" s="102"/>
    </row>
    <row r="3361" spans="1:18" ht="35.1" customHeight="1" x14ac:dyDescent="0.2">
      <c r="A3361" s="99"/>
      <c r="B3361" s="99"/>
      <c r="C3361" s="102"/>
      <c r="D3361" s="102"/>
      <c r="E3361" s="102"/>
      <c r="F3361" s="102"/>
      <c r="G3361" s="102"/>
      <c r="H3361" s="102"/>
      <c r="I3361" s="102"/>
      <c r="J3361" s="102"/>
      <c r="K3361" s="102"/>
      <c r="L3361" s="102"/>
      <c r="M3361" s="102"/>
      <c r="N3361" s="102"/>
      <c r="O3361" s="102"/>
      <c r="P3361" s="102"/>
      <c r="Q3361" s="102"/>
      <c r="R3361" s="102"/>
    </row>
    <row r="3362" spans="1:18" ht="35.1" customHeight="1" x14ac:dyDescent="0.2">
      <c r="A3362" s="99"/>
      <c r="B3362" s="99"/>
      <c r="C3362" s="102"/>
      <c r="D3362" s="102"/>
      <c r="E3362" s="102"/>
      <c r="F3362" s="102"/>
      <c r="G3362" s="102"/>
      <c r="H3362" s="102"/>
      <c r="I3362" s="102"/>
      <c r="J3362" s="102"/>
      <c r="K3362" s="102"/>
      <c r="L3362" s="102"/>
      <c r="M3362" s="102"/>
      <c r="N3362" s="102"/>
      <c r="O3362" s="102"/>
      <c r="P3362" s="102"/>
      <c r="Q3362" s="102"/>
      <c r="R3362" s="102"/>
    </row>
    <row r="3363" spans="1:18" ht="35.1" customHeight="1" x14ac:dyDescent="0.2">
      <c r="A3363" s="99"/>
      <c r="B3363" s="99"/>
      <c r="C3363" s="102"/>
      <c r="D3363" s="102"/>
      <c r="E3363" s="102"/>
      <c r="F3363" s="102"/>
      <c r="G3363" s="102"/>
      <c r="H3363" s="102"/>
      <c r="I3363" s="102"/>
      <c r="J3363" s="102"/>
      <c r="K3363" s="102"/>
      <c r="L3363" s="102"/>
      <c r="M3363" s="102"/>
      <c r="N3363" s="102"/>
      <c r="O3363" s="102"/>
      <c r="P3363" s="102"/>
      <c r="Q3363" s="102"/>
      <c r="R3363" s="102"/>
    </row>
    <row r="3364" spans="1:18" ht="35.1" customHeight="1" x14ac:dyDescent="0.2">
      <c r="A3364" s="99"/>
      <c r="B3364" s="99"/>
      <c r="C3364" s="102"/>
      <c r="D3364" s="102"/>
      <c r="E3364" s="102"/>
      <c r="F3364" s="102"/>
      <c r="G3364" s="102"/>
      <c r="H3364" s="102"/>
      <c r="I3364" s="102"/>
      <c r="J3364" s="102"/>
      <c r="K3364" s="102"/>
      <c r="L3364" s="102"/>
      <c r="M3364" s="102"/>
      <c r="N3364" s="102"/>
      <c r="O3364" s="102"/>
      <c r="P3364" s="102"/>
      <c r="Q3364" s="102"/>
      <c r="R3364" s="102"/>
    </row>
    <row r="3365" spans="1:18" ht="35.1" customHeight="1" x14ac:dyDescent="0.2">
      <c r="A3365" s="99"/>
      <c r="B3365" s="99"/>
      <c r="C3365" s="102"/>
      <c r="D3365" s="102"/>
      <c r="E3365" s="102"/>
      <c r="F3365" s="102"/>
      <c r="G3365" s="102"/>
      <c r="H3365" s="102"/>
      <c r="I3365" s="102"/>
      <c r="J3365" s="102"/>
      <c r="K3365" s="102"/>
      <c r="L3365" s="102"/>
      <c r="M3365" s="102"/>
      <c r="N3365" s="102"/>
      <c r="O3365" s="102"/>
      <c r="P3365" s="102"/>
      <c r="Q3365" s="102"/>
      <c r="R3365" s="102"/>
    </row>
    <row r="3366" spans="1:18" ht="35.1" customHeight="1" x14ac:dyDescent="0.2">
      <c r="A3366" s="99"/>
      <c r="B3366" s="99"/>
      <c r="C3366" s="102"/>
      <c r="D3366" s="102"/>
      <c r="E3366" s="102"/>
      <c r="F3366" s="102"/>
      <c r="G3366" s="102"/>
      <c r="H3366" s="102"/>
      <c r="I3366" s="102"/>
      <c r="J3366" s="102"/>
      <c r="K3366" s="102"/>
      <c r="L3366" s="102"/>
      <c r="M3366" s="102"/>
      <c r="N3366" s="102"/>
      <c r="O3366" s="102"/>
      <c r="P3366" s="102"/>
      <c r="Q3366" s="102"/>
      <c r="R3366" s="102"/>
    </row>
    <row r="3367" spans="1:18" ht="35.1" customHeight="1" x14ac:dyDescent="0.2">
      <c r="A3367" s="99"/>
      <c r="B3367" s="99"/>
      <c r="C3367" s="102"/>
      <c r="D3367" s="102"/>
      <c r="E3367" s="102"/>
      <c r="F3367" s="102"/>
      <c r="G3367" s="102"/>
      <c r="H3367" s="102"/>
      <c r="I3367" s="102"/>
      <c r="J3367" s="102"/>
      <c r="K3367" s="102"/>
      <c r="L3367" s="102"/>
      <c r="M3367" s="102"/>
      <c r="N3367" s="102"/>
      <c r="O3367" s="102"/>
      <c r="P3367" s="102"/>
      <c r="Q3367" s="102"/>
      <c r="R3367" s="102"/>
    </row>
    <row r="3368" spans="1:18" ht="35.1" customHeight="1" x14ac:dyDescent="0.2">
      <c r="A3368" s="99"/>
      <c r="B3368" s="99"/>
      <c r="C3368" s="102"/>
      <c r="D3368" s="102"/>
      <c r="E3368" s="102"/>
      <c r="F3368" s="102"/>
      <c r="G3368" s="102"/>
      <c r="H3368" s="102"/>
      <c r="I3368" s="102"/>
      <c r="J3368" s="102"/>
      <c r="K3368" s="102"/>
      <c r="L3368" s="102"/>
      <c r="M3368" s="102"/>
      <c r="N3368" s="102"/>
      <c r="O3368" s="102"/>
      <c r="P3368" s="102"/>
      <c r="Q3368" s="102"/>
      <c r="R3368" s="102"/>
    </row>
    <row r="3369" spans="1:18" ht="35.1" customHeight="1" x14ac:dyDescent="0.2">
      <c r="A3369" s="99"/>
      <c r="B3369" s="99"/>
      <c r="C3369" s="102"/>
      <c r="D3369" s="102"/>
      <c r="E3369" s="102"/>
      <c r="F3369" s="102"/>
      <c r="G3369" s="102"/>
      <c r="H3369" s="102"/>
      <c r="I3369" s="102"/>
      <c r="J3369" s="102"/>
      <c r="K3369" s="102"/>
      <c r="L3369" s="102"/>
      <c r="M3369" s="102"/>
      <c r="N3369" s="102"/>
      <c r="O3369" s="102"/>
      <c r="P3369" s="102"/>
      <c r="Q3369" s="102"/>
      <c r="R3369" s="102"/>
    </row>
    <row r="3370" spans="1:18" ht="35.1" customHeight="1" x14ac:dyDescent="0.2">
      <c r="A3370" s="99"/>
      <c r="B3370" s="99"/>
      <c r="C3370" s="102"/>
      <c r="D3370" s="102"/>
      <c r="E3370" s="102"/>
      <c r="F3370" s="102"/>
      <c r="G3370" s="102"/>
      <c r="H3370" s="102"/>
      <c r="I3370" s="102"/>
      <c r="J3370" s="102"/>
      <c r="K3370" s="102"/>
      <c r="L3370" s="102"/>
      <c r="M3370" s="102"/>
      <c r="N3370" s="102"/>
      <c r="O3370" s="102"/>
      <c r="P3370" s="102"/>
      <c r="Q3370" s="102"/>
      <c r="R3370" s="102"/>
    </row>
    <row r="3371" spans="1:18" ht="35.1" customHeight="1" x14ac:dyDescent="0.2">
      <c r="A3371" s="99"/>
      <c r="B3371" s="99"/>
      <c r="C3371" s="102"/>
      <c r="D3371" s="102"/>
      <c r="E3371" s="102"/>
      <c r="F3371" s="102"/>
      <c r="G3371" s="102"/>
      <c r="H3371" s="102"/>
      <c r="I3371" s="102"/>
      <c r="J3371" s="102"/>
      <c r="K3371" s="102"/>
      <c r="L3371" s="102"/>
      <c r="M3371" s="102"/>
      <c r="N3371" s="102"/>
      <c r="O3371" s="102"/>
      <c r="P3371" s="102"/>
      <c r="Q3371" s="102"/>
      <c r="R3371" s="102"/>
    </row>
    <row r="3372" spans="1:18" ht="35.1" customHeight="1" x14ac:dyDescent="0.2">
      <c r="A3372" s="99"/>
      <c r="B3372" s="99"/>
      <c r="C3372" s="102"/>
      <c r="D3372" s="102"/>
      <c r="E3372" s="102"/>
      <c r="F3372" s="102"/>
      <c r="G3372" s="102"/>
      <c r="H3372" s="102"/>
      <c r="I3372" s="102"/>
      <c r="J3372" s="102"/>
      <c r="K3372" s="102"/>
      <c r="L3372" s="102"/>
      <c r="M3372" s="102"/>
      <c r="N3372" s="102"/>
      <c r="O3372" s="102"/>
      <c r="P3372" s="102"/>
      <c r="Q3372" s="102"/>
      <c r="R3372" s="102"/>
    </row>
    <row r="3373" spans="1:18" ht="35.1" customHeight="1" x14ac:dyDescent="0.2">
      <c r="A3373" s="99"/>
      <c r="B3373" s="99"/>
      <c r="C3373" s="102"/>
      <c r="D3373" s="102"/>
      <c r="E3373" s="102"/>
      <c r="F3373" s="102"/>
      <c r="G3373" s="102"/>
      <c r="H3373" s="102"/>
      <c r="I3373" s="102"/>
      <c r="J3373" s="102"/>
      <c r="K3373" s="102"/>
      <c r="L3373" s="102"/>
      <c r="M3373" s="102"/>
      <c r="N3373" s="102"/>
      <c r="O3373" s="102"/>
      <c r="P3373" s="102"/>
      <c r="Q3373" s="102"/>
      <c r="R3373" s="102"/>
    </row>
    <row r="3374" spans="1:18" ht="35.1" customHeight="1" x14ac:dyDescent="0.2">
      <c r="A3374" s="99"/>
      <c r="B3374" s="99"/>
      <c r="C3374" s="102"/>
      <c r="D3374" s="102"/>
      <c r="E3374" s="102"/>
      <c r="F3374" s="102"/>
      <c r="G3374" s="102"/>
      <c r="H3374" s="102"/>
      <c r="I3374" s="102"/>
      <c r="J3374" s="102"/>
      <c r="K3374" s="102"/>
      <c r="L3374" s="102"/>
      <c r="M3374" s="102"/>
      <c r="N3374" s="102"/>
      <c r="O3374" s="102"/>
      <c r="P3374" s="102"/>
      <c r="Q3374" s="102"/>
      <c r="R3374" s="102"/>
    </row>
    <row r="3375" spans="1:18" ht="35.1" customHeight="1" x14ac:dyDescent="0.2">
      <c r="A3375" s="99"/>
      <c r="B3375" s="99"/>
      <c r="C3375" s="102"/>
      <c r="D3375" s="102"/>
      <c r="E3375" s="102"/>
      <c r="F3375" s="102"/>
      <c r="G3375" s="102"/>
      <c r="H3375" s="102"/>
      <c r="I3375" s="102"/>
      <c r="J3375" s="102"/>
      <c r="K3375" s="102"/>
      <c r="L3375" s="102"/>
      <c r="M3375" s="102"/>
      <c r="N3375" s="102"/>
      <c r="O3375" s="102"/>
      <c r="P3375" s="102"/>
      <c r="Q3375" s="102"/>
      <c r="R3375" s="102"/>
    </row>
    <row r="3376" spans="1:18" ht="35.1" customHeight="1" x14ac:dyDescent="0.2">
      <c r="A3376" s="99"/>
      <c r="B3376" s="99"/>
      <c r="C3376" s="102"/>
      <c r="D3376" s="102"/>
      <c r="E3376" s="102"/>
      <c r="F3376" s="102"/>
      <c r="G3376" s="102"/>
      <c r="H3376" s="102"/>
      <c r="I3376" s="102"/>
      <c r="J3376" s="102"/>
      <c r="K3376" s="102"/>
      <c r="L3376" s="102"/>
      <c r="M3376" s="102"/>
      <c r="N3376" s="102"/>
      <c r="O3376" s="102"/>
      <c r="P3376" s="102"/>
      <c r="Q3376" s="102"/>
      <c r="R3376" s="102"/>
    </row>
    <row r="3377" spans="1:18" ht="35.1" customHeight="1" x14ac:dyDescent="0.2">
      <c r="A3377" s="99"/>
      <c r="B3377" s="99"/>
      <c r="C3377" s="102"/>
      <c r="D3377" s="102"/>
      <c r="E3377" s="102"/>
      <c r="F3377" s="102"/>
      <c r="G3377" s="102"/>
      <c r="H3377" s="102"/>
      <c r="I3377" s="102"/>
      <c r="J3377" s="102"/>
      <c r="K3377" s="102"/>
      <c r="L3377" s="102"/>
      <c r="M3377" s="102"/>
      <c r="N3377" s="102"/>
      <c r="O3377" s="102"/>
      <c r="P3377" s="102"/>
      <c r="Q3377" s="102"/>
      <c r="R3377" s="102"/>
    </row>
    <row r="3378" spans="1:18" ht="35.1" customHeight="1" x14ac:dyDescent="0.2">
      <c r="A3378" s="99"/>
      <c r="B3378" s="99"/>
      <c r="C3378" s="102"/>
      <c r="D3378" s="102"/>
      <c r="E3378" s="102"/>
      <c r="F3378" s="102"/>
      <c r="G3378" s="102"/>
      <c r="H3378" s="102"/>
      <c r="I3378" s="102"/>
      <c r="J3378" s="102"/>
      <c r="K3378" s="102"/>
      <c r="L3378" s="102"/>
      <c r="M3378" s="102"/>
      <c r="N3378" s="102"/>
      <c r="O3378" s="102"/>
      <c r="P3378" s="102"/>
      <c r="Q3378" s="102"/>
      <c r="R3378" s="102"/>
    </row>
    <row r="3379" spans="1:18" ht="35.1" customHeight="1" x14ac:dyDescent="0.2">
      <c r="A3379" s="99"/>
      <c r="B3379" s="99"/>
      <c r="C3379" s="102"/>
      <c r="D3379" s="102"/>
      <c r="E3379" s="102"/>
      <c r="F3379" s="102"/>
      <c r="G3379" s="102"/>
      <c r="H3379" s="102"/>
      <c r="I3379" s="102"/>
      <c r="J3379" s="102"/>
      <c r="K3379" s="102"/>
      <c r="L3379" s="102"/>
      <c r="M3379" s="102"/>
      <c r="N3379" s="102"/>
      <c r="O3379" s="102"/>
      <c r="P3379" s="102"/>
      <c r="Q3379" s="102"/>
      <c r="R3379" s="102"/>
    </row>
    <row r="3380" spans="1:18" ht="35.1" customHeight="1" x14ac:dyDescent="0.2">
      <c r="A3380" s="99"/>
      <c r="B3380" s="99"/>
      <c r="C3380" s="102"/>
      <c r="D3380" s="102"/>
      <c r="E3380" s="102"/>
      <c r="F3380" s="102"/>
      <c r="G3380" s="102"/>
      <c r="H3380" s="102"/>
      <c r="I3380" s="102"/>
      <c r="J3380" s="102"/>
      <c r="K3380" s="102"/>
      <c r="L3380" s="102"/>
      <c r="M3380" s="102"/>
      <c r="N3380" s="102"/>
      <c r="O3380" s="102"/>
      <c r="P3380" s="102"/>
      <c r="Q3380" s="102"/>
      <c r="R3380" s="102"/>
    </row>
    <row r="3381" spans="1:18" ht="35.1" customHeight="1" x14ac:dyDescent="0.2">
      <c r="A3381" s="99"/>
      <c r="B3381" s="99"/>
      <c r="C3381" s="102"/>
      <c r="D3381" s="102"/>
      <c r="E3381" s="102"/>
      <c r="F3381" s="102"/>
      <c r="G3381" s="102"/>
      <c r="H3381" s="102"/>
      <c r="I3381" s="102"/>
      <c r="J3381" s="102"/>
      <c r="K3381" s="102"/>
      <c r="L3381" s="102"/>
      <c r="M3381" s="102"/>
      <c r="N3381" s="102"/>
      <c r="O3381" s="102"/>
      <c r="P3381" s="102"/>
      <c r="Q3381" s="102"/>
      <c r="R3381" s="102"/>
    </row>
    <row r="3382" spans="1:18" ht="35.1" customHeight="1" x14ac:dyDescent="0.2">
      <c r="A3382" s="99"/>
      <c r="B3382" s="99"/>
      <c r="C3382" s="102"/>
      <c r="D3382" s="102"/>
      <c r="E3382" s="102"/>
      <c r="F3382" s="102"/>
      <c r="G3382" s="102"/>
      <c r="H3382" s="102"/>
      <c r="I3382" s="102"/>
      <c r="J3382" s="102"/>
      <c r="K3382" s="102"/>
      <c r="L3382" s="102"/>
      <c r="M3382" s="102"/>
      <c r="N3382" s="102"/>
      <c r="O3382" s="102"/>
      <c r="P3382" s="102"/>
      <c r="Q3382" s="102"/>
      <c r="R3382" s="102"/>
    </row>
    <row r="3383" spans="1:18" ht="35.1" customHeight="1" x14ac:dyDescent="0.2">
      <c r="A3383" s="99"/>
      <c r="B3383" s="99"/>
      <c r="C3383" s="102"/>
      <c r="D3383" s="102"/>
      <c r="E3383" s="102"/>
      <c r="F3383" s="102"/>
      <c r="G3383" s="102"/>
      <c r="H3383" s="102"/>
      <c r="I3383" s="102"/>
      <c r="J3383" s="102"/>
      <c r="K3383" s="102"/>
      <c r="L3383" s="102"/>
      <c r="M3383" s="102"/>
      <c r="N3383" s="102"/>
      <c r="O3383" s="102"/>
      <c r="P3383" s="102"/>
      <c r="Q3383" s="102"/>
      <c r="R3383" s="102"/>
    </row>
    <row r="3384" spans="1:18" ht="35.1" customHeight="1" x14ac:dyDescent="0.2">
      <c r="A3384" s="99"/>
      <c r="B3384" s="99"/>
      <c r="C3384" s="102"/>
      <c r="D3384" s="102"/>
      <c r="E3384" s="102"/>
      <c r="F3384" s="102"/>
      <c r="G3384" s="102"/>
      <c r="H3384" s="102"/>
      <c r="I3384" s="102"/>
      <c r="J3384" s="102"/>
      <c r="K3384" s="102"/>
      <c r="L3384" s="102"/>
      <c r="M3384" s="102"/>
      <c r="N3384" s="102"/>
      <c r="O3384" s="102"/>
      <c r="P3384" s="102"/>
      <c r="Q3384" s="102"/>
      <c r="R3384" s="102"/>
    </row>
    <row r="3385" spans="1:18" ht="35.1" customHeight="1" x14ac:dyDescent="0.2">
      <c r="A3385" s="99"/>
      <c r="B3385" s="99"/>
      <c r="C3385" s="102"/>
      <c r="D3385" s="102"/>
      <c r="E3385" s="102"/>
      <c r="F3385" s="102"/>
      <c r="G3385" s="102"/>
      <c r="H3385" s="102"/>
      <c r="I3385" s="102"/>
      <c r="J3385" s="102"/>
      <c r="K3385" s="102"/>
      <c r="L3385" s="102"/>
      <c r="M3385" s="102"/>
      <c r="N3385" s="102"/>
      <c r="O3385" s="102"/>
      <c r="P3385" s="102"/>
      <c r="Q3385" s="102"/>
      <c r="R3385" s="102"/>
    </row>
    <row r="3386" spans="1:18" ht="35.1" customHeight="1" x14ac:dyDescent="0.2">
      <c r="A3386" s="99"/>
      <c r="B3386" s="99"/>
      <c r="C3386" s="102"/>
      <c r="D3386" s="102"/>
      <c r="E3386" s="102"/>
      <c r="F3386" s="102"/>
      <c r="G3386" s="102"/>
      <c r="H3386" s="102"/>
      <c r="I3386" s="102"/>
      <c r="J3386" s="102"/>
      <c r="K3386" s="102"/>
      <c r="L3386" s="102"/>
      <c r="M3386" s="102"/>
      <c r="N3386" s="102"/>
      <c r="O3386" s="102"/>
      <c r="P3386" s="102"/>
      <c r="Q3386" s="102"/>
      <c r="R3386" s="102"/>
    </row>
    <row r="3387" spans="1:18" ht="35.1" customHeight="1" x14ac:dyDescent="0.2">
      <c r="A3387" s="99"/>
      <c r="B3387" s="99"/>
      <c r="C3387" s="102"/>
      <c r="D3387" s="102"/>
      <c r="E3387" s="102"/>
      <c r="F3387" s="102"/>
      <c r="G3387" s="102"/>
      <c r="H3387" s="102"/>
      <c r="I3387" s="102"/>
      <c r="J3387" s="102"/>
      <c r="K3387" s="102"/>
      <c r="L3387" s="102"/>
      <c r="M3387" s="102"/>
      <c r="N3387" s="102"/>
      <c r="O3387" s="102"/>
      <c r="P3387" s="102"/>
      <c r="Q3387" s="102"/>
      <c r="R3387" s="102"/>
    </row>
    <row r="3388" spans="1:18" ht="35.1" customHeight="1" x14ac:dyDescent="0.2">
      <c r="A3388" s="99"/>
      <c r="B3388" s="99"/>
      <c r="C3388" s="102"/>
      <c r="D3388" s="102"/>
      <c r="E3388" s="102"/>
      <c r="F3388" s="102"/>
      <c r="G3388" s="102"/>
      <c r="H3388" s="102"/>
      <c r="I3388" s="102"/>
      <c r="J3388" s="102"/>
      <c r="K3388" s="102"/>
      <c r="L3388" s="102"/>
      <c r="M3388" s="102"/>
      <c r="N3388" s="102"/>
      <c r="O3388" s="102"/>
      <c r="P3388" s="102"/>
      <c r="Q3388" s="102"/>
      <c r="R3388" s="102"/>
    </row>
    <row r="3389" spans="1:18" ht="35.1" customHeight="1" x14ac:dyDescent="0.2">
      <c r="A3389" s="99"/>
      <c r="B3389" s="99"/>
      <c r="C3389" s="102"/>
      <c r="D3389" s="102"/>
      <c r="E3389" s="102"/>
      <c r="F3389" s="102"/>
      <c r="G3389" s="102"/>
      <c r="H3389" s="102"/>
      <c r="I3389" s="102"/>
      <c r="J3389" s="102"/>
      <c r="K3389" s="102"/>
      <c r="L3389" s="102"/>
      <c r="M3389" s="102"/>
      <c r="N3389" s="102"/>
      <c r="O3389" s="102"/>
      <c r="P3389" s="102"/>
      <c r="Q3389" s="102"/>
      <c r="R3389" s="102"/>
    </row>
    <row r="3390" spans="1:18" ht="35.1" customHeight="1" x14ac:dyDescent="0.2">
      <c r="A3390" s="99"/>
      <c r="B3390" s="99"/>
      <c r="C3390" s="102"/>
      <c r="D3390" s="102"/>
      <c r="E3390" s="102"/>
      <c r="F3390" s="102"/>
      <c r="G3390" s="102"/>
      <c r="H3390" s="102"/>
      <c r="I3390" s="102"/>
      <c r="J3390" s="102"/>
      <c r="K3390" s="102"/>
      <c r="L3390" s="102"/>
      <c r="M3390" s="102"/>
      <c r="N3390" s="102"/>
      <c r="O3390" s="102"/>
      <c r="P3390" s="102"/>
      <c r="Q3390" s="102"/>
      <c r="R3390" s="102"/>
    </row>
    <row r="3391" spans="1:18" ht="35.1" customHeight="1" x14ac:dyDescent="0.2">
      <c r="A3391" s="99"/>
      <c r="B3391" s="99"/>
      <c r="C3391" s="102"/>
      <c r="D3391" s="102"/>
      <c r="E3391" s="102"/>
      <c r="F3391" s="102"/>
      <c r="G3391" s="102"/>
      <c r="H3391" s="102"/>
      <c r="I3391" s="102"/>
      <c r="J3391" s="102"/>
      <c r="K3391" s="102"/>
      <c r="L3391" s="102"/>
      <c r="M3391" s="102"/>
      <c r="N3391" s="102"/>
      <c r="O3391" s="102"/>
      <c r="P3391" s="102"/>
      <c r="Q3391" s="102"/>
      <c r="R3391" s="102"/>
    </row>
    <row r="3392" spans="1:18" ht="35.1" customHeight="1" x14ac:dyDescent="0.2">
      <c r="A3392" s="99"/>
      <c r="B3392" s="99"/>
      <c r="C3392" s="102"/>
      <c r="D3392" s="102"/>
      <c r="E3392" s="102"/>
      <c r="F3392" s="102"/>
      <c r="G3392" s="102"/>
      <c r="H3392" s="102"/>
      <c r="I3392" s="102"/>
      <c r="J3392" s="102"/>
      <c r="K3392" s="102"/>
      <c r="L3392" s="102"/>
      <c r="M3392" s="102"/>
      <c r="N3392" s="102"/>
      <c r="O3392" s="102"/>
      <c r="P3392" s="102"/>
      <c r="Q3392" s="102"/>
      <c r="R3392" s="102"/>
    </row>
    <row r="3393" spans="1:18" ht="35.1" customHeight="1" x14ac:dyDescent="0.2">
      <c r="A3393" s="99"/>
      <c r="B3393" s="99"/>
      <c r="C3393" s="102"/>
      <c r="D3393" s="102"/>
      <c r="E3393" s="102"/>
      <c r="F3393" s="102"/>
      <c r="G3393" s="102"/>
      <c r="H3393" s="102"/>
      <c r="I3393" s="102"/>
      <c r="J3393" s="102"/>
      <c r="K3393" s="102"/>
      <c r="L3393" s="102"/>
      <c r="M3393" s="102"/>
      <c r="N3393" s="102"/>
      <c r="O3393" s="102"/>
      <c r="P3393" s="102"/>
      <c r="Q3393" s="102"/>
      <c r="R3393" s="102"/>
    </row>
    <row r="3394" spans="1:18" ht="35.1" customHeight="1" x14ac:dyDescent="0.2">
      <c r="A3394" s="99"/>
      <c r="B3394" s="99"/>
      <c r="C3394" s="102"/>
      <c r="D3394" s="102"/>
      <c r="E3394" s="102"/>
      <c r="F3394" s="102"/>
      <c r="G3394" s="102"/>
      <c r="H3394" s="102"/>
      <c r="I3394" s="102"/>
      <c r="J3394" s="102"/>
      <c r="K3394" s="102"/>
      <c r="L3394" s="102"/>
      <c r="M3394" s="102"/>
      <c r="N3394" s="102"/>
      <c r="O3394" s="102"/>
      <c r="P3394" s="102"/>
      <c r="Q3394" s="102"/>
      <c r="R3394" s="102"/>
    </row>
    <row r="3395" spans="1:18" ht="35.1" customHeight="1" x14ac:dyDescent="0.2">
      <c r="A3395" s="99"/>
      <c r="B3395" s="99"/>
      <c r="C3395" s="102"/>
      <c r="D3395" s="102"/>
      <c r="E3395" s="102"/>
      <c r="F3395" s="102"/>
      <c r="G3395" s="102"/>
      <c r="H3395" s="102"/>
      <c r="I3395" s="102"/>
      <c r="J3395" s="102"/>
      <c r="K3395" s="102"/>
      <c r="L3395" s="102"/>
      <c r="M3395" s="102"/>
      <c r="N3395" s="102"/>
      <c r="O3395" s="102"/>
      <c r="P3395" s="102"/>
      <c r="Q3395" s="102"/>
      <c r="R3395" s="102"/>
    </row>
    <row r="3396" spans="1:18" ht="35.1" customHeight="1" x14ac:dyDescent="0.2">
      <c r="A3396" s="99"/>
      <c r="B3396" s="99"/>
      <c r="C3396" s="102"/>
      <c r="D3396" s="102"/>
      <c r="E3396" s="102"/>
      <c r="F3396" s="102"/>
      <c r="G3396" s="102"/>
      <c r="H3396" s="102"/>
      <c r="I3396" s="102"/>
      <c r="J3396" s="102"/>
      <c r="K3396" s="102"/>
      <c r="L3396" s="102"/>
      <c r="M3396" s="102"/>
      <c r="N3396" s="102"/>
      <c r="O3396" s="102"/>
      <c r="P3396" s="102"/>
      <c r="Q3396" s="102"/>
      <c r="R3396" s="102"/>
    </row>
    <row r="3397" spans="1:18" ht="35.1" customHeight="1" x14ac:dyDescent="0.2">
      <c r="A3397" s="99"/>
      <c r="B3397" s="99"/>
      <c r="C3397" s="102"/>
      <c r="D3397" s="102"/>
      <c r="E3397" s="102"/>
      <c r="F3397" s="102"/>
      <c r="G3397" s="102"/>
      <c r="H3397" s="102"/>
      <c r="I3397" s="102"/>
      <c r="J3397" s="102"/>
      <c r="K3397" s="102"/>
      <c r="L3397" s="102"/>
      <c r="M3397" s="102"/>
      <c r="N3397" s="102"/>
      <c r="O3397" s="102"/>
      <c r="P3397" s="102"/>
      <c r="Q3397" s="102"/>
      <c r="R3397" s="102"/>
    </row>
    <row r="3398" spans="1:18" ht="35.1" customHeight="1" x14ac:dyDescent="0.2">
      <c r="A3398" s="99"/>
      <c r="B3398" s="99"/>
      <c r="C3398" s="102"/>
      <c r="D3398" s="102"/>
      <c r="E3398" s="102"/>
      <c r="F3398" s="102"/>
      <c r="G3398" s="102"/>
      <c r="H3398" s="102"/>
      <c r="I3398" s="102"/>
      <c r="J3398" s="102"/>
      <c r="K3398" s="102"/>
      <c r="L3398" s="102"/>
      <c r="M3398" s="102"/>
      <c r="N3398" s="102"/>
      <c r="O3398" s="102"/>
      <c r="P3398" s="102"/>
      <c r="Q3398" s="102"/>
      <c r="R3398" s="102"/>
    </row>
    <row r="3399" spans="1:18" ht="35.1" customHeight="1" x14ac:dyDescent="0.2">
      <c r="A3399" s="99"/>
      <c r="B3399" s="99"/>
      <c r="C3399" s="102"/>
      <c r="D3399" s="102"/>
      <c r="E3399" s="102"/>
      <c r="F3399" s="102"/>
      <c r="G3399" s="102"/>
      <c r="H3399" s="102"/>
      <c r="I3399" s="102"/>
      <c r="J3399" s="102"/>
      <c r="K3399" s="102"/>
      <c r="L3399" s="102"/>
      <c r="M3399" s="102"/>
      <c r="N3399" s="102"/>
      <c r="O3399" s="102"/>
      <c r="P3399" s="102"/>
      <c r="Q3399" s="102"/>
      <c r="R3399" s="102"/>
    </row>
    <row r="3400" spans="1:18" ht="35.1" customHeight="1" x14ac:dyDescent="0.2">
      <c r="A3400" s="99"/>
      <c r="B3400" s="99"/>
      <c r="C3400" s="102"/>
      <c r="D3400" s="102"/>
      <c r="E3400" s="102"/>
      <c r="F3400" s="102"/>
      <c r="G3400" s="102"/>
      <c r="H3400" s="102"/>
      <c r="I3400" s="102"/>
      <c r="J3400" s="102"/>
      <c r="K3400" s="102"/>
      <c r="L3400" s="102"/>
      <c r="M3400" s="102"/>
      <c r="N3400" s="102"/>
      <c r="O3400" s="102"/>
      <c r="P3400" s="102"/>
      <c r="Q3400" s="102"/>
      <c r="R3400" s="102"/>
    </row>
    <row r="3401" spans="1:18" ht="35.1" customHeight="1" x14ac:dyDescent="0.2">
      <c r="A3401" s="99"/>
      <c r="B3401" s="99"/>
      <c r="C3401" s="102"/>
      <c r="D3401" s="102"/>
      <c r="E3401" s="102"/>
      <c r="F3401" s="102"/>
      <c r="G3401" s="102"/>
      <c r="H3401" s="102"/>
      <c r="I3401" s="102"/>
      <c r="J3401" s="102"/>
      <c r="K3401" s="102"/>
      <c r="L3401" s="102"/>
      <c r="M3401" s="102"/>
      <c r="N3401" s="102"/>
      <c r="O3401" s="102"/>
      <c r="P3401" s="102"/>
      <c r="Q3401" s="102"/>
      <c r="R3401" s="102"/>
    </row>
    <row r="3402" spans="1:18" ht="35.1" customHeight="1" x14ac:dyDescent="0.2">
      <c r="A3402" s="99"/>
      <c r="B3402" s="99"/>
      <c r="C3402" s="102"/>
      <c r="D3402" s="102"/>
      <c r="E3402" s="102"/>
      <c r="F3402" s="102"/>
      <c r="G3402" s="102"/>
      <c r="H3402" s="102"/>
      <c r="I3402" s="102"/>
      <c r="J3402" s="102"/>
      <c r="K3402" s="102"/>
      <c r="L3402" s="102"/>
      <c r="M3402" s="102"/>
      <c r="N3402" s="102"/>
      <c r="O3402" s="102"/>
      <c r="P3402" s="102"/>
      <c r="Q3402" s="102"/>
      <c r="R3402" s="102"/>
    </row>
    <row r="3403" spans="1:18" ht="35.1" customHeight="1" x14ac:dyDescent="0.2">
      <c r="A3403" s="99"/>
      <c r="B3403" s="99"/>
      <c r="C3403" s="102"/>
      <c r="D3403" s="102"/>
      <c r="E3403" s="102"/>
      <c r="F3403" s="102"/>
      <c r="G3403" s="102"/>
      <c r="H3403" s="102"/>
      <c r="I3403" s="102"/>
      <c r="J3403" s="102"/>
      <c r="K3403" s="102"/>
      <c r="L3403" s="102"/>
      <c r="M3403" s="102"/>
      <c r="N3403" s="102"/>
      <c r="O3403" s="102"/>
      <c r="P3403" s="102"/>
      <c r="Q3403" s="102"/>
      <c r="R3403" s="102"/>
    </row>
    <row r="3404" spans="1:18" ht="35.1" customHeight="1" x14ac:dyDescent="0.2">
      <c r="A3404" s="99"/>
      <c r="B3404" s="99"/>
      <c r="C3404" s="102"/>
      <c r="D3404" s="102"/>
      <c r="E3404" s="102"/>
      <c r="F3404" s="102"/>
      <c r="G3404" s="102"/>
      <c r="H3404" s="102"/>
      <c r="I3404" s="102"/>
      <c r="J3404" s="102"/>
      <c r="K3404" s="102"/>
      <c r="L3404" s="102"/>
      <c r="M3404" s="102"/>
      <c r="N3404" s="102"/>
      <c r="O3404" s="102"/>
      <c r="P3404" s="102"/>
      <c r="Q3404" s="102"/>
      <c r="R3404" s="102"/>
    </row>
    <row r="3405" spans="1:18" ht="35.1" customHeight="1" x14ac:dyDescent="0.2">
      <c r="A3405" s="99"/>
      <c r="B3405" s="99"/>
      <c r="C3405" s="102"/>
      <c r="D3405" s="102"/>
      <c r="E3405" s="102"/>
      <c r="F3405" s="102"/>
      <c r="G3405" s="102"/>
      <c r="H3405" s="102"/>
      <c r="I3405" s="102"/>
      <c r="J3405" s="102"/>
      <c r="K3405" s="102"/>
      <c r="L3405" s="102"/>
      <c r="M3405" s="102"/>
      <c r="N3405" s="102"/>
      <c r="O3405" s="102"/>
      <c r="P3405" s="102"/>
      <c r="Q3405" s="102"/>
      <c r="R3405" s="102"/>
    </row>
    <row r="3406" spans="1:18" ht="35.1" customHeight="1" x14ac:dyDescent="0.2">
      <c r="A3406" s="99"/>
      <c r="B3406" s="99"/>
      <c r="C3406" s="102"/>
      <c r="D3406" s="102"/>
      <c r="E3406" s="102"/>
      <c r="F3406" s="102"/>
      <c r="G3406" s="102"/>
      <c r="H3406" s="102"/>
      <c r="I3406" s="102"/>
      <c r="J3406" s="102"/>
      <c r="K3406" s="102"/>
      <c r="L3406" s="102"/>
      <c r="M3406" s="102"/>
      <c r="N3406" s="102"/>
      <c r="O3406" s="102"/>
      <c r="P3406" s="102"/>
      <c r="Q3406" s="102"/>
      <c r="R3406" s="102"/>
    </row>
    <row r="3407" spans="1:18" ht="35.1" customHeight="1" x14ac:dyDescent="0.2">
      <c r="A3407" s="99"/>
      <c r="B3407" s="99"/>
      <c r="C3407" s="102"/>
      <c r="D3407" s="102"/>
      <c r="E3407" s="102"/>
      <c r="F3407" s="102"/>
      <c r="G3407" s="102"/>
      <c r="H3407" s="102"/>
      <c r="I3407" s="102"/>
      <c r="J3407" s="102"/>
      <c r="K3407" s="102"/>
      <c r="L3407" s="102"/>
      <c r="M3407" s="102"/>
      <c r="N3407" s="102"/>
      <c r="O3407" s="102"/>
      <c r="P3407" s="102"/>
      <c r="Q3407" s="102"/>
      <c r="R3407" s="102"/>
    </row>
    <row r="3408" spans="1:18" ht="35.1" customHeight="1" x14ac:dyDescent="0.2">
      <c r="A3408" s="99"/>
      <c r="B3408" s="99"/>
      <c r="C3408" s="102"/>
      <c r="D3408" s="102"/>
      <c r="E3408" s="102"/>
      <c r="F3408" s="102"/>
      <c r="G3408" s="102"/>
      <c r="H3408" s="102"/>
      <c r="I3408" s="102"/>
      <c r="J3408" s="102"/>
      <c r="K3408" s="102"/>
      <c r="L3408" s="102"/>
      <c r="M3408" s="102"/>
      <c r="N3408" s="102"/>
      <c r="O3408" s="102"/>
      <c r="P3408" s="102"/>
      <c r="Q3408" s="102"/>
      <c r="R3408" s="102"/>
    </row>
    <row r="3409" spans="1:18" ht="35.1" customHeight="1" x14ac:dyDescent="0.2">
      <c r="A3409" s="99"/>
      <c r="B3409" s="99"/>
      <c r="C3409" s="102"/>
      <c r="D3409" s="102"/>
      <c r="E3409" s="102"/>
      <c r="F3409" s="102"/>
      <c r="G3409" s="102"/>
      <c r="H3409" s="102"/>
      <c r="I3409" s="102"/>
      <c r="J3409" s="102"/>
      <c r="K3409" s="102"/>
      <c r="L3409" s="102"/>
      <c r="M3409" s="102"/>
      <c r="N3409" s="102"/>
      <c r="O3409" s="102"/>
      <c r="P3409" s="102"/>
      <c r="Q3409" s="102"/>
      <c r="R3409" s="102"/>
    </row>
    <row r="3410" spans="1:18" ht="35.1" customHeight="1" x14ac:dyDescent="0.2">
      <c r="A3410" s="99"/>
      <c r="B3410" s="99"/>
      <c r="C3410" s="102"/>
      <c r="D3410" s="102"/>
      <c r="E3410" s="102"/>
      <c r="F3410" s="102"/>
      <c r="G3410" s="102"/>
      <c r="H3410" s="102"/>
      <c r="I3410" s="102"/>
      <c r="J3410" s="102"/>
      <c r="K3410" s="102"/>
      <c r="L3410" s="102"/>
      <c r="M3410" s="102"/>
      <c r="N3410" s="102"/>
      <c r="O3410" s="102"/>
      <c r="P3410" s="102"/>
      <c r="Q3410" s="102"/>
      <c r="R3410" s="102"/>
    </row>
    <row r="3411" spans="1:18" ht="35.1" customHeight="1" x14ac:dyDescent="0.2">
      <c r="A3411" s="99"/>
      <c r="B3411" s="99"/>
      <c r="C3411" s="102"/>
      <c r="D3411" s="102"/>
      <c r="E3411" s="102"/>
      <c r="F3411" s="102"/>
      <c r="G3411" s="102"/>
      <c r="H3411" s="102"/>
      <c r="I3411" s="102"/>
      <c r="J3411" s="102"/>
      <c r="K3411" s="102"/>
      <c r="L3411" s="102"/>
      <c r="M3411" s="102"/>
      <c r="N3411" s="102"/>
      <c r="O3411" s="102"/>
      <c r="P3411" s="102"/>
      <c r="Q3411" s="102"/>
      <c r="R3411" s="102"/>
    </row>
    <row r="3412" spans="1:18" ht="35.1" customHeight="1" x14ac:dyDescent="0.2">
      <c r="A3412" s="99"/>
      <c r="B3412" s="99"/>
      <c r="C3412" s="102"/>
      <c r="D3412" s="102"/>
      <c r="E3412" s="102"/>
      <c r="F3412" s="102"/>
      <c r="G3412" s="102"/>
      <c r="H3412" s="102"/>
      <c r="I3412" s="102"/>
      <c r="J3412" s="102"/>
      <c r="K3412" s="102"/>
      <c r="L3412" s="102"/>
      <c r="M3412" s="102"/>
      <c r="N3412" s="102"/>
      <c r="O3412" s="102"/>
      <c r="P3412" s="102"/>
      <c r="Q3412" s="102"/>
      <c r="R3412" s="102"/>
    </row>
    <row r="3413" spans="1:18" ht="35.1" customHeight="1" x14ac:dyDescent="0.2">
      <c r="A3413" s="99"/>
      <c r="B3413" s="99"/>
      <c r="C3413" s="102"/>
      <c r="D3413" s="102"/>
      <c r="E3413" s="102"/>
      <c r="F3413" s="102"/>
      <c r="G3413" s="102"/>
      <c r="H3413" s="102"/>
      <c r="I3413" s="102"/>
      <c r="J3413" s="102"/>
      <c r="K3413" s="102"/>
      <c r="L3413" s="102"/>
      <c r="M3413" s="102"/>
      <c r="N3413" s="102"/>
      <c r="O3413" s="102"/>
      <c r="P3413" s="102"/>
      <c r="Q3413" s="102"/>
      <c r="R3413" s="102"/>
    </row>
    <row r="3414" spans="1:18" ht="35.1" customHeight="1" x14ac:dyDescent="0.2">
      <c r="A3414" s="99"/>
      <c r="B3414" s="99"/>
      <c r="C3414" s="102"/>
      <c r="D3414" s="102"/>
      <c r="E3414" s="102"/>
      <c r="F3414" s="102"/>
      <c r="G3414" s="102"/>
      <c r="H3414" s="102"/>
      <c r="I3414" s="102"/>
      <c r="J3414" s="102"/>
      <c r="K3414" s="102"/>
      <c r="L3414" s="102"/>
      <c r="M3414" s="102"/>
      <c r="N3414" s="102"/>
      <c r="O3414" s="102"/>
      <c r="P3414" s="102"/>
      <c r="Q3414" s="102"/>
      <c r="R3414" s="102"/>
    </row>
    <row r="3415" spans="1:18" ht="35.1" customHeight="1" x14ac:dyDescent="0.2">
      <c r="A3415" s="99"/>
      <c r="B3415" s="99"/>
      <c r="C3415" s="102"/>
      <c r="D3415" s="102"/>
      <c r="E3415" s="102"/>
      <c r="F3415" s="102"/>
      <c r="G3415" s="102"/>
      <c r="H3415" s="102"/>
      <c r="I3415" s="102"/>
      <c r="J3415" s="102"/>
      <c r="K3415" s="102"/>
      <c r="L3415" s="102"/>
      <c r="M3415" s="102"/>
      <c r="N3415" s="102"/>
      <c r="O3415" s="102"/>
      <c r="P3415" s="102"/>
      <c r="Q3415" s="102"/>
      <c r="R3415" s="102"/>
    </row>
    <row r="3416" spans="1:18" ht="35.1" customHeight="1" x14ac:dyDescent="0.2">
      <c r="A3416" s="99"/>
      <c r="B3416" s="99"/>
      <c r="C3416" s="102"/>
      <c r="D3416" s="102"/>
      <c r="E3416" s="102"/>
      <c r="F3416" s="102"/>
      <c r="G3416" s="102"/>
      <c r="H3416" s="102"/>
      <c r="I3416" s="102"/>
      <c r="J3416" s="102"/>
      <c r="K3416" s="102"/>
      <c r="L3416" s="102"/>
      <c r="M3416" s="102"/>
      <c r="N3416" s="102"/>
      <c r="O3416" s="102"/>
      <c r="P3416" s="102"/>
      <c r="Q3416" s="102"/>
      <c r="R3416" s="102"/>
    </row>
    <row r="3417" spans="1:18" ht="35.1" customHeight="1" x14ac:dyDescent="0.2">
      <c r="A3417" s="99"/>
      <c r="B3417" s="99"/>
      <c r="C3417" s="102"/>
      <c r="D3417" s="102"/>
      <c r="E3417" s="102"/>
      <c r="F3417" s="102"/>
      <c r="G3417" s="102"/>
      <c r="H3417" s="102"/>
      <c r="I3417" s="102"/>
      <c r="J3417" s="102"/>
      <c r="K3417" s="102"/>
      <c r="L3417" s="102"/>
      <c r="M3417" s="102"/>
      <c r="N3417" s="102"/>
      <c r="O3417" s="102"/>
      <c r="P3417" s="102"/>
      <c r="Q3417" s="102"/>
      <c r="R3417" s="102"/>
    </row>
    <row r="3418" spans="1:18" ht="35.1" customHeight="1" x14ac:dyDescent="0.2">
      <c r="A3418" s="99"/>
      <c r="B3418" s="99"/>
      <c r="C3418" s="102"/>
      <c r="D3418" s="102"/>
      <c r="E3418" s="102"/>
      <c r="F3418" s="102"/>
      <c r="G3418" s="102"/>
      <c r="H3418" s="102"/>
      <c r="I3418" s="102"/>
      <c r="J3418" s="102"/>
      <c r="K3418" s="102"/>
      <c r="L3418" s="102"/>
      <c r="M3418" s="102"/>
      <c r="N3418" s="102"/>
      <c r="O3418" s="102"/>
      <c r="P3418" s="102"/>
      <c r="Q3418" s="102"/>
      <c r="R3418" s="102"/>
    </row>
    <row r="3419" spans="1:18" ht="35.1" customHeight="1" x14ac:dyDescent="0.2">
      <c r="A3419" s="99"/>
      <c r="B3419" s="99"/>
      <c r="C3419" s="102"/>
      <c r="D3419" s="102"/>
      <c r="E3419" s="102"/>
      <c r="F3419" s="102"/>
      <c r="G3419" s="102"/>
      <c r="H3419" s="102"/>
      <c r="I3419" s="102"/>
      <c r="J3419" s="102"/>
      <c r="K3419" s="102"/>
      <c r="L3419" s="102"/>
      <c r="M3419" s="102"/>
      <c r="N3419" s="102"/>
      <c r="O3419" s="102"/>
      <c r="P3419" s="102"/>
      <c r="Q3419" s="102"/>
      <c r="R3419" s="102"/>
    </row>
    <row r="3420" spans="1:18" ht="35.1" customHeight="1" x14ac:dyDescent="0.2">
      <c r="A3420" s="99"/>
      <c r="B3420" s="99"/>
      <c r="C3420" s="102"/>
      <c r="D3420" s="102"/>
      <c r="E3420" s="102"/>
      <c r="F3420" s="102"/>
      <c r="G3420" s="102"/>
      <c r="H3420" s="102"/>
      <c r="I3420" s="102"/>
      <c r="J3420" s="102"/>
      <c r="K3420" s="102"/>
      <c r="L3420" s="102"/>
      <c r="M3420" s="102"/>
      <c r="N3420" s="102"/>
      <c r="O3420" s="102"/>
      <c r="P3420" s="102"/>
      <c r="Q3420" s="102"/>
      <c r="R3420" s="102"/>
    </row>
    <row r="3421" spans="1:18" ht="35.1" customHeight="1" x14ac:dyDescent="0.2">
      <c r="A3421" s="99"/>
      <c r="B3421" s="99"/>
      <c r="C3421" s="102"/>
      <c r="D3421" s="102"/>
      <c r="E3421" s="102"/>
      <c r="F3421" s="102"/>
      <c r="G3421" s="102"/>
      <c r="H3421" s="102"/>
      <c r="I3421" s="102"/>
      <c r="J3421" s="102"/>
      <c r="K3421" s="102"/>
      <c r="L3421" s="102"/>
      <c r="M3421" s="102"/>
      <c r="N3421" s="102"/>
      <c r="O3421" s="102"/>
      <c r="P3421" s="102"/>
      <c r="Q3421" s="102"/>
      <c r="R3421" s="102"/>
    </row>
    <row r="3422" spans="1:18" ht="35.1" customHeight="1" x14ac:dyDescent="0.2">
      <c r="A3422" s="99"/>
      <c r="B3422" s="99"/>
      <c r="C3422" s="102"/>
      <c r="D3422" s="102"/>
      <c r="E3422" s="102"/>
      <c r="F3422" s="102"/>
      <c r="G3422" s="102"/>
      <c r="H3422" s="102"/>
      <c r="I3422" s="102"/>
      <c r="J3422" s="102"/>
      <c r="K3422" s="102"/>
      <c r="L3422" s="102"/>
      <c r="M3422" s="102"/>
      <c r="N3422" s="102"/>
      <c r="O3422" s="102"/>
      <c r="P3422" s="102"/>
      <c r="Q3422" s="102"/>
      <c r="R3422" s="102"/>
    </row>
    <row r="3423" spans="1:18" ht="35.1" customHeight="1" x14ac:dyDescent="0.2">
      <c r="A3423" s="99"/>
      <c r="B3423" s="99"/>
      <c r="C3423" s="102"/>
      <c r="D3423" s="102"/>
      <c r="E3423" s="102"/>
      <c r="F3423" s="102"/>
      <c r="G3423" s="102"/>
      <c r="H3423" s="102"/>
      <c r="I3423" s="102"/>
      <c r="J3423" s="102"/>
      <c r="K3423" s="102"/>
      <c r="L3423" s="102"/>
      <c r="M3423" s="102"/>
      <c r="N3423" s="102"/>
      <c r="O3423" s="102"/>
      <c r="P3423" s="102"/>
      <c r="Q3423" s="102"/>
      <c r="R3423" s="102"/>
    </row>
    <row r="3424" spans="1:18" ht="35.1" customHeight="1" x14ac:dyDescent="0.2">
      <c r="A3424" s="99"/>
      <c r="B3424" s="99"/>
      <c r="C3424" s="102"/>
      <c r="D3424" s="102"/>
      <c r="E3424" s="102"/>
      <c r="F3424" s="102"/>
      <c r="G3424" s="102"/>
      <c r="H3424" s="102"/>
      <c r="I3424" s="102"/>
      <c r="J3424" s="102"/>
      <c r="K3424" s="102"/>
      <c r="L3424" s="102"/>
      <c r="M3424" s="102"/>
      <c r="N3424" s="102"/>
      <c r="O3424" s="102"/>
      <c r="P3424" s="102"/>
      <c r="Q3424" s="102"/>
      <c r="R3424" s="102"/>
    </row>
    <row r="3425" spans="1:18" ht="35.1" customHeight="1" x14ac:dyDescent="0.2">
      <c r="A3425" s="99"/>
      <c r="B3425" s="99"/>
      <c r="C3425" s="102"/>
      <c r="D3425" s="102"/>
      <c r="E3425" s="102"/>
      <c r="F3425" s="102"/>
      <c r="G3425" s="102"/>
      <c r="H3425" s="102"/>
      <c r="I3425" s="102"/>
      <c r="J3425" s="102"/>
      <c r="K3425" s="102"/>
      <c r="L3425" s="102"/>
      <c r="M3425" s="102"/>
      <c r="N3425" s="102"/>
      <c r="O3425" s="102"/>
      <c r="P3425" s="102"/>
      <c r="Q3425" s="102"/>
      <c r="R3425" s="102"/>
    </row>
    <row r="3426" spans="1:18" ht="35.1" customHeight="1" x14ac:dyDescent="0.2">
      <c r="A3426" s="99"/>
      <c r="B3426" s="99"/>
      <c r="C3426" s="102"/>
      <c r="D3426" s="102"/>
      <c r="E3426" s="102"/>
      <c r="F3426" s="102"/>
      <c r="G3426" s="102"/>
      <c r="H3426" s="102"/>
      <c r="I3426" s="102"/>
      <c r="J3426" s="102"/>
      <c r="K3426" s="102"/>
      <c r="L3426" s="102"/>
      <c r="M3426" s="102"/>
      <c r="N3426" s="102"/>
      <c r="O3426" s="102"/>
      <c r="P3426" s="102"/>
      <c r="Q3426" s="102"/>
      <c r="R3426" s="102"/>
    </row>
    <row r="3427" spans="1:18" ht="35.1" customHeight="1" x14ac:dyDescent="0.2">
      <c r="A3427" s="99"/>
      <c r="B3427" s="99"/>
      <c r="C3427" s="102"/>
      <c r="D3427" s="102"/>
      <c r="E3427" s="102"/>
      <c r="F3427" s="102"/>
      <c r="G3427" s="102"/>
      <c r="H3427" s="102"/>
      <c r="I3427" s="102"/>
      <c r="J3427" s="102"/>
      <c r="K3427" s="102"/>
      <c r="L3427" s="102"/>
      <c r="M3427" s="102"/>
      <c r="N3427" s="102"/>
      <c r="O3427" s="102"/>
      <c r="P3427" s="102"/>
      <c r="Q3427" s="102"/>
      <c r="R3427" s="102"/>
    </row>
    <row r="3428" spans="1:18" ht="35.1" customHeight="1" x14ac:dyDescent="0.2">
      <c r="A3428" s="99"/>
      <c r="B3428" s="99"/>
      <c r="C3428" s="102"/>
      <c r="D3428" s="102"/>
      <c r="E3428" s="102"/>
      <c r="F3428" s="102"/>
      <c r="G3428" s="102"/>
      <c r="H3428" s="102"/>
      <c r="I3428" s="102"/>
      <c r="J3428" s="102"/>
      <c r="K3428" s="102"/>
      <c r="L3428" s="102"/>
      <c r="M3428" s="102"/>
      <c r="N3428" s="102"/>
      <c r="O3428" s="102"/>
      <c r="P3428" s="102"/>
      <c r="Q3428" s="102"/>
      <c r="R3428" s="102"/>
    </row>
    <row r="3429" spans="1:18" ht="35.1" customHeight="1" x14ac:dyDescent="0.2">
      <c r="A3429" s="99"/>
      <c r="B3429" s="99"/>
      <c r="C3429" s="102"/>
      <c r="D3429" s="102"/>
      <c r="E3429" s="102"/>
      <c r="F3429" s="102"/>
      <c r="G3429" s="102"/>
      <c r="H3429" s="102"/>
      <c r="I3429" s="102"/>
      <c r="J3429" s="102"/>
      <c r="K3429" s="102"/>
      <c r="L3429" s="102"/>
      <c r="M3429" s="102"/>
      <c r="N3429" s="102"/>
      <c r="O3429" s="102"/>
      <c r="P3429" s="102"/>
      <c r="Q3429" s="102"/>
      <c r="R3429" s="102"/>
    </row>
    <row r="3430" spans="1:18" ht="35.1" customHeight="1" x14ac:dyDescent="0.2">
      <c r="A3430" s="99"/>
      <c r="B3430" s="99"/>
      <c r="C3430" s="102"/>
      <c r="D3430" s="102"/>
      <c r="E3430" s="102"/>
      <c r="F3430" s="102"/>
      <c r="G3430" s="102"/>
      <c r="H3430" s="102"/>
      <c r="I3430" s="102"/>
      <c r="J3430" s="102"/>
      <c r="K3430" s="102"/>
      <c r="L3430" s="102"/>
      <c r="M3430" s="102"/>
      <c r="N3430" s="102"/>
      <c r="O3430" s="102"/>
      <c r="P3430" s="102"/>
      <c r="Q3430" s="102"/>
      <c r="R3430" s="102"/>
    </row>
    <row r="3431" spans="1:18" ht="35.1" customHeight="1" x14ac:dyDescent="0.2">
      <c r="A3431" s="99"/>
      <c r="B3431" s="99"/>
      <c r="C3431" s="102"/>
      <c r="D3431" s="102"/>
      <c r="E3431" s="102"/>
      <c r="F3431" s="102"/>
      <c r="G3431" s="102"/>
      <c r="H3431" s="102"/>
      <c r="I3431" s="102"/>
      <c r="J3431" s="102"/>
      <c r="K3431" s="102"/>
      <c r="L3431" s="102"/>
      <c r="M3431" s="102"/>
      <c r="N3431" s="102"/>
      <c r="O3431" s="102"/>
      <c r="P3431" s="102"/>
      <c r="Q3431" s="102"/>
      <c r="R3431" s="102"/>
    </row>
    <row r="3432" spans="1:18" ht="35.1" customHeight="1" x14ac:dyDescent="0.2">
      <c r="A3432" s="99"/>
      <c r="B3432" s="99"/>
      <c r="C3432" s="102"/>
      <c r="D3432" s="102"/>
      <c r="E3432" s="102"/>
      <c r="F3432" s="102"/>
      <c r="G3432" s="102"/>
      <c r="H3432" s="102"/>
      <c r="I3432" s="102"/>
      <c r="J3432" s="102"/>
      <c r="K3432" s="102"/>
      <c r="L3432" s="102"/>
      <c r="M3432" s="102"/>
      <c r="N3432" s="102"/>
      <c r="O3432" s="102"/>
      <c r="P3432" s="102"/>
      <c r="Q3432" s="102"/>
      <c r="R3432" s="102"/>
    </row>
    <row r="3433" spans="1:18" ht="35.1" customHeight="1" x14ac:dyDescent="0.2">
      <c r="A3433" s="99"/>
      <c r="B3433" s="99"/>
      <c r="C3433" s="102"/>
      <c r="D3433" s="102"/>
      <c r="E3433" s="102"/>
      <c r="F3433" s="102"/>
      <c r="G3433" s="102"/>
      <c r="H3433" s="102"/>
      <c r="I3433" s="102"/>
      <c r="J3433" s="102"/>
      <c r="K3433" s="102"/>
      <c r="L3433" s="102"/>
      <c r="M3433" s="102"/>
      <c r="N3433" s="102"/>
      <c r="O3433" s="102"/>
      <c r="P3433" s="102"/>
      <c r="Q3433" s="102"/>
      <c r="R3433" s="102"/>
    </row>
    <row r="3434" spans="1:18" ht="35.1" customHeight="1" x14ac:dyDescent="0.2">
      <c r="A3434" s="99"/>
      <c r="B3434" s="99"/>
      <c r="C3434" s="102"/>
      <c r="D3434" s="102"/>
      <c r="E3434" s="102"/>
      <c r="F3434" s="102"/>
      <c r="G3434" s="102"/>
      <c r="H3434" s="102"/>
      <c r="I3434" s="102"/>
      <c r="J3434" s="102"/>
      <c r="K3434" s="102"/>
      <c r="L3434" s="102"/>
      <c r="M3434" s="102"/>
      <c r="N3434" s="102"/>
      <c r="O3434" s="102"/>
      <c r="P3434" s="102"/>
      <c r="Q3434" s="102"/>
      <c r="R3434" s="102"/>
    </row>
    <row r="3435" spans="1:18" ht="35.1" customHeight="1" x14ac:dyDescent="0.2">
      <c r="A3435" s="99"/>
      <c r="B3435" s="99"/>
      <c r="C3435" s="102"/>
      <c r="D3435" s="102"/>
      <c r="E3435" s="102"/>
      <c r="F3435" s="102"/>
      <c r="G3435" s="102"/>
      <c r="H3435" s="102"/>
      <c r="I3435" s="102"/>
      <c r="J3435" s="102"/>
      <c r="K3435" s="102"/>
      <c r="L3435" s="102"/>
      <c r="M3435" s="102"/>
      <c r="N3435" s="102"/>
      <c r="O3435" s="102"/>
      <c r="P3435" s="102"/>
      <c r="Q3435" s="102"/>
      <c r="R3435" s="102"/>
    </row>
    <row r="3436" spans="1:18" ht="35.1" customHeight="1" x14ac:dyDescent="0.2">
      <c r="A3436" s="99"/>
      <c r="B3436" s="99"/>
      <c r="C3436" s="102"/>
      <c r="D3436" s="102"/>
      <c r="E3436" s="102"/>
      <c r="F3436" s="102"/>
      <c r="G3436" s="102"/>
      <c r="H3436" s="102"/>
      <c r="I3436" s="102"/>
      <c r="J3436" s="102"/>
      <c r="K3436" s="102"/>
      <c r="L3436" s="102"/>
      <c r="M3436" s="102"/>
      <c r="N3436" s="102"/>
      <c r="O3436" s="102"/>
      <c r="P3436" s="102"/>
      <c r="Q3436" s="102"/>
      <c r="R3436" s="102"/>
    </row>
    <row r="3437" spans="1:18" ht="35.1" customHeight="1" x14ac:dyDescent="0.2">
      <c r="A3437" s="99"/>
      <c r="B3437" s="99"/>
      <c r="C3437" s="102"/>
      <c r="D3437" s="102"/>
      <c r="E3437" s="102"/>
      <c r="F3437" s="102"/>
      <c r="G3437" s="102"/>
      <c r="H3437" s="102"/>
      <c r="I3437" s="102"/>
      <c r="J3437" s="102"/>
      <c r="K3437" s="102"/>
      <c r="L3437" s="102"/>
      <c r="M3437" s="102"/>
      <c r="N3437" s="102"/>
      <c r="O3437" s="102"/>
      <c r="P3437" s="102"/>
      <c r="Q3437" s="102"/>
      <c r="R3437" s="102"/>
    </row>
    <row r="3438" spans="1:18" ht="35.1" customHeight="1" x14ac:dyDescent="0.2">
      <c r="A3438" s="99"/>
      <c r="B3438" s="99"/>
      <c r="C3438" s="102"/>
      <c r="D3438" s="102"/>
      <c r="E3438" s="102"/>
      <c r="F3438" s="102"/>
      <c r="G3438" s="102"/>
      <c r="H3438" s="102"/>
      <c r="I3438" s="102"/>
      <c r="J3438" s="102"/>
      <c r="K3438" s="102"/>
      <c r="L3438" s="102"/>
      <c r="M3438" s="102"/>
      <c r="N3438" s="102"/>
      <c r="O3438" s="102"/>
      <c r="P3438" s="102"/>
      <c r="Q3438" s="102"/>
      <c r="R3438" s="102"/>
    </row>
    <row r="3439" spans="1:18" ht="35.1" customHeight="1" x14ac:dyDescent="0.2">
      <c r="A3439" s="99"/>
      <c r="B3439" s="99"/>
      <c r="C3439" s="102"/>
      <c r="D3439" s="102"/>
      <c r="E3439" s="102"/>
      <c r="F3439" s="102"/>
      <c r="G3439" s="102"/>
      <c r="H3439" s="102"/>
      <c r="I3439" s="102"/>
      <c r="J3439" s="102"/>
      <c r="K3439" s="102"/>
      <c r="L3439" s="102"/>
      <c r="M3439" s="102"/>
      <c r="N3439" s="102"/>
      <c r="O3439" s="102"/>
      <c r="P3439" s="102"/>
      <c r="Q3439" s="102"/>
      <c r="R3439" s="102"/>
    </row>
    <row r="3440" spans="1:18" ht="35.1" customHeight="1" x14ac:dyDescent="0.2">
      <c r="A3440" s="99"/>
      <c r="B3440" s="99"/>
      <c r="C3440" s="102"/>
      <c r="D3440" s="102"/>
      <c r="E3440" s="102"/>
      <c r="F3440" s="102"/>
      <c r="G3440" s="102"/>
      <c r="H3440" s="102"/>
      <c r="I3440" s="102"/>
      <c r="J3440" s="102"/>
      <c r="K3440" s="102"/>
      <c r="L3440" s="102"/>
      <c r="M3440" s="102"/>
      <c r="N3440" s="102"/>
      <c r="O3440" s="102"/>
      <c r="P3440" s="102"/>
      <c r="Q3440" s="102"/>
      <c r="R3440" s="102"/>
    </row>
    <row r="3441" spans="1:18" ht="35.1" customHeight="1" x14ac:dyDescent="0.2">
      <c r="A3441" s="99"/>
      <c r="B3441" s="99"/>
      <c r="C3441" s="102"/>
      <c r="D3441" s="102"/>
      <c r="E3441" s="102"/>
      <c r="F3441" s="102"/>
      <c r="G3441" s="102"/>
      <c r="H3441" s="102"/>
      <c r="I3441" s="102"/>
      <c r="J3441" s="102"/>
      <c r="K3441" s="102"/>
      <c r="L3441" s="102"/>
      <c r="M3441" s="102"/>
      <c r="N3441" s="102"/>
      <c r="O3441" s="102"/>
      <c r="P3441" s="102"/>
      <c r="Q3441" s="102"/>
      <c r="R3441" s="102"/>
    </row>
    <row r="3442" spans="1:18" ht="35.1" customHeight="1" x14ac:dyDescent="0.2">
      <c r="A3442" s="99"/>
      <c r="B3442" s="99"/>
      <c r="C3442" s="102"/>
      <c r="D3442" s="102"/>
      <c r="E3442" s="102"/>
      <c r="F3442" s="102"/>
      <c r="G3442" s="102"/>
      <c r="H3442" s="102"/>
      <c r="I3442" s="102"/>
      <c r="J3442" s="102"/>
      <c r="K3442" s="102"/>
      <c r="L3442" s="102"/>
      <c r="M3442" s="102"/>
      <c r="N3442" s="102"/>
      <c r="O3442" s="102"/>
      <c r="P3442" s="102"/>
      <c r="Q3442" s="102"/>
      <c r="R3442" s="102"/>
    </row>
    <row r="3443" spans="1:18" ht="35.1" customHeight="1" x14ac:dyDescent="0.2">
      <c r="A3443" s="99"/>
      <c r="B3443" s="99"/>
      <c r="C3443" s="102"/>
      <c r="D3443" s="102"/>
      <c r="E3443" s="102"/>
      <c r="F3443" s="102"/>
      <c r="G3443" s="102"/>
      <c r="H3443" s="102"/>
      <c r="I3443" s="102"/>
      <c r="J3443" s="102"/>
      <c r="K3443" s="102"/>
      <c r="L3443" s="102"/>
      <c r="M3443" s="102"/>
      <c r="N3443" s="102"/>
      <c r="O3443" s="102"/>
      <c r="P3443" s="102"/>
      <c r="Q3443" s="102"/>
      <c r="R3443" s="102"/>
    </row>
    <row r="3444" spans="1:18" ht="35.1" customHeight="1" x14ac:dyDescent="0.2">
      <c r="A3444" s="99"/>
      <c r="B3444" s="99"/>
      <c r="C3444" s="102"/>
      <c r="D3444" s="102"/>
      <c r="E3444" s="102"/>
      <c r="F3444" s="102"/>
      <c r="G3444" s="102"/>
      <c r="H3444" s="102"/>
      <c r="I3444" s="102"/>
      <c r="J3444" s="102"/>
      <c r="K3444" s="102"/>
      <c r="L3444" s="102"/>
      <c r="M3444" s="102"/>
      <c r="N3444" s="102"/>
      <c r="O3444" s="102"/>
      <c r="P3444" s="102"/>
      <c r="Q3444" s="102"/>
      <c r="R3444" s="102"/>
    </row>
    <row r="3445" spans="1:18" ht="35.1" customHeight="1" x14ac:dyDescent="0.2">
      <c r="A3445" s="99"/>
      <c r="B3445" s="99"/>
      <c r="C3445" s="102"/>
      <c r="D3445" s="102"/>
      <c r="E3445" s="102"/>
      <c r="F3445" s="102"/>
      <c r="G3445" s="102"/>
      <c r="H3445" s="102"/>
      <c r="I3445" s="102"/>
      <c r="J3445" s="102"/>
      <c r="K3445" s="102"/>
      <c r="L3445" s="102"/>
      <c r="M3445" s="102"/>
      <c r="N3445" s="102"/>
      <c r="O3445" s="102"/>
      <c r="P3445" s="102"/>
      <c r="Q3445" s="102"/>
      <c r="R3445" s="102"/>
    </row>
    <row r="3446" spans="1:18" ht="35.1" customHeight="1" x14ac:dyDescent="0.2">
      <c r="A3446" s="99"/>
      <c r="B3446" s="99"/>
      <c r="C3446" s="102"/>
      <c r="D3446" s="102"/>
      <c r="E3446" s="102"/>
      <c r="F3446" s="102"/>
      <c r="G3446" s="102"/>
      <c r="H3446" s="102"/>
      <c r="I3446" s="102"/>
      <c r="J3446" s="102"/>
      <c r="K3446" s="102"/>
      <c r="L3446" s="102"/>
      <c r="M3446" s="102"/>
      <c r="N3446" s="102"/>
      <c r="O3446" s="102"/>
      <c r="P3446" s="102"/>
      <c r="Q3446" s="102"/>
      <c r="R3446" s="102"/>
    </row>
    <row r="3447" spans="1:18" ht="35.1" customHeight="1" x14ac:dyDescent="0.2">
      <c r="A3447" s="99"/>
      <c r="B3447" s="99"/>
      <c r="C3447" s="102"/>
      <c r="D3447" s="102"/>
      <c r="E3447" s="102"/>
      <c r="F3447" s="102"/>
      <c r="G3447" s="102"/>
      <c r="H3447" s="102"/>
      <c r="I3447" s="102"/>
      <c r="J3447" s="102"/>
      <c r="K3447" s="102"/>
      <c r="L3447" s="102"/>
      <c r="M3447" s="102"/>
      <c r="N3447" s="102"/>
      <c r="O3447" s="102"/>
      <c r="P3447" s="102"/>
      <c r="Q3447" s="102"/>
      <c r="R3447" s="102"/>
    </row>
    <row r="3448" spans="1:18" ht="35.1" customHeight="1" x14ac:dyDescent="0.2">
      <c r="A3448" s="99"/>
      <c r="B3448" s="99"/>
      <c r="C3448" s="102"/>
      <c r="D3448" s="102"/>
      <c r="E3448" s="102"/>
      <c r="F3448" s="102"/>
      <c r="G3448" s="102"/>
      <c r="H3448" s="102"/>
      <c r="I3448" s="102"/>
      <c r="J3448" s="102"/>
      <c r="K3448" s="102"/>
      <c r="L3448" s="102"/>
      <c r="M3448" s="102"/>
      <c r="N3448" s="102"/>
      <c r="O3448" s="102"/>
      <c r="P3448" s="102"/>
      <c r="Q3448" s="102"/>
      <c r="R3448" s="102"/>
    </row>
    <row r="3449" spans="1:18" ht="35.1" customHeight="1" x14ac:dyDescent="0.2">
      <c r="A3449" s="99"/>
      <c r="B3449" s="99"/>
      <c r="C3449" s="102"/>
      <c r="D3449" s="102"/>
      <c r="E3449" s="102"/>
      <c r="F3449" s="102"/>
      <c r="G3449" s="102"/>
      <c r="H3449" s="102"/>
      <c r="I3449" s="102"/>
      <c r="J3449" s="102"/>
      <c r="K3449" s="102"/>
      <c r="L3449" s="102"/>
      <c r="M3449" s="102"/>
      <c r="N3449" s="102"/>
      <c r="O3449" s="102"/>
      <c r="P3449" s="102"/>
      <c r="Q3449" s="102"/>
      <c r="R3449" s="102"/>
    </row>
    <row r="3450" spans="1:18" ht="35.1" customHeight="1" x14ac:dyDescent="0.2">
      <c r="A3450" s="99"/>
      <c r="B3450" s="99"/>
      <c r="C3450" s="102"/>
      <c r="D3450" s="102"/>
      <c r="E3450" s="102"/>
      <c r="F3450" s="102"/>
      <c r="G3450" s="102"/>
      <c r="H3450" s="102"/>
      <c r="I3450" s="102"/>
      <c r="J3450" s="102"/>
      <c r="K3450" s="102"/>
      <c r="L3450" s="102"/>
      <c r="M3450" s="102"/>
      <c r="N3450" s="102"/>
      <c r="O3450" s="102"/>
      <c r="P3450" s="102"/>
      <c r="Q3450" s="102"/>
      <c r="R3450" s="102"/>
    </row>
    <row r="3451" spans="1:18" ht="35.1" customHeight="1" x14ac:dyDescent="0.2">
      <c r="A3451" s="99"/>
      <c r="B3451" s="99"/>
      <c r="C3451" s="102"/>
      <c r="D3451" s="102"/>
      <c r="E3451" s="102"/>
      <c r="F3451" s="102"/>
      <c r="G3451" s="102"/>
      <c r="H3451" s="102"/>
      <c r="I3451" s="102"/>
      <c r="J3451" s="102"/>
      <c r="K3451" s="102"/>
      <c r="L3451" s="102"/>
      <c r="M3451" s="102"/>
      <c r="N3451" s="102"/>
      <c r="O3451" s="102"/>
      <c r="P3451" s="102"/>
      <c r="Q3451" s="102"/>
      <c r="R3451" s="102"/>
    </row>
    <row r="3452" spans="1:18" ht="35.1" customHeight="1" x14ac:dyDescent="0.2">
      <c r="A3452" s="99"/>
      <c r="B3452" s="99"/>
      <c r="C3452" s="102"/>
      <c r="D3452" s="102"/>
      <c r="E3452" s="102"/>
      <c r="F3452" s="102"/>
      <c r="G3452" s="102"/>
      <c r="H3452" s="102"/>
      <c r="I3452" s="102"/>
      <c r="J3452" s="102"/>
      <c r="K3452" s="102"/>
      <c r="L3452" s="102"/>
      <c r="M3452" s="102"/>
      <c r="N3452" s="102"/>
      <c r="O3452" s="102"/>
      <c r="P3452" s="102"/>
      <c r="Q3452" s="102"/>
      <c r="R3452" s="102"/>
    </row>
    <row r="3453" spans="1:18" ht="35.1" customHeight="1" x14ac:dyDescent="0.2">
      <c r="A3453" s="99"/>
      <c r="B3453" s="99"/>
      <c r="C3453" s="102"/>
      <c r="D3453" s="102"/>
      <c r="E3453" s="102"/>
      <c r="F3453" s="102"/>
      <c r="G3453" s="102"/>
      <c r="H3453" s="102"/>
      <c r="I3453" s="102"/>
      <c r="J3453" s="102"/>
      <c r="K3453" s="102"/>
      <c r="L3453" s="102"/>
      <c r="M3453" s="102"/>
      <c r="N3453" s="102"/>
      <c r="O3453" s="102"/>
      <c r="P3453" s="102"/>
      <c r="Q3453" s="102"/>
      <c r="R3453" s="102"/>
    </row>
    <row r="3454" spans="1:18" ht="35.1" customHeight="1" x14ac:dyDescent="0.2">
      <c r="A3454" s="99"/>
      <c r="B3454" s="99"/>
      <c r="C3454" s="102"/>
      <c r="D3454" s="102"/>
      <c r="E3454" s="102"/>
      <c r="F3454" s="102"/>
      <c r="G3454" s="102"/>
      <c r="H3454" s="102"/>
      <c r="I3454" s="102"/>
      <c r="J3454" s="102"/>
      <c r="K3454" s="102"/>
      <c r="L3454" s="102"/>
      <c r="M3454" s="102"/>
      <c r="N3454" s="102"/>
      <c r="O3454" s="102"/>
      <c r="P3454" s="102"/>
      <c r="Q3454" s="102"/>
      <c r="R3454" s="102"/>
    </row>
    <row r="3455" spans="1:18" ht="35.1" customHeight="1" x14ac:dyDescent="0.2">
      <c r="A3455" s="99"/>
      <c r="B3455" s="99"/>
      <c r="C3455" s="102"/>
      <c r="D3455" s="102"/>
      <c r="E3455" s="102"/>
      <c r="F3455" s="102"/>
      <c r="G3455" s="102"/>
      <c r="H3455" s="102"/>
      <c r="I3455" s="102"/>
      <c r="J3455" s="102"/>
      <c r="K3455" s="102"/>
      <c r="L3455" s="102"/>
      <c r="M3455" s="102"/>
      <c r="N3455" s="102"/>
      <c r="O3455" s="102"/>
      <c r="P3455" s="102"/>
      <c r="Q3455" s="102"/>
      <c r="R3455" s="102"/>
    </row>
    <row r="3456" spans="1:18" ht="35.1" customHeight="1" x14ac:dyDescent="0.2">
      <c r="A3456" s="99"/>
      <c r="B3456" s="99"/>
      <c r="C3456" s="102"/>
      <c r="D3456" s="102"/>
      <c r="E3456" s="102"/>
      <c r="F3456" s="102"/>
      <c r="G3456" s="102"/>
      <c r="H3456" s="102"/>
      <c r="I3456" s="102"/>
      <c r="J3456" s="102"/>
      <c r="K3456" s="102"/>
      <c r="L3456" s="102"/>
      <c r="M3456" s="102"/>
      <c r="N3456" s="102"/>
      <c r="O3456" s="102"/>
      <c r="P3456" s="102"/>
      <c r="Q3456" s="102"/>
      <c r="R3456" s="102"/>
    </row>
    <row r="3457" spans="1:18" ht="35.1" customHeight="1" x14ac:dyDescent="0.2">
      <c r="A3457" s="99"/>
      <c r="B3457" s="99"/>
      <c r="C3457" s="102"/>
      <c r="D3457" s="102"/>
      <c r="E3457" s="102"/>
      <c r="F3457" s="102"/>
      <c r="G3457" s="102"/>
      <c r="H3457" s="102"/>
      <c r="I3457" s="102"/>
      <c r="J3457" s="102"/>
      <c r="K3457" s="102"/>
      <c r="L3457" s="102"/>
      <c r="M3457" s="102"/>
      <c r="N3457" s="102"/>
      <c r="O3457" s="102"/>
      <c r="P3457" s="102"/>
      <c r="Q3457" s="102"/>
      <c r="R3457" s="102"/>
    </row>
    <row r="3458" spans="1:18" ht="35.1" customHeight="1" x14ac:dyDescent="0.2">
      <c r="A3458" s="99"/>
      <c r="B3458" s="99"/>
      <c r="C3458" s="102"/>
      <c r="D3458" s="102"/>
      <c r="E3458" s="102"/>
      <c r="F3458" s="102"/>
      <c r="G3458" s="102"/>
      <c r="H3458" s="102"/>
      <c r="I3458" s="102"/>
      <c r="J3458" s="102"/>
      <c r="K3458" s="102"/>
      <c r="L3458" s="102"/>
      <c r="M3458" s="102"/>
      <c r="N3458" s="102"/>
      <c r="O3458" s="102"/>
      <c r="P3458" s="102"/>
      <c r="Q3458" s="102"/>
      <c r="R3458" s="102"/>
    </row>
    <row r="3459" spans="1:18" ht="35.1" customHeight="1" x14ac:dyDescent="0.2">
      <c r="A3459" s="99"/>
      <c r="B3459" s="99"/>
      <c r="C3459" s="102"/>
      <c r="D3459" s="102"/>
      <c r="E3459" s="102"/>
      <c r="F3459" s="102"/>
      <c r="G3459" s="102"/>
      <c r="H3459" s="102"/>
      <c r="I3459" s="102"/>
      <c r="J3459" s="102"/>
      <c r="K3459" s="102"/>
      <c r="L3459" s="102"/>
      <c r="M3459" s="102"/>
      <c r="N3459" s="102"/>
      <c r="O3459" s="102"/>
      <c r="P3459" s="102"/>
      <c r="Q3459" s="102"/>
      <c r="R3459" s="102"/>
    </row>
    <row r="3460" spans="1:18" ht="35.1" customHeight="1" x14ac:dyDescent="0.2">
      <c r="A3460" s="99"/>
      <c r="B3460" s="99"/>
      <c r="C3460" s="102"/>
      <c r="D3460" s="102"/>
      <c r="E3460" s="102"/>
      <c r="F3460" s="102"/>
      <c r="G3460" s="102"/>
      <c r="H3460" s="102"/>
      <c r="I3460" s="102"/>
      <c r="J3460" s="102"/>
      <c r="K3460" s="102"/>
      <c r="L3460" s="102"/>
      <c r="M3460" s="102"/>
      <c r="N3460" s="102"/>
      <c r="O3460" s="102"/>
      <c r="P3460" s="102"/>
      <c r="Q3460" s="102"/>
      <c r="R3460" s="102"/>
    </row>
    <row r="3461" spans="1:18" ht="35.1" customHeight="1" x14ac:dyDescent="0.2">
      <c r="A3461" s="99"/>
      <c r="B3461" s="99"/>
      <c r="C3461" s="102"/>
      <c r="D3461" s="102"/>
      <c r="E3461" s="102"/>
      <c r="F3461" s="102"/>
      <c r="G3461" s="102"/>
      <c r="H3461" s="102"/>
      <c r="I3461" s="102"/>
      <c r="J3461" s="102"/>
      <c r="K3461" s="102"/>
      <c r="L3461" s="102"/>
      <c r="M3461" s="102"/>
      <c r="N3461" s="102"/>
      <c r="O3461" s="102"/>
      <c r="P3461" s="102"/>
      <c r="Q3461" s="102"/>
      <c r="R3461" s="102"/>
    </row>
    <row r="3462" spans="1:18" ht="35.1" customHeight="1" x14ac:dyDescent="0.2">
      <c r="A3462" s="99"/>
      <c r="B3462" s="99"/>
      <c r="C3462" s="102"/>
      <c r="D3462" s="102"/>
      <c r="E3462" s="102"/>
      <c r="F3462" s="102"/>
      <c r="G3462" s="102"/>
      <c r="H3462" s="102"/>
      <c r="I3462" s="102"/>
      <c r="J3462" s="102"/>
      <c r="K3462" s="102"/>
      <c r="L3462" s="102"/>
      <c r="M3462" s="102"/>
      <c r="N3462" s="102"/>
      <c r="O3462" s="102"/>
      <c r="P3462" s="102"/>
      <c r="Q3462" s="102"/>
      <c r="R3462" s="102"/>
    </row>
    <row r="3463" spans="1:18" ht="35.1" customHeight="1" x14ac:dyDescent="0.2">
      <c r="A3463" s="99"/>
      <c r="B3463" s="99"/>
      <c r="C3463" s="102"/>
      <c r="D3463" s="102"/>
      <c r="E3463" s="102"/>
      <c r="F3463" s="102"/>
      <c r="G3463" s="102"/>
      <c r="H3463" s="102"/>
      <c r="I3463" s="102"/>
      <c r="J3463" s="102"/>
      <c r="K3463" s="102"/>
      <c r="L3463" s="102"/>
      <c r="M3463" s="102"/>
      <c r="N3463" s="102"/>
      <c r="O3463" s="102"/>
      <c r="P3463" s="102"/>
      <c r="Q3463" s="102"/>
      <c r="R3463" s="102"/>
    </row>
    <row r="3464" spans="1:18" ht="35.1" customHeight="1" x14ac:dyDescent="0.2">
      <c r="A3464" s="99"/>
      <c r="B3464" s="99"/>
      <c r="C3464" s="102"/>
      <c r="D3464" s="102"/>
      <c r="E3464" s="102"/>
      <c r="F3464" s="102"/>
      <c r="G3464" s="102"/>
      <c r="H3464" s="102"/>
      <c r="I3464" s="102"/>
      <c r="J3464" s="102"/>
      <c r="K3464" s="102"/>
      <c r="L3464" s="102"/>
      <c r="M3464" s="102"/>
      <c r="N3464" s="102"/>
      <c r="O3464" s="102"/>
      <c r="P3464" s="102"/>
      <c r="Q3464" s="102"/>
      <c r="R3464" s="102"/>
    </row>
    <row r="3465" spans="1:18" ht="35.1" customHeight="1" x14ac:dyDescent="0.2">
      <c r="A3465" s="99"/>
      <c r="B3465" s="99"/>
      <c r="C3465" s="102"/>
      <c r="D3465" s="102"/>
      <c r="E3465" s="102"/>
      <c r="F3465" s="102"/>
      <c r="G3465" s="102"/>
      <c r="H3465" s="102"/>
      <c r="I3465" s="102"/>
      <c r="J3465" s="102"/>
      <c r="K3465" s="102"/>
      <c r="L3465" s="102"/>
      <c r="M3465" s="102"/>
      <c r="N3465" s="102"/>
      <c r="O3465" s="102"/>
      <c r="P3465" s="102"/>
      <c r="Q3465" s="102"/>
      <c r="R3465" s="102"/>
    </row>
    <row r="3466" spans="1:18" ht="35.1" customHeight="1" x14ac:dyDescent="0.2">
      <c r="A3466" s="99"/>
      <c r="B3466" s="99"/>
      <c r="C3466" s="102"/>
      <c r="D3466" s="102"/>
      <c r="E3466" s="102"/>
      <c r="F3466" s="102"/>
      <c r="G3466" s="102"/>
      <c r="H3466" s="102"/>
      <c r="I3466" s="102"/>
      <c r="J3466" s="102"/>
      <c r="K3466" s="102"/>
      <c r="L3466" s="102"/>
      <c r="M3466" s="102"/>
      <c r="N3466" s="102"/>
      <c r="O3466" s="102"/>
      <c r="P3466" s="102"/>
      <c r="Q3466" s="102"/>
      <c r="R3466" s="102"/>
    </row>
    <row r="3467" spans="1:18" ht="35.1" customHeight="1" x14ac:dyDescent="0.2">
      <c r="A3467" s="99"/>
      <c r="B3467" s="99"/>
      <c r="C3467" s="102"/>
      <c r="D3467" s="102"/>
      <c r="E3467" s="102"/>
      <c r="F3467" s="102"/>
      <c r="G3467" s="102"/>
      <c r="H3467" s="102"/>
      <c r="I3467" s="102"/>
      <c r="J3467" s="102"/>
      <c r="K3467" s="102"/>
      <c r="L3467" s="102"/>
      <c r="M3467" s="102"/>
      <c r="N3467" s="102"/>
      <c r="O3467" s="102"/>
      <c r="P3467" s="102"/>
      <c r="Q3467" s="102"/>
      <c r="R3467" s="102"/>
    </row>
    <row r="3468" spans="1:18" ht="35.1" customHeight="1" x14ac:dyDescent="0.2">
      <c r="A3468" s="99"/>
      <c r="B3468" s="99"/>
      <c r="C3468" s="102"/>
      <c r="D3468" s="102"/>
      <c r="E3468" s="102"/>
      <c r="F3468" s="102"/>
      <c r="G3468" s="102"/>
      <c r="H3468" s="102"/>
      <c r="I3468" s="102"/>
      <c r="J3468" s="102"/>
      <c r="K3468" s="102"/>
      <c r="L3468" s="102"/>
      <c r="M3468" s="102"/>
      <c r="N3468" s="102"/>
      <c r="O3468" s="102"/>
      <c r="P3468" s="102"/>
      <c r="Q3468" s="102"/>
      <c r="R3468" s="102"/>
    </row>
    <row r="3469" spans="1:18" ht="35.1" customHeight="1" x14ac:dyDescent="0.2">
      <c r="A3469" s="99"/>
      <c r="B3469" s="99"/>
      <c r="C3469" s="102"/>
      <c r="D3469" s="102"/>
      <c r="E3469" s="102"/>
      <c r="F3469" s="102"/>
      <c r="G3469" s="102"/>
      <c r="H3469" s="102"/>
      <c r="I3469" s="102"/>
      <c r="J3469" s="102"/>
      <c r="K3469" s="102"/>
      <c r="L3469" s="102"/>
      <c r="M3469" s="102"/>
      <c r="N3469" s="102"/>
      <c r="O3469" s="102"/>
      <c r="P3469" s="102"/>
      <c r="Q3469" s="102"/>
      <c r="R3469" s="102"/>
    </row>
    <row r="3470" spans="1:18" ht="35.1" customHeight="1" x14ac:dyDescent="0.2">
      <c r="A3470" s="99"/>
      <c r="B3470" s="99"/>
      <c r="C3470" s="102"/>
      <c r="D3470" s="102"/>
      <c r="E3470" s="102"/>
      <c r="F3470" s="102"/>
      <c r="G3470" s="102"/>
      <c r="H3470" s="102"/>
      <c r="I3470" s="102"/>
      <c r="J3470" s="102"/>
      <c r="K3470" s="102"/>
      <c r="L3470" s="102"/>
      <c r="M3470" s="102"/>
      <c r="N3470" s="102"/>
      <c r="O3470" s="102"/>
      <c r="P3470" s="102"/>
      <c r="Q3470" s="102"/>
      <c r="R3470" s="102"/>
    </row>
    <row r="3471" spans="1:18" ht="35.1" customHeight="1" x14ac:dyDescent="0.2">
      <c r="A3471" s="99"/>
      <c r="B3471" s="99"/>
      <c r="C3471" s="102"/>
      <c r="D3471" s="102"/>
      <c r="E3471" s="102"/>
      <c r="F3471" s="102"/>
      <c r="G3471" s="102"/>
      <c r="H3471" s="102"/>
      <c r="I3471" s="102"/>
      <c r="J3471" s="102"/>
      <c r="K3471" s="102"/>
      <c r="L3471" s="102"/>
      <c r="M3471" s="102"/>
      <c r="N3471" s="102"/>
      <c r="O3471" s="102"/>
      <c r="P3471" s="102"/>
      <c r="Q3471" s="102"/>
      <c r="R3471" s="102"/>
    </row>
    <row r="3472" spans="1:18" ht="35.1" customHeight="1" x14ac:dyDescent="0.2">
      <c r="A3472" s="99"/>
      <c r="B3472" s="99"/>
      <c r="C3472" s="102"/>
      <c r="D3472" s="102"/>
      <c r="E3472" s="102"/>
      <c r="F3472" s="102"/>
      <c r="G3472" s="102"/>
      <c r="H3472" s="102"/>
      <c r="I3472" s="102"/>
      <c r="J3472" s="102"/>
      <c r="K3472" s="102"/>
      <c r="L3472" s="102"/>
      <c r="M3472" s="102"/>
      <c r="N3472" s="102"/>
      <c r="O3472" s="102"/>
      <c r="P3472" s="102"/>
      <c r="Q3472" s="102"/>
      <c r="R3472" s="102"/>
    </row>
    <row r="3473" spans="1:18" ht="35.1" customHeight="1" x14ac:dyDescent="0.2">
      <c r="A3473" s="99"/>
      <c r="B3473" s="99"/>
      <c r="C3473" s="102"/>
      <c r="D3473" s="102"/>
      <c r="E3473" s="102"/>
      <c r="F3473" s="102"/>
      <c r="G3473" s="102"/>
      <c r="H3473" s="102"/>
      <c r="I3473" s="102"/>
      <c r="J3473" s="102"/>
      <c r="K3473" s="102"/>
      <c r="L3473" s="102"/>
      <c r="M3473" s="102"/>
      <c r="N3473" s="102"/>
      <c r="O3473" s="102"/>
      <c r="P3473" s="102"/>
      <c r="Q3473" s="102"/>
      <c r="R3473" s="102"/>
    </row>
    <row r="3474" spans="1:18" ht="35.1" customHeight="1" x14ac:dyDescent="0.2">
      <c r="A3474" s="99"/>
      <c r="B3474" s="99"/>
      <c r="C3474" s="102"/>
      <c r="D3474" s="102"/>
      <c r="E3474" s="102"/>
      <c r="F3474" s="102"/>
      <c r="G3474" s="102"/>
      <c r="H3474" s="102"/>
      <c r="I3474" s="102"/>
      <c r="J3474" s="102"/>
      <c r="K3474" s="102"/>
      <c r="L3474" s="102"/>
      <c r="M3474" s="102"/>
      <c r="N3474" s="102"/>
      <c r="O3474" s="102"/>
      <c r="P3474" s="102"/>
      <c r="Q3474" s="102"/>
      <c r="R3474" s="102"/>
    </row>
    <row r="3475" spans="1:18" ht="35.1" customHeight="1" x14ac:dyDescent="0.2">
      <c r="A3475" s="99"/>
      <c r="B3475" s="99"/>
      <c r="C3475" s="102"/>
      <c r="D3475" s="102"/>
      <c r="E3475" s="102"/>
      <c r="F3475" s="102"/>
      <c r="G3475" s="102"/>
      <c r="H3475" s="102"/>
      <c r="I3475" s="102"/>
      <c r="J3475" s="102"/>
      <c r="K3475" s="102"/>
      <c r="L3475" s="102"/>
      <c r="M3475" s="102"/>
      <c r="N3475" s="102"/>
      <c r="O3475" s="102"/>
      <c r="P3475" s="102"/>
      <c r="Q3475" s="102"/>
      <c r="R3475" s="102"/>
    </row>
    <row r="3476" spans="1:18" ht="35.1" customHeight="1" x14ac:dyDescent="0.2">
      <c r="A3476" s="99"/>
      <c r="B3476" s="99"/>
      <c r="C3476" s="102"/>
      <c r="D3476" s="102"/>
      <c r="E3476" s="102"/>
      <c r="F3476" s="102"/>
      <c r="G3476" s="102"/>
      <c r="H3476" s="102"/>
      <c r="I3476" s="102"/>
      <c r="J3476" s="102"/>
      <c r="K3476" s="102"/>
      <c r="L3476" s="102"/>
      <c r="M3476" s="102"/>
      <c r="N3476" s="102"/>
      <c r="O3476" s="102"/>
      <c r="P3476" s="102"/>
      <c r="Q3476" s="102"/>
      <c r="R3476" s="102"/>
    </row>
    <row r="3477" spans="1:18" ht="35.1" customHeight="1" x14ac:dyDescent="0.2">
      <c r="A3477" s="99"/>
      <c r="B3477" s="99"/>
      <c r="C3477" s="102"/>
      <c r="D3477" s="102"/>
      <c r="E3477" s="102"/>
      <c r="F3477" s="102"/>
      <c r="G3477" s="102"/>
      <c r="H3477" s="102"/>
      <c r="I3477" s="102"/>
      <c r="J3477" s="102"/>
      <c r="K3477" s="102"/>
      <c r="L3477" s="102"/>
      <c r="M3477" s="102"/>
      <c r="N3477" s="102"/>
      <c r="O3477" s="102"/>
      <c r="P3477" s="102"/>
      <c r="Q3477" s="102"/>
      <c r="R3477" s="102"/>
    </row>
    <row r="3478" spans="1:18" ht="35.1" customHeight="1" x14ac:dyDescent="0.2">
      <c r="A3478" s="99"/>
      <c r="B3478" s="99"/>
      <c r="C3478" s="102"/>
      <c r="D3478" s="102"/>
      <c r="E3478" s="102"/>
      <c r="F3478" s="102"/>
      <c r="G3478" s="102"/>
      <c r="H3478" s="102"/>
      <c r="I3478" s="102"/>
      <c r="J3478" s="102"/>
      <c r="K3478" s="102"/>
      <c r="L3478" s="102"/>
      <c r="M3478" s="102"/>
      <c r="N3478" s="102"/>
      <c r="O3478" s="102"/>
      <c r="P3478" s="102"/>
      <c r="Q3478" s="102"/>
      <c r="R3478" s="102"/>
    </row>
    <row r="3479" spans="1:18" ht="35.1" customHeight="1" x14ac:dyDescent="0.2">
      <c r="A3479" s="99"/>
      <c r="B3479" s="99"/>
      <c r="C3479" s="102"/>
      <c r="D3479" s="102"/>
      <c r="E3479" s="102"/>
      <c r="F3479" s="102"/>
      <c r="G3479" s="102"/>
      <c r="H3479" s="102"/>
      <c r="I3479" s="102"/>
      <c r="J3479" s="102"/>
      <c r="K3479" s="102"/>
      <c r="L3479" s="102"/>
      <c r="M3479" s="102"/>
      <c r="N3479" s="102"/>
      <c r="O3479" s="102"/>
      <c r="P3479" s="102"/>
      <c r="Q3479" s="102"/>
      <c r="R3479" s="102"/>
    </row>
    <row r="3480" spans="1:18" ht="35.1" customHeight="1" x14ac:dyDescent="0.2">
      <c r="A3480" s="99"/>
      <c r="B3480" s="99"/>
      <c r="C3480" s="102"/>
      <c r="D3480" s="102"/>
      <c r="E3480" s="102"/>
      <c r="F3480" s="102"/>
      <c r="G3480" s="102"/>
      <c r="H3480" s="102"/>
      <c r="I3480" s="102"/>
      <c r="J3480" s="102"/>
      <c r="K3480" s="102"/>
      <c r="L3480" s="102"/>
      <c r="M3480" s="102"/>
      <c r="N3480" s="102"/>
      <c r="O3480" s="102"/>
      <c r="P3480" s="102"/>
      <c r="Q3480" s="102"/>
      <c r="R3480" s="102"/>
    </row>
    <row r="3481" spans="1:18" ht="35.1" customHeight="1" x14ac:dyDescent="0.2">
      <c r="A3481" s="99"/>
      <c r="B3481" s="99"/>
      <c r="C3481" s="102"/>
      <c r="D3481" s="102"/>
      <c r="E3481" s="102"/>
      <c r="F3481" s="102"/>
      <c r="G3481" s="102"/>
      <c r="H3481" s="102"/>
      <c r="I3481" s="102"/>
      <c r="J3481" s="102"/>
      <c r="K3481" s="102"/>
      <c r="L3481" s="102"/>
      <c r="M3481" s="102"/>
      <c r="N3481" s="102"/>
      <c r="O3481" s="102"/>
      <c r="P3481" s="102"/>
      <c r="Q3481" s="102"/>
      <c r="R3481" s="102"/>
    </row>
    <row r="3482" spans="1:18" ht="35.1" customHeight="1" x14ac:dyDescent="0.2">
      <c r="A3482" s="99"/>
      <c r="B3482" s="99"/>
      <c r="C3482" s="102"/>
      <c r="D3482" s="102"/>
      <c r="E3482" s="102"/>
      <c r="F3482" s="102"/>
      <c r="G3482" s="102"/>
      <c r="H3482" s="102"/>
      <c r="I3482" s="102"/>
      <c r="J3482" s="102"/>
      <c r="K3482" s="102"/>
      <c r="L3482" s="102"/>
      <c r="M3482" s="102"/>
      <c r="N3482" s="102"/>
      <c r="O3482" s="102"/>
      <c r="P3482" s="102"/>
      <c r="Q3482" s="102"/>
      <c r="R3482" s="102"/>
    </row>
    <row r="3483" spans="1:18" ht="35.1" customHeight="1" x14ac:dyDescent="0.2">
      <c r="A3483" s="99"/>
      <c r="B3483" s="99"/>
      <c r="C3483" s="102"/>
      <c r="D3483" s="102"/>
      <c r="E3483" s="102"/>
      <c r="F3483" s="102"/>
      <c r="G3483" s="102"/>
      <c r="H3483" s="102"/>
      <c r="I3483" s="102"/>
      <c r="J3483" s="102"/>
      <c r="K3483" s="102"/>
      <c r="L3483" s="102"/>
      <c r="M3483" s="102"/>
      <c r="N3483" s="102"/>
      <c r="O3483" s="102"/>
      <c r="P3483" s="102"/>
      <c r="Q3483" s="102"/>
      <c r="R3483" s="102"/>
    </row>
  </sheetData>
  <phoneticPr fontId="49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>
    <pageSetUpPr autoPageBreaks="0"/>
  </sheetPr>
  <dimension ref="A1:AS40"/>
  <sheetViews>
    <sheetView showOutlineSymbols="0" topLeftCell="A2" workbookViewId="0">
      <selection activeCell="B1" sqref="B1"/>
    </sheetView>
  </sheetViews>
  <sheetFormatPr defaultColWidth="4.7109375" defaultRowHeight="21" customHeight="1" x14ac:dyDescent="0.2"/>
  <cols>
    <col min="1" max="2" width="4.7109375" style="104" customWidth="1"/>
    <col min="3" max="17" width="5.7109375" style="104" customWidth="1"/>
    <col min="18" max="19" width="4.7109375" style="104" customWidth="1"/>
    <col min="20" max="20" width="5.7109375" style="102" customWidth="1"/>
    <col min="21" max="23" width="4.7109375" style="105" customWidth="1"/>
    <col min="24" max="24" width="10.7109375" style="110" customWidth="1"/>
    <col min="25" max="25" width="7" style="105" customWidth="1"/>
    <col min="26" max="40" width="4.7109375" style="105" customWidth="1"/>
    <col min="41" max="41" width="4.7109375" style="104" customWidth="1"/>
    <col min="42" max="42" width="6" style="103" bestFit="1" customWidth="1"/>
    <col min="43" max="16384" width="4.7109375" style="103"/>
  </cols>
  <sheetData>
    <row r="1" spans="1:45" ht="26.25" hidden="1" customHeight="1" x14ac:dyDescent="0.2">
      <c r="A1" s="103"/>
      <c r="B1" s="103"/>
      <c r="C1" s="103"/>
      <c r="D1" s="103"/>
      <c r="E1" s="103"/>
      <c r="F1" s="103"/>
      <c r="G1" s="103"/>
      <c r="H1" s="103"/>
      <c r="S1" s="105"/>
      <c r="T1"/>
      <c r="U1" s="106"/>
      <c r="V1" s="106"/>
      <c r="W1" s="106"/>
      <c r="X1" s="107"/>
      <c r="Y1" s="106"/>
      <c r="Z1" s="106"/>
      <c r="AA1" s="106"/>
      <c r="AB1" s="106"/>
      <c r="AC1" s="106"/>
      <c r="AD1" s="106"/>
      <c r="AE1" s="106"/>
      <c r="AF1" s="106"/>
      <c r="AG1" s="106"/>
      <c r="AH1" s="106"/>
      <c r="AI1" s="106"/>
      <c r="AJ1" s="106"/>
      <c r="AK1" s="106"/>
      <c r="AL1" s="106"/>
      <c r="AM1" s="106"/>
      <c r="AN1" s="106"/>
    </row>
    <row r="2" spans="1:45" ht="26.25" customHeight="1" x14ac:dyDescent="0.2">
      <c r="A2" s="103"/>
      <c r="B2" s="108"/>
      <c r="C2" s="109"/>
      <c r="D2" s="109"/>
      <c r="E2" s="109"/>
      <c r="F2" s="109"/>
      <c r="G2" s="103"/>
      <c r="H2" s="103"/>
      <c r="I2" s="105"/>
      <c r="J2" s="105"/>
      <c r="K2" s="105"/>
      <c r="S2" s="105"/>
    </row>
    <row r="3" spans="1:45" ht="26.25" customHeight="1" x14ac:dyDescent="0.2">
      <c r="A3" s="103"/>
      <c r="B3" s="103"/>
      <c r="C3" s="103"/>
      <c r="D3" s="103"/>
      <c r="E3" s="103"/>
      <c r="F3" s="103"/>
      <c r="G3" s="103"/>
      <c r="H3" s="103"/>
      <c r="J3" s="111" t="s">
        <v>73</v>
      </c>
      <c r="U3" s="112"/>
      <c r="AO3" s="113" t="e">
        <f>LEN(M6)</f>
        <v>#REF!</v>
      </c>
      <c r="AP3" s="113" t="e">
        <f>POWER(10,AO3)</f>
        <v>#REF!</v>
      </c>
      <c r="AQ3" s="113" t="e">
        <f>M6/AP3</f>
        <v>#REF!</v>
      </c>
      <c r="AR3" s="113" t="e">
        <f>ROUNDUP(AQ3,(AO3-2))</f>
        <v>#REF!</v>
      </c>
      <c r="AS3" s="113" t="e">
        <f>AR3*AP3</f>
        <v>#REF!</v>
      </c>
    </row>
    <row r="4" spans="1:45" ht="26.25" customHeight="1" x14ac:dyDescent="0.2">
      <c r="A4" s="103"/>
      <c r="B4" s="103"/>
      <c r="C4" s="103"/>
      <c r="D4" s="114"/>
      <c r="E4" s="114"/>
      <c r="F4" s="114"/>
      <c r="G4" s="114"/>
      <c r="H4" s="111"/>
      <c r="I4" s="316" t="e">
        <f>#REF!</f>
        <v>#REF!</v>
      </c>
      <c r="J4" s="317"/>
      <c r="K4" s="318"/>
      <c r="M4" s="105"/>
      <c r="N4" s="105"/>
      <c r="O4" s="105"/>
      <c r="P4" s="105"/>
      <c r="S4" s="105"/>
      <c r="U4" s="112"/>
      <c r="W4" s="105">
        <v>1</v>
      </c>
      <c r="X4" s="110" t="e">
        <f>IF(I4&gt;I16,I4-I16,I16-I4)</f>
        <v>#REF!</v>
      </c>
      <c r="Y4" s="105" t="s">
        <v>74</v>
      </c>
      <c r="AO4" s="113" t="e">
        <f>LEN(M14)</f>
        <v>#REF!</v>
      </c>
      <c r="AP4" s="113" t="e">
        <f>POWER(10,AO4)</f>
        <v>#REF!</v>
      </c>
      <c r="AQ4" s="113" t="e">
        <f>M14/AP4</f>
        <v>#REF!</v>
      </c>
      <c r="AR4" s="113" t="e">
        <f>ROUNDUP(AQ4,(AO4-2))</f>
        <v>#REF!</v>
      </c>
      <c r="AS4" s="113" t="e">
        <f>AR4*AP4</f>
        <v>#REF!</v>
      </c>
    </row>
    <row r="5" spans="1:45" ht="26.25" customHeight="1" x14ac:dyDescent="0.2">
      <c r="A5" s="103"/>
      <c r="B5" s="103"/>
      <c r="C5" s="103"/>
      <c r="D5" s="114"/>
      <c r="E5" s="114"/>
      <c r="F5" s="114"/>
      <c r="G5" s="114"/>
      <c r="H5" s="103"/>
      <c r="I5" s="115" t="s">
        <v>75</v>
      </c>
      <c r="J5" s="116" t="s">
        <v>76</v>
      </c>
      <c r="K5" s="117" t="s">
        <v>77</v>
      </c>
      <c r="M5" s="105"/>
      <c r="N5" s="105"/>
      <c r="O5" s="105"/>
      <c r="P5" s="105"/>
      <c r="S5" s="105"/>
      <c r="U5" s="112"/>
      <c r="W5" s="105">
        <v>2</v>
      </c>
      <c r="X5" s="110" t="e">
        <f>IF(D9&gt;P9,D9-P9,P9-D9)</f>
        <v>#REF!</v>
      </c>
      <c r="Y5" s="105" t="s">
        <v>78</v>
      </c>
      <c r="AO5" s="113" t="e">
        <f>LEN(F14)</f>
        <v>#REF!</v>
      </c>
      <c r="AP5" s="113" t="e">
        <f>POWER(10,AO5)</f>
        <v>#REF!</v>
      </c>
      <c r="AQ5" s="113" t="e">
        <f>F14/AP5</f>
        <v>#REF!</v>
      </c>
      <c r="AR5" s="113" t="e">
        <f>ROUNDUP(AQ5,(AO5-2))</f>
        <v>#REF!</v>
      </c>
      <c r="AS5" s="113" t="e">
        <f>AR5*AP5</f>
        <v>#REF!</v>
      </c>
    </row>
    <row r="6" spans="1:45" ht="26.25" customHeight="1" x14ac:dyDescent="0.2">
      <c r="A6" s="103"/>
      <c r="B6" s="103"/>
      <c r="C6" s="103"/>
      <c r="D6" s="103"/>
      <c r="E6" s="103"/>
      <c r="F6" s="323" t="e">
        <f>IF(OR(AB13=0,AD13=0),G7+M14,IF(OR(AE13=0,AF13=0),AL13,IF(OR(Y13=0,Z13=0),G7+M14,IF(OR(AA13=0,AC13=0),AL13,0))))</f>
        <v>#REF!</v>
      </c>
      <c r="G6" s="324"/>
      <c r="H6" s="103"/>
      <c r="I6" s="118" t="e">
        <f>F6/2</f>
        <v>#REF!</v>
      </c>
      <c r="J6" s="119" t="e">
        <f>(I4/2)-I6-K6</f>
        <v>#REF!</v>
      </c>
      <c r="K6" s="120" t="e">
        <f>M6/2</f>
        <v>#REF!</v>
      </c>
      <c r="M6" s="323" t="e">
        <f>IF(OR(AB13=0,AD13=0),AI13,IF(OR(AE13=0,AF13=0),AJ13,IF(OR(Y13=0,Z13=0),F14+M7,IF(OR(AA13=0,AC13=0),M7+F14,0))))</f>
        <v>#REF!</v>
      </c>
      <c r="N6" s="324"/>
      <c r="S6" s="105"/>
      <c r="U6" s="112"/>
      <c r="W6" s="105">
        <v>3</v>
      </c>
      <c r="X6" s="110" t="e">
        <f>IF(X4&gt;X5,X4-X5,X5-X4)</f>
        <v>#REF!</v>
      </c>
      <c r="Y6" s="105" t="s">
        <v>79</v>
      </c>
      <c r="AO6" s="113" t="e">
        <f>LEN(F6)</f>
        <v>#REF!</v>
      </c>
      <c r="AP6" s="113" t="e">
        <f>POWER(10,AO6)</f>
        <v>#REF!</v>
      </c>
      <c r="AQ6" s="113" t="e">
        <f>F6/AP6</f>
        <v>#REF!</v>
      </c>
      <c r="AR6" s="113" t="e">
        <f>ROUNDUP(AQ6,(AO6-2))</f>
        <v>#REF!</v>
      </c>
      <c r="AS6" s="113" t="e">
        <f>AR6*AP6</f>
        <v>#REF!</v>
      </c>
    </row>
    <row r="7" spans="1:45" ht="26.25" customHeight="1" x14ac:dyDescent="0.2">
      <c r="A7" s="103"/>
      <c r="B7" s="103"/>
      <c r="C7" s="103"/>
      <c r="D7" s="103"/>
      <c r="E7" s="103"/>
      <c r="F7" s="103"/>
      <c r="G7" s="121" t="e">
        <f>IF(OR($Z$13=0,AB13=0),$X$7,IF(OR($Y$13=0,AD13=0),$X$8,0))</f>
        <v>#REF!</v>
      </c>
      <c r="H7" s="103"/>
      <c r="I7" s="122"/>
      <c r="J7" s="123"/>
      <c r="K7" s="124"/>
      <c r="M7" s="121" t="e">
        <f>IF(OR($Y$13=0,AA13=0),$X$7,IF(OR($Z$13=0,$AC$13=0),$X$8,0))</f>
        <v>#REF!</v>
      </c>
      <c r="S7" s="105"/>
      <c r="U7" s="112"/>
      <c r="W7" s="105">
        <v>4</v>
      </c>
      <c r="X7" s="110" t="e">
        <f>X6/2</f>
        <v>#REF!</v>
      </c>
      <c r="Y7" s="105" t="s">
        <v>80</v>
      </c>
    </row>
    <row r="8" spans="1:45" ht="26.25" customHeight="1" thickBot="1" x14ac:dyDescent="0.25">
      <c r="A8" s="103"/>
      <c r="B8" s="103"/>
      <c r="C8" s="103"/>
      <c r="D8" s="103"/>
      <c r="E8" s="103"/>
      <c r="F8" s="103"/>
      <c r="G8" s="103"/>
      <c r="H8" s="103"/>
      <c r="I8" s="122"/>
      <c r="J8" s="123"/>
      <c r="K8" s="124"/>
      <c r="P8" s="111"/>
      <c r="S8" s="105"/>
      <c r="U8" s="112"/>
      <c r="W8" s="105">
        <v>5</v>
      </c>
      <c r="X8" s="110" t="e">
        <f>MAX(X4,X5)-X7</f>
        <v>#REF!</v>
      </c>
      <c r="Y8" s="105" t="s">
        <v>81</v>
      </c>
    </row>
    <row r="9" spans="1:45" ht="26.25" customHeight="1" x14ac:dyDescent="0.2">
      <c r="B9" s="105"/>
      <c r="D9" s="322" t="e">
        <f>#REF!</f>
        <v>#REF!</v>
      </c>
      <c r="E9" s="125" t="s">
        <v>77</v>
      </c>
      <c r="F9" s="126" t="e">
        <f>F6/2</f>
        <v>#REF!</v>
      </c>
      <c r="G9" s="127"/>
      <c r="H9" s="127"/>
      <c r="I9" s="325" t="e">
        <f>IF(X18=0,"One or more of the specified approach volumes is invalid.","")</f>
        <v>#REF!</v>
      </c>
      <c r="J9" s="325"/>
      <c r="K9" s="325"/>
      <c r="L9" s="127"/>
      <c r="M9" s="127"/>
      <c r="N9" s="128" t="e">
        <f>M6/2</f>
        <v>#REF!</v>
      </c>
      <c r="O9" s="129" t="s">
        <v>75</v>
      </c>
      <c r="P9" s="319" t="e">
        <f>#REF!</f>
        <v>#REF!</v>
      </c>
      <c r="R9" s="105"/>
      <c r="S9" s="105"/>
      <c r="U9" s="112"/>
    </row>
    <row r="10" spans="1:45" ht="26.25" customHeight="1" x14ac:dyDescent="0.2">
      <c r="A10" s="103"/>
      <c r="B10" s="114"/>
      <c r="C10" s="111" t="s">
        <v>82</v>
      </c>
      <c r="D10" s="320"/>
      <c r="E10" s="130" t="s">
        <v>76</v>
      </c>
      <c r="F10" s="131" t="e">
        <f>(D9/2)-F9-F11</f>
        <v>#REF!</v>
      </c>
      <c r="G10" s="123"/>
      <c r="H10" s="123"/>
      <c r="I10" s="325"/>
      <c r="J10" s="325"/>
      <c r="K10" s="325"/>
      <c r="L10" s="123"/>
      <c r="M10" s="123"/>
      <c r="N10" s="132" t="e">
        <f>(P9/2)-N9-N11</f>
        <v>#REF!</v>
      </c>
      <c r="O10" s="133" t="s">
        <v>76</v>
      </c>
      <c r="P10" s="320"/>
      <c r="Q10" s="111" t="s">
        <v>83</v>
      </c>
      <c r="R10" s="114"/>
      <c r="S10" s="114"/>
      <c r="U10" s="112"/>
      <c r="V10" s="114"/>
      <c r="W10" s="114"/>
      <c r="Y10" s="134">
        <v>1</v>
      </c>
      <c r="Z10" s="134">
        <v>2</v>
      </c>
      <c r="AA10" s="134">
        <v>3</v>
      </c>
      <c r="AB10" s="134">
        <v>6</v>
      </c>
      <c r="AC10" s="134">
        <v>7</v>
      </c>
      <c r="AD10" s="134">
        <v>10</v>
      </c>
      <c r="AE10" s="134">
        <v>11</v>
      </c>
      <c r="AF10" s="134">
        <v>12</v>
      </c>
      <c r="AG10" s="134"/>
      <c r="AI10" s="134">
        <v>1</v>
      </c>
      <c r="AJ10" s="134">
        <v>2</v>
      </c>
      <c r="AK10" s="134">
        <v>3</v>
      </c>
      <c r="AL10" s="134">
        <v>4</v>
      </c>
      <c r="AN10" s="134"/>
      <c r="AO10" s="103"/>
    </row>
    <row r="11" spans="1:45" ht="26.25" customHeight="1" thickBot="1" x14ac:dyDescent="0.25">
      <c r="B11" s="105"/>
      <c r="D11" s="321"/>
      <c r="E11" s="135" t="s">
        <v>75</v>
      </c>
      <c r="F11" s="136" t="e">
        <f>F14/2</f>
        <v>#REF!</v>
      </c>
      <c r="G11" s="137"/>
      <c r="H11" s="137"/>
      <c r="I11" s="325"/>
      <c r="J11" s="325"/>
      <c r="K11" s="325"/>
      <c r="L11" s="137"/>
      <c r="M11" s="137"/>
      <c r="N11" s="138" t="e">
        <f>M14/2</f>
        <v>#REF!</v>
      </c>
      <c r="O11" s="139" t="s">
        <v>77</v>
      </c>
      <c r="P11" s="321"/>
      <c r="R11" s="105"/>
      <c r="S11" s="105"/>
      <c r="U11" s="112"/>
      <c r="X11" s="134" t="s">
        <v>84</v>
      </c>
      <c r="Y11" s="140" t="e">
        <f>$I$4-$X$7-$X$8</f>
        <v>#REF!</v>
      </c>
      <c r="Z11" s="140" t="e">
        <f>$I$4-$X$7-$X$8</f>
        <v>#REF!</v>
      </c>
      <c r="AA11" s="140" t="e">
        <f>$I$4-$X$7+$X$8</f>
        <v>#REF!</v>
      </c>
      <c r="AB11" s="140" t="e">
        <f>$I$4-$X$7+$X$8</f>
        <v>#REF!</v>
      </c>
      <c r="AC11" s="140" t="e">
        <f>$I$4-$X$8+$X$7</f>
        <v>#REF!</v>
      </c>
      <c r="AD11" s="140" t="e">
        <f>$I$4-$X$8+$X$7</f>
        <v>#REF!</v>
      </c>
      <c r="AE11" s="140" t="e">
        <f>$I$4+$X$7+$X$8</f>
        <v>#REF!</v>
      </c>
      <c r="AF11" s="140" t="e">
        <f>$I$4+$X$7+$X$8</f>
        <v>#REF!</v>
      </c>
      <c r="AG11" s="140"/>
      <c r="AI11" s="140" t="e">
        <f>IF(AND($G$7=0,$M$7=0),1,0)</f>
        <v>#REF!</v>
      </c>
      <c r="AJ11" s="140" t="e">
        <f>IF(AND($M$7=0,$M$13=0),1,0)</f>
        <v>#REF!</v>
      </c>
      <c r="AK11" s="140" t="e">
        <f>IF(AND($G$13=0,$M$13=0),1,0)</f>
        <v>#REF!</v>
      </c>
      <c r="AL11" s="140" t="e">
        <f>IF(AND($G$7=0,$G$13=0),1,0)</f>
        <v>#REF!</v>
      </c>
      <c r="AM11" s="140" t="e">
        <f>SUM(AI11:AL11)</f>
        <v>#REF!</v>
      </c>
      <c r="AN11" s="141"/>
    </row>
    <row r="12" spans="1:45" ht="26.25" customHeight="1" x14ac:dyDescent="0.2">
      <c r="I12" s="122"/>
      <c r="J12" s="123"/>
      <c r="K12" s="124"/>
      <c r="S12" s="105"/>
      <c r="U12" s="112"/>
      <c r="X12" s="134" t="s">
        <v>85</v>
      </c>
      <c r="Y12" s="140" t="e">
        <f>$P$9-$X$7+$X$8</f>
        <v>#REF!</v>
      </c>
      <c r="Z12" s="140" t="e">
        <f>$P$9+$X$7-$X$8</f>
        <v>#REF!</v>
      </c>
      <c r="AA12" s="140" t="e">
        <f>$P$9-$X$7-$X$8</f>
        <v>#REF!</v>
      </c>
      <c r="AB12" s="140" t="e">
        <f>$P$9+$X$7+$X$8</f>
        <v>#REF!</v>
      </c>
      <c r="AC12" s="140" t="e">
        <f>$P$9-$X$7-$X$8</f>
        <v>#REF!</v>
      </c>
      <c r="AD12" s="140" t="e">
        <f>$P$9+$X$7+$X$8</f>
        <v>#REF!</v>
      </c>
      <c r="AE12" s="140" t="e">
        <f>$P$9-$X$7+$X$8</f>
        <v>#REF!</v>
      </c>
      <c r="AF12" s="140" t="e">
        <f>$P$9+$X$7-$X$8</f>
        <v>#REF!</v>
      </c>
      <c r="AG12" s="140"/>
      <c r="AI12" s="140" t="e">
        <f>X15*I4</f>
        <v>#REF!</v>
      </c>
      <c r="AJ12" s="140" t="e">
        <f>X15*P9</f>
        <v>#REF!</v>
      </c>
      <c r="AK12" s="140" t="e">
        <f>I16*X15</f>
        <v>#REF!</v>
      </c>
      <c r="AL12" s="140" t="e">
        <f>X15*D9</f>
        <v>#REF!</v>
      </c>
      <c r="AN12" s="141"/>
    </row>
    <row r="13" spans="1:45" ht="26.25" customHeight="1" x14ac:dyDescent="0.2">
      <c r="G13" s="121" t="e">
        <f>IF(OR(AE13=0,AB13=0),X8,IF(OR(AF13=0,AD13=0),X7,0))</f>
        <v>#REF!</v>
      </c>
      <c r="I13" s="122"/>
      <c r="J13" s="123"/>
      <c r="K13" s="124"/>
      <c r="M13" s="121" t="e">
        <f>IF(OR($AE$13=0,$AC$13=0),$X$7,IF(OR($AF$13=0,AA13=0),$X$8,0))</f>
        <v>#REF!</v>
      </c>
      <c r="S13" s="105"/>
      <c r="U13" s="112"/>
      <c r="X13" s="134" t="s">
        <v>86</v>
      </c>
      <c r="Y13" s="140" t="e">
        <f t="shared" ref="Y13:AF13" si="0">IF(AND(Y11=$I$16,Y12=$D$9),0,1)</f>
        <v>#REF!</v>
      </c>
      <c r="Z13" s="140" t="e">
        <f t="shared" si="0"/>
        <v>#REF!</v>
      </c>
      <c r="AA13" s="140" t="e">
        <f t="shared" si="0"/>
        <v>#REF!</v>
      </c>
      <c r="AB13" s="140" t="e">
        <f t="shared" si="0"/>
        <v>#REF!</v>
      </c>
      <c r="AC13" s="140" t="e">
        <f t="shared" si="0"/>
        <v>#REF!</v>
      </c>
      <c r="AD13" s="140" t="e">
        <f t="shared" si="0"/>
        <v>#REF!</v>
      </c>
      <c r="AE13" s="140" t="e">
        <f t="shared" si="0"/>
        <v>#REF!</v>
      </c>
      <c r="AF13" s="140" t="e">
        <f t="shared" si="0"/>
        <v>#REF!</v>
      </c>
      <c r="AG13" s="140"/>
      <c r="AI13" s="140" t="e">
        <f>ROUND((AI12/20),0)*20</f>
        <v>#REF!</v>
      </c>
      <c r="AJ13" s="140" t="e">
        <f>ROUND((AJ12/20),0)*20</f>
        <v>#REF!</v>
      </c>
      <c r="AK13" s="140" t="e">
        <f>ROUND((AK12/20),0)*20</f>
        <v>#REF!</v>
      </c>
      <c r="AL13" s="140" t="e">
        <f>ROUND((AL12/20),0)*20</f>
        <v>#REF!</v>
      </c>
      <c r="AN13" s="141"/>
    </row>
    <row r="14" spans="1:45" ht="26.25" customHeight="1" x14ac:dyDescent="0.2">
      <c r="F14" s="323" t="e">
        <f>IF(OR(AB13=0,AD13=0),G13+M6,IF(OR(AE13=0,AF13=0),G13+M6,IF(OR(Y13=0,Z13=0),AK13,IF(OR(AA13=0,AC13=0),AK13,0))))</f>
        <v>#REF!</v>
      </c>
      <c r="G14" s="324"/>
      <c r="I14" s="142" t="e">
        <f>F14/2</f>
        <v>#REF!</v>
      </c>
      <c r="J14" s="143" t="e">
        <f>(I16/2)-I14-K14</f>
        <v>#REF!</v>
      </c>
      <c r="K14" s="144" t="e">
        <f>M14/2</f>
        <v>#REF!</v>
      </c>
      <c r="M14" s="323" t="e">
        <f>IF(OR(AB13=0,AD13=0),AK13,IF(OR(AE13=0,AF13=0),M13+F6,IF(OR(Y13=0,Z13=0),AJ13,IF(OR(AA13=0,AC13=0),M13+F6,0))))</f>
        <v>#REF!</v>
      </c>
      <c r="N14" s="324"/>
      <c r="S14" s="105"/>
      <c r="U14" s="112"/>
      <c r="Y14" s="141"/>
      <c r="Z14" s="141"/>
      <c r="AA14" s="141"/>
      <c r="AB14" s="141"/>
      <c r="AC14" s="141"/>
      <c r="AD14" s="141"/>
      <c r="AE14" s="141"/>
      <c r="AF14" s="141"/>
      <c r="AG14" s="141"/>
    </row>
    <row r="15" spans="1:45" ht="26.25" customHeight="1" x14ac:dyDescent="0.2">
      <c r="D15" s="105"/>
      <c r="E15" s="105"/>
      <c r="F15" s="105"/>
      <c r="G15" s="105"/>
      <c r="I15" s="145" t="s">
        <v>77</v>
      </c>
      <c r="J15" s="146" t="s">
        <v>76</v>
      </c>
      <c r="K15" s="147" t="s">
        <v>75</v>
      </c>
      <c r="M15" s="105"/>
      <c r="N15" s="105"/>
      <c r="O15" s="105"/>
      <c r="P15" s="105"/>
      <c r="S15" s="105"/>
      <c r="U15" s="112"/>
      <c r="W15" s="105">
        <v>6</v>
      </c>
      <c r="X15" s="148" t="e">
        <f>MIN(I4,P9,I16,D9)/((I4+P9+I16+D9)-MIN(I4,P9,I16,D9))</f>
        <v>#REF!</v>
      </c>
      <c r="Y15" s="105" t="s">
        <v>87</v>
      </c>
      <c r="Z15" s="141"/>
      <c r="AA15" s="141"/>
      <c r="AB15" s="141"/>
      <c r="AC15" s="141"/>
      <c r="AD15" s="141"/>
    </row>
    <row r="16" spans="1:45" ht="26.25" customHeight="1" x14ac:dyDescent="0.2">
      <c r="D16" s="105"/>
      <c r="E16" s="105"/>
      <c r="F16" s="105"/>
      <c r="G16" s="105"/>
      <c r="I16" s="316" t="e">
        <f>#REF!</f>
        <v>#REF!</v>
      </c>
      <c r="J16" s="317"/>
      <c r="K16" s="318"/>
      <c r="M16" s="105"/>
      <c r="N16" s="105"/>
      <c r="O16" s="105"/>
      <c r="P16" s="105"/>
      <c r="S16" s="105"/>
      <c r="U16" s="149"/>
      <c r="W16" s="105">
        <v>7</v>
      </c>
      <c r="X16" s="110" t="e">
        <f>X15*I4</f>
        <v>#REF!</v>
      </c>
      <c r="Y16" s="141"/>
      <c r="Z16" s="141"/>
      <c r="AA16" s="141"/>
      <c r="AB16" s="141"/>
    </row>
    <row r="17" spans="9:25" ht="26.25" customHeight="1" x14ac:dyDescent="0.2">
      <c r="J17" s="111" t="s">
        <v>88</v>
      </c>
      <c r="S17" s="105"/>
      <c r="W17" s="105">
        <v>8</v>
      </c>
      <c r="X17" s="110" t="e">
        <f>X15*I16</f>
        <v>#REF!</v>
      </c>
    </row>
    <row r="18" spans="9:25" ht="21" customHeight="1" x14ac:dyDescent="0.2">
      <c r="I18" s="105"/>
      <c r="J18" s="105"/>
      <c r="K18" s="105"/>
      <c r="Q18" s="150"/>
      <c r="R18" s="150"/>
      <c r="S18" s="151"/>
      <c r="W18" s="105">
        <v>9</v>
      </c>
      <c r="X18" s="110" t="e">
        <f>IF(MAX(I4,P9,I16,D9)&gt;(I4+P9+I16+D9)-MAX(I4,P9,I16,D9),0,1)</f>
        <v>#REF!</v>
      </c>
      <c r="Y18" s="105" t="s">
        <v>89</v>
      </c>
    </row>
    <row r="19" spans="9:25" ht="21" customHeight="1" x14ac:dyDescent="0.2">
      <c r="S19" s="105"/>
      <c r="X19" s="110" t="e">
        <f>MOD((SUM(#REF!)),200)</f>
        <v>#REF!</v>
      </c>
      <c r="Y19" s="152"/>
    </row>
    <row r="20" spans="9:25" ht="21" customHeight="1" x14ac:dyDescent="0.2">
      <c r="S20" s="105"/>
      <c r="X20" s="110" t="e">
        <f>IF(X19=0,1,0)</f>
        <v>#REF!</v>
      </c>
    </row>
    <row r="21" spans="9:25" ht="21" customHeight="1" x14ac:dyDescent="0.2">
      <c r="S21" s="105"/>
      <c r="X21" s="110" t="e">
        <f>SUM(X20,X18)</f>
        <v>#REF!</v>
      </c>
    </row>
    <row r="22" spans="9:25" ht="21" customHeight="1" x14ac:dyDescent="0.2">
      <c r="S22" s="105"/>
    </row>
    <row r="23" spans="9:25" ht="21" customHeight="1" x14ac:dyDescent="0.2">
      <c r="S23" s="105"/>
    </row>
    <row r="37" spans="1:4" ht="21" customHeight="1" x14ac:dyDescent="0.2">
      <c r="A37" s="153"/>
      <c r="B37" s="153"/>
      <c r="C37" s="153"/>
      <c r="D37" s="153"/>
    </row>
    <row r="39" spans="1:4" ht="21" customHeight="1" x14ac:dyDescent="0.2">
      <c r="A39" s="154"/>
      <c r="B39" s="154"/>
      <c r="C39" s="154"/>
    </row>
    <row r="40" spans="1:4" ht="21" customHeight="1" x14ac:dyDescent="0.2">
      <c r="A40" s="154"/>
      <c r="B40" s="154"/>
      <c r="C40" s="154"/>
    </row>
  </sheetData>
  <mergeCells count="9">
    <mergeCell ref="I4:K4"/>
    <mergeCell ref="P9:P11"/>
    <mergeCell ref="D9:D11"/>
    <mergeCell ref="I16:K16"/>
    <mergeCell ref="F14:G14"/>
    <mergeCell ref="M14:N14"/>
    <mergeCell ref="M6:N6"/>
    <mergeCell ref="F6:G6"/>
    <mergeCell ref="I9:K11"/>
  </mergeCells>
  <phoneticPr fontId="49" type="noConversion"/>
  <pageMargins left="0.75" right="0.75" top="1" bottom="1" header="0.5" footer="0.5"/>
  <pageSetup orientation="portrait" horizontalDpi="4294967293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1"/>
  <dimension ref="A1:CP315"/>
  <sheetViews>
    <sheetView topLeftCell="AE1" workbookViewId="0">
      <selection activeCell="AM2" sqref="AM2"/>
    </sheetView>
  </sheetViews>
  <sheetFormatPr defaultRowHeight="12" x14ac:dyDescent="0.2"/>
  <cols>
    <col min="1" max="1" width="15.85546875" style="155" bestFit="1" customWidth="1"/>
    <col min="2" max="32" width="8" style="155" bestFit="1" customWidth="1"/>
    <col min="33" max="64" width="9.140625" style="155"/>
    <col min="65" max="65" width="9.42578125" style="155" bestFit="1" customWidth="1"/>
    <col min="66" max="68" width="9.140625" style="155"/>
    <col min="69" max="69" width="12" style="155" bestFit="1" customWidth="1"/>
    <col min="70" max="16384" width="9.140625" style="155"/>
  </cols>
  <sheetData>
    <row r="1" spans="1:94" s="156" customFormat="1" ht="12" customHeight="1" x14ac:dyDescent="0.2">
      <c r="A1" s="155"/>
      <c r="B1" s="155" t="s">
        <v>90</v>
      </c>
      <c r="C1" s="155" t="s">
        <v>91</v>
      </c>
      <c r="D1" s="155" t="s">
        <v>91</v>
      </c>
      <c r="E1" s="155" t="s">
        <v>91</v>
      </c>
      <c r="F1" s="155" t="s">
        <v>91</v>
      </c>
      <c r="G1" s="155" t="s">
        <v>91</v>
      </c>
      <c r="H1" s="155" t="s">
        <v>91</v>
      </c>
      <c r="I1" s="155" t="s">
        <v>91</v>
      </c>
      <c r="J1" s="155" t="s">
        <v>91</v>
      </c>
      <c r="K1" s="155" t="s">
        <v>91</v>
      </c>
      <c r="L1" s="155" t="s">
        <v>90</v>
      </c>
      <c r="M1" s="155" t="s">
        <v>91</v>
      </c>
      <c r="N1" s="155" t="s">
        <v>91</v>
      </c>
      <c r="O1" s="155" t="s">
        <v>91</v>
      </c>
      <c r="P1" s="155" t="s">
        <v>91</v>
      </c>
      <c r="Q1" s="155" t="s">
        <v>91</v>
      </c>
      <c r="R1" s="155" t="s">
        <v>91</v>
      </c>
      <c r="S1" s="155" t="s">
        <v>91</v>
      </c>
      <c r="T1" s="155" t="s">
        <v>91</v>
      </c>
      <c r="U1" s="155" t="s">
        <v>91</v>
      </c>
      <c r="V1" s="155" t="s">
        <v>90</v>
      </c>
      <c r="W1" s="155" t="s">
        <v>91</v>
      </c>
      <c r="X1" s="155" t="s">
        <v>91</v>
      </c>
      <c r="Y1" s="155" t="s">
        <v>91</v>
      </c>
      <c r="Z1" s="155" t="s">
        <v>91</v>
      </c>
      <c r="AA1" s="155" t="s">
        <v>91</v>
      </c>
      <c r="AB1" s="155" t="s">
        <v>91</v>
      </c>
      <c r="AC1" s="155" t="s">
        <v>91</v>
      </c>
      <c r="AD1" s="155" t="s">
        <v>91</v>
      </c>
      <c r="AE1" s="155" t="s">
        <v>91</v>
      </c>
      <c r="AF1" s="155" t="s">
        <v>90</v>
      </c>
      <c r="AG1" s="155" t="s">
        <v>91</v>
      </c>
      <c r="AH1" s="155" t="s">
        <v>91</v>
      </c>
      <c r="AI1" s="155" t="s">
        <v>91</v>
      </c>
      <c r="AJ1" s="155" t="s">
        <v>91</v>
      </c>
      <c r="AK1" s="155" t="s">
        <v>91</v>
      </c>
      <c r="AL1" s="155" t="s">
        <v>91</v>
      </c>
      <c r="AN1" s="326" t="s">
        <v>323</v>
      </c>
      <c r="AO1" s="326"/>
      <c r="AP1" s="326"/>
      <c r="AR1" s="326" t="s">
        <v>338</v>
      </c>
      <c r="AS1" s="326"/>
      <c r="AT1" s="326"/>
      <c r="AV1" s="326" t="s">
        <v>339</v>
      </c>
      <c r="AW1" s="326"/>
      <c r="AX1" s="326"/>
      <c r="AZ1" s="326" t="s">
        <v>340</v>
      </c>
      <c r="BA1" s="326"/>
      <c r="BB1" s="326"/>
      <c r="BD1" s="326" t="s">
        <v>341</v>
      </c>
      <c r="BE1" s="326"/>
      <c r="BF1" s="326"/>
      <c r="BH1" s="326" t="s">
        <v>342</v>
      </c>
      <c r="BI1" s="326"/>
      <c r="BJ1" s="326"/>
      <c r="BL1" s="326" t="s">
        <v>343</v>
      </c>
      <c r="BM1" s="326"/>
      <c r="BN1" s="326"/>
      <c r="BP1" s="326" t="s">
        <v>344</v>
      </c>
      <c r="BQ1" s="326"/>
      <c r="BR1" s="326"/>
      <c r="BT1" s="326" t="s">
        <v>345</v>
      </c>
      <c r="BU1" s="326"/>
      <c r="BV1" s="326"/>
      <c r="BX1" s="326" t="s">
        <v>346</v>
      </c>
      <c r="BY1" s="326"/>
      <c r="BZ1" s="326"/>
      <c r="CB1" s="326" t="s">
        <v>347</v>
      </c>
      <c r="CC1" s="326"/>
      <c r="CD1" s="326"/>
      <c r="CF1" s="326" t="s">
        <v>348</v>
      </c>
      <c r="CG1" s="326"/>
      <c r="CH1" s="326"/>
      <c r="CJ1" s="326" t="s">
        <v>349</v>
      </c>
      <c r="CK1" s="326"/>
      <c r="CL1" s="326"/>
      <c r="CN1" s="326" t="s">
        <v>350</v>
      </c>
      <c r="CO1" s="326"/>
      <c r="CP1" s="326"/>
    </row>
    <row r="2" spans="1:94" s="156" customFormat="1" x14ac:dyDescent="0.2">
      <c r="A2" s="155" t="s">
        <v>92</v>
      </c>
      <c r="B2" s="155">
        <v>1970</v>
      </c>
      <c r="C2" s="155">
        <v>1971</v>
      </c>
      <c r="D2" s="155">
        <v>1972</v>
      </c>
      <c r="E2" s="155">
        <v>1973</v>
      </c>
      <c r="F2" s="155">
        <v>1974</v>
      </c>
      <c r="G2" s="155">
        <v>1975</v>
      </c>
      <c r="H2" s="155">
        <v>1976</v>
      </c>
      <c r="I2" s="155">
        <v>1977</v>
      </c>
      <c r="J2" s="155">
        <v>1978</v>
      </c>
      <c r="K2" s="155">
        <v>1979</v>
      </c>
      <c r="L2" s="155">
        <v>1980</v>
      </c>
      <c r="M2" s="155">
        <v>1981</v>
      </c>
      <c r="N2" s="155">
        <v>1982</v>
      </c>
      <c r="O2" s="155">
        <v>1983</v>
      </c>
      <c r="P2" s="155">
        <v>1984</v>
      </c>
      <c r="Q2" s="155">
        <v>1985</v>
      </c>
      <c r="R2" s="155">
        <v>1986</v>
      </c>
      <c r="S2" s="155">
        <v>1987</v>
      </c>
      <c r="T2" s="155">
        <v>1988</v>
      </c>
      <c r="U2" s="155">
        <v>1989</v>
      </c>
      <c r="V2" s="155">
        <v>1990</v>
      </c>
      <c r="W2" s="155">
        <v>1991</v>
      </c>
      <c r="X2" s="155">
        <v>1992</v>
      </c>
      <c r="Y2" s="155">
        <v>1993</v>
      </c>
      <c r="Z2" s="155">
        <v>1994</v>
      </c>
      <c r="AA2" s="155">
        <v>1995</v>
      </c>
      <c r="AB2" s="155">
        <v>1996</v>
      </c>
      <c r="AC2" s="155">
        <v>1997</v>
      </c>
      <c r="AD2" s="155">
        <v>1998</v>
      </c>
      <c r="AE2" s="155">
        <v>1999</v>
      </c>
      <c r="AF2" s="155">
        <v>2000</v>
      </c>
      <c r="AG2" s="155">
        <v>2001</v>
      </c>
      <c r="AH2" s="155">
        <v>2002</v>
      </c>
      <c r="AI2" s="155">
        <v>2003</v>
      </c>
      <c r="AJ2" s="155">
        <v>2004</v>
      </c>
      <c r="AK2" s="155">
        <v>2005</v>
      </c>
      <c r="AL2" s="155">
        <v>2006</v>
      </c>
      <c r="AM2" s="158"/>
      <c r="AN2" s="326"/>
      <c r="AO2" s="326"/>
      <c r="AP2" s="326"/>
      <c r="AQ2" s="158"/>
      <c r="AR2" s="326"/>
      <c r="AS2" s="326"/>
      <c r="AT2" s="326"/>
      <c r="AU2" s="158"/>
      <c r="AV2" s="326"/>
      <c r="AW2" s="326"/>
      <c r="AX2" s="326"/>
      <c r="AY2" s="158"/>
      <c r="AZ2" s="326"/>
      <c r="BA2" s="326"/>
      <c r="BB2" s="326"/>
      <c r="BC2" s="158"/>
      <c r="BD2" s="326"/>
      <c r="BE2" s="326"/>
      <c r="BF2" s="326"/>
      <c r="BG2" s="158"/>
      <c r="BH2" s="326"/>
      <c r="BI2" s="326"/>
      <c r="BJ2" s="326"/>
      <c r="BK2" s="158"/>
      <c r="BL2" s="326"/>
      <c r="BM2" s="326"/>
      <c r="BN2" s="326"/>
      <c r="BO2" s="158"/>
      <c r="BP2" s="326"/>
      <c r="BQ2" s="326"/>
      <c r="BR2" s="326"/>
      <c r="BS2" s="158"/>
      <c r="BT2" s="326"/>
      <c r="BU2" s="326"/>
      <c r="BV2" s="326"/>
      <c r="BW2" s="158"/>
      <c r="BX2" s="326"/>
      <c r="BY2" s="326"/>
      <c r="BZ2" s="326"/>
      <c r="CA2" s="158"/>
      <c r="CB2" s="326"/>
      <c r="CC2" s="326"/>
      <c r="CD2" s="326"/>
      <c r="CE2" s="158"/>
      <c r="CF2" s="326"/>
      <c r="CG2" s="326"/>
      <c r="CH2" s="326"/>
      <c r="CI2" s="158"/>
      <c r="CJ2" s="326"/>
      <c r="CK2" s="326"/>
      <c r="CL2" s="326"/>
      <c r="CM2" s="158"/>
      <c r="CN2" s="326"/>
      <c r="CO2" s="326"/>
      <c r="CP2" s="326"/>
    </row>
    <row r="3" spans="1:94" ht="12" customHeight="1" x14ac:dyDescent="0.2">
      <c r="A3" s="155" t="s">
        <v>93</v>
      </c>
      <c r="B3" s="155">
        <v>5084411</v>
      </c>
      <c r="C3" s="155">
        <v>5201000</v>
      </c>
      <c r="D3" s="155">
        <v>5296000</v>
      </c>
      <c r="E3" s="155">
        <v>5382000</v>
      </c>
      <c r="F3" s="155">
        <v>5461000</v>
      </c>
      <c r="G3" s="155">
        <v>5535000</v>
      </c>
      <c r="H3" s="155">
        <v>5593000</v>
      </c>
      <c r="I3" s="155">
        <v>5668000</v>
      </c>
      <c r="J3" s="155">
        <v>5739000</v>
      </c>
      <c r="K3" s="155">
        <v>5802000</v>
      </c>
      <c r="L3" s="155">
        <v>5880096</v>
      </c>
      <c r="M3" s="155">
        <v>5956653</v>
      </c>
      <c r="N3" s="155">
        <v>6019108</v>
      </c>
      <c r="O3" s="155">
        <v>6077059</v>
      </c>
      <c r="P3" s="155">
        <v>6164004</v>
      </c>
      <c r="Q3" s="155">
        <v>6253957</v>
      </c>
      <c r="R3" s="155">
        <v>6321576</v>
      </c>
      <c r="S3" s="155">
        <v>6403693</v>
      </c>
      <c r="T3" s="155">
        <v>6480591</v>
      </c>
      <c r="U3" s="155">
        <v>6565462</v>
      </c>
      <c r="V3" s="155">
        <v>6664016</v>
      </c>
      <c r="W3" s="155">
        <v>6784280</v>
      </c>
      <c r="X3" s="155">
        <v>6897214</v>
      </c>
      <c r="Y3" s="155">
        <v>7042818</v>
      </c>
      <c r="Z3" s="155">
        <v>7187398</v>
      </c>
      <c r="AA3" s="155">
        <v>7344674</v>
      </c>
      <c r="AB3" s="155">
        <v>7500670</v>
      </c>
      <c r="AC3" s="155">
        <v>7656825</v>
      </c>
      <c r="AD3" s="155">
        <v>7809121</v>
      </c>
      <c r="AE3" s="155">
        <v>7949361</v>
      </c>
      <c r="AF3" s="155">
        <v>8078429</v>
      </c>
      <c r="AG3" s="155">
        <v>8198279</v>
      </c>
      <c r="AH3" s="155">
        <v>8312755</v>
      </c>
      <c r="AI3" s="155">
        <v>8422375</v>
      </c>
      <c r="AJ3" s="155">
        <v>8540468</v>
      </c>
      <c r="AK3" s="155">
        <v>8683242</v>
      </c>
      <c r="AL3" s="155">
        <v>8856505</v>
      </c>
      <c r="AM3" s="159"/>
      <c r="AN3" s="155" t="s">
        <v>93</v>
      </c>
      <c r="AO3" s="219">
        <v>1.5535355585667432E-2</v>
      </c>
      <c r="AR3" s="155" t="s">
        <v>93</v>
      </c>
      <c r="AS3" s="219">
        <v>1.5278792112078499E-2</v>
      </c>
      <c r="AV3" s="155" t="s">
        <v>93</v>
      </c>
      <c r="AW3" s="219">
        <v>1.5278792112078499E-2</v>
      </c>
      <c r="AZ3" s="155" t="s">
        <v>93</v>
      </c>
      <c r="BA3" s="219">
        <v>1.5877776725704118E-2</v>
      </c>
      <c r="BD3" s="155" t="s">
        <v>93</v>
      </c>
      <c r="BE3" s="219">
        <v>1.6706486546189447E-2</v>
      </c>
      <c r="BH3" s="155" t="s">
        <v>93</v>
      </c>
      <c r="BI3" s="219">
        <v>1.7935818484374311E-2</v>
      </c>
      <c r="BL3" s="155" t="s">
        <v>93</v>
      </c>
      <c r="BM3" s="219">
        <v>1.5443841373615319E-2</v>
      </c>
      <c r="BP3" s="155" t="s">
        <v>93</v>
      </c>
      <c r="BQ3" s="159">
        <v>0.74189399716112647</v>
      </c>
      <c r="BT3" s="155" t="s">
        <v>93</v>
      </c>
      <c r="BU3" s="159">
        <v>0.60009123757904248</v>
      </c>
      <c r="BX3" s="155" t="s">
        <v>93</v>
      </c>
      <c r="BY3" s="159">
        <v>0.50618374257835241</v>
      </c>
      <c r="CB3" s="155" t="s">
        <v>93</v>
      </c>
      <c r="CC3" s="159">
        <v>0.41614421077727271</v>
      </c>
      <c r="CF3" s="155" t="s">
        <v>93</v>
      </c>
      <c r="CG3" s="159">
        <v>0.32900416205483302</v>
      </c>
      <c r="CJ3" s="155" t="s">
        <v>93</v>
      </c>
      <c r="CK3" s="159">
        <v>0.20584044982799782</v>
      </c>
      <c r="CN3" s="155" t="s">
        <v>93</v>
      </c>
      <c r="CO3" s="159">
        <v>9.6315261296472374E-2</v>
      </c>
    </row>
    <row r="4" spans="1:94" x14ac:dyDescent="0.2">
      <c r="A4" s="155" t="s">
        <v>94</v>
      </c>
      <c r="B4" s="155">
        <v>96502</v>
      </c>
      <c r="C4" s="155">
        <v>98500</v>
      </c>
      <c r="D4" s="155">
        <v>99700</v>
      </c>
      <c r="E4" s="155">
        <v>99900</v>
      </c>
      <c r="F4" s="155">
        <v>99300</v>
      </c>
      <c r="G4" s="155">
        <v>98200</v>
      </c>
      <c r="H4" s="155">
        <v>98700</v>
      </c>
      <c r="I4" s="155">
        <v>98500</v>
      </c>
      <c r="J4" s="155">
        <v>98500</v>
      </c>
      <c r="K4" s="155">
        <v>99000</v>
      </c>
      <c r="L4" s="155">
        <v>99319</v>
      </c>
      <c r="M4" s="155">
        <v>100083</v>
      </c>
      <c r="N4" s="155">
        <v>101000</v>
      </c>
      <c r="O4" s="155">
        <v>101559</v>
      </c>
      <c r="P4" s="155">
        <v>101706</v>
      </c>
      <c r="Q4" s="155">
        <v>102524</v>
      </c>
      <c r="R4" s="155">
        <v>103515</v>
      </c>
      <c r="S4" s="155">
        <v>105072</v>
      </c>
      <c r="T4" s="155">
        <v>106327</v>
      </c>
      <c r="U4" s="155">
        <v>107425</v>
      </c>
      <c r="V4" s="155">
        <v>108695</v>
      </c>
      <c r="W4" s="155">
        <v>110762</v>
      </c>
      <c r="X4" s="155">
        <v>112825</v>
      </c>
      <c r="Y4" s="155">
        <v>114678</v>
      </c>
      <c r="Z4" s="155">
        <v>116788</v>
      </c>
      <c r="AA4" s="155">
        <v>118796</v>
      </c>
      <c r="AB4" s="155">
        <v>121263</v>
      </c>
      <c r="AC4" s="155">
        <v>123877</v>
      </c>
      <c r="AD4" s="155">
        <v>126232</v>
      </c>
      <c r="AE4" s="155">
        <v>128743</v>
      </c>
      <c r="AF4" s="160">
        <v>131470</v>
      </c>
      <c r="AG4" s="160">
        <v>133593</v>
      </c>
      <c r="AH4" s="160">
        <v>135603</v>
      </c>
      <c r="AI4" s="160">
        <v>136570</v>
      </c>
      <c r="AJ4" s="160">
        <v>138452</v>
      </c>
      <c r="AK4" s="155">
        <v>140533</v>
      </c>
      <c r="AL4" s="155">
        <v>142661</v>
      </c>
      <c r="AM4" s="159"/>
      <c r="AN4" s="155" t="s">
        <v>94</v>
      </c>
      <c r="AO4" s="219">
        <v>1.0917708275068216E-2</v>
      </c>
      <c r="AP4" s="155">
        <v>49</v>
      </c>
      <c r="AR4" s="155" t="s">
        <v>94</v>
      </c>
      <c r="AS4" s="219">
        <v>1.2120117631452487E-2</v>
      </c>
      <c r="AT4" s="155">
        <v>38</v>
      </c>
      <c r="AV4" s="155" t="s">
        <v>94</v>
      </c>
      <c r="AW4" s="219">
        <v>1.2120117631452487E-2</v>
      </c>
      <c r="AX4" s="155">
        <v>38</v>
      </c>
      <c r="AZ4" s="155" t="s">
        <v>94</v>
      </c>
      <c r="BA4" s="219">
        <v>1.402569196474257E-2</v>
      </c>
      <c r="BB4" s="155">
        <v>33</v>
      </c>
      <c r="BD4" s="155" t="s">
        <v>94</v>
      </c>
      <c r="BE4" s="219">
        <v>1.5856509166588539E-2</v>
      </c>
      <c r="BF4" s="155">
        <v>29</v>
      </c>
      <c r="BH4" s="155" t="s">
        <v>94</v>
      </c>
      <c r="BI4" s="219">
        <v>1.7140579361566877E-2</v>
      </c>
      <c r="BJ4" s="155">
        <v>31</v>
      </c>
      <c r="BL4" s="155" t="s">
        <v>94</v>
      </c>
      <c r="BM4" s="219">
        <v>1.3708528184638968E-2</v>
      </c>
      <c r="BN4" s="155">
        <v>28</v>
      </c>
      <c r="BP4" s="155" t="s">
        <v>94</v>
      </c>
      <c r="BQ4" s="159">
        <v>0.4783216928146567</v>
      </c>
      <c r="BR4" s="155">
        <v>49</v>
      </c>
      <c r="BT4" s="155" t="s">
        <v>94</v>
      </c>
      <c r="BU4" s="159">
        <v>0.45275967413441953</v>
      </c>
      <c r="BV4" s="155">
        <v>38</v>
      </c>
      <c r="BX4" s="155" t="s">
        <v>94</v>
      </c>
      <c r="BY4" s="159">
        <v>0.43639182835107077</v>
      </c>
      <c r="BZ4" s="155">
        <v>33</v>
      </c>
      <c r="CB4" s="155" t="s">
        <v>94</v>
      </c>
      <c r="CC4" s="159">
        <v>0.39148882212945263</v>
      </c>
      <c r="CD4" s="155">
        <v>29</v>
      </c>
      <c r="CF4" s="155" t="s">
        <v>94</v>
      </c>
      <c r="CG4" s="159">
        <v>0.31248907493444961</v>
      </c>
      <c r="CH4" s="155">
        <v>31</v>
      </c>
      <c r="CJ4" s="155" t="s">
        <v>94</v>
      </c>
      <c r="CK4" s="159">
        <v>0.20089060237718442</v>
      </c>
      <c r="CL4" s="155">
        <v>26</v>
      </c>
      <c r="CN4" s="155" t="s">
        <v>94</v>
      </c>
      <c r="CO4" s="159">
        <v>8.5122081083136833E-2</v>
      </c>
      <c r="CP4" s="155">
        <v>28</v>
      </c>
    </row>
    <row r="5" spans="1:94" x14ac:dyDescent="0.2">
      <c r="A5" s="155" t="s">
        <v>95</v>
      </c>
      <c r="B5" s="155">
        <v>19466</v>
      </c>
      <c r="C5" s="155">
        <v>20300</v>
      </c>
      <c r="D5" s="155">
        <v>21200</v>
      </c>
      <c r="E5" s="155">
        <v>22100</v>
      </c>
      <c r="F5" s="155">
        <v>22700</v>
      </c>
      <c r="G5" s="155">
        <v>22900</v>
      </c>
      <c r="H5" s="155">
        <v>23100</v>
      </c>
      <c r="I5" s="155">
        <v>23600</v>
      </c>
      <c r="J5" s="155">
        <v>24100</v>
      </c>
      <c r="K5" s="155">
        <v>24700</v>
      </c>
      <c r="L5" s="155">
        <v>24999</v>
      </c>
      <c r="M5" s="155">
        <v>25260</v>
      </c>
      <c r="N5" s="155">
        <v>25572</v>
      </c>
      <c r="O5" s="155">
        <v>25865</v>
      </c>
      <c r="P5" s="155">
        <v>26097</v>
      </c>
      <c r="Q5" s="155">
        <v>26348</v>
      </c>
      <c r="R5" s="155">
        <v>26557</v>
      </c>
      <c r="S5" s="155">
        <v>26796</v>
      </c>
      <c r="T5" s="155">
        <v>27078</v>
      </c>
      <c r="U5" s="155">
        <v>27423</v>
      </c>
      <c r="V5" s="155">
        <v>27652</v>
      </c>
      <c r="W5" s="155">
        <v>28095</v>
      </c>
      <c r="X5" s="155">
        <v>28453</v>
      </c>
      <c r="Y5" s="155">
        <v>29208</v>
      </c>
      <c r="Z5" s="155">
        <v>29949</v>
      </c>
      <c r="AA5" s="155">
        <v>30496</v>
      </c>
      <c r="AB5" s="155">
        <v>30967</v>
      </c>
      <c r="AC5" s="155">
        <v>31668</v>
      </c>
      <c r="AD5" s="155">
        <v>32492</v>
      </c>
      <c r="AE5" s="155">
        <v>33274</v>
      </c>
      <c r="AF5" s="160">
        <v>33678</v>
      </c>
      <c r="AG5" s="160">
        <v>34018</v>
      </c>
      <c r="AH5" s="160">
        <v>34442</v>
      </c>
      <c r="AI5" s="160">
        <v>34752</v>
      </c>
      <c r="AJ5" s="160">
        <v>35333</v>
      </c>
      <c r="AK5" s="155">
        <v>35492</v>
      </c>
      <c r="AL5" s="155">
        <v>36177</v>
      </c>
      <c r="AM5" s="159"/>
      <c r="AN5" s="155" t="s">
        <v>95</v>
      </c>
      <c r="AO5" s="219">
        <v>1.736443348063843E-2</v>
      </c>
      <c r="AP5" s="155">
        <v>28</v>
      </c>
      <c r="AR5" s="155" t="s">
        <v>95</v>
      </c>
      <c r="AS5" s="219">
        <v>1.4860517804824003E-2</v>
      </c>
      <c r="AT5" s="155">
        <v>30</v>
      </c>
      <c r="AV5" s="155" t="s">
        <v>95</v>
      </c>
      <c r="AW5" s="219">
        <v>1.4860517804824003E-2</v>
      </c>
      <c r="AX5" s="155">
        <v>30</v>
      </c>
      <c r="AZ5" s="155" t="s">
        <v>95</v>
      </c>
      <c r="BA5" s="219">
        <v>1.4316425134743627E-2</v>
      </c>
      <c r="BB5" s="155">
        <v>32</v>
      </c>
      <c r="BD5" s="155" t="s">
        <v>95</v>
      </c>
      <c r="BE5" s="219">
        <v>1.5211254339095204E-2</v>
      </c>
      <c r="BF5" s="155">
        <v>30</v>
      </c>
      <c r="BH5" s="155" t="s">
        <v>95</v>
      </c>
      <c r="BI5" s="219">
        <v>1.6937178458913404E-2</v>
      </c>
      <c r="BJ5" s="155">
        <v>33</v>
      </c>
      <c r="BL5" s="155" t="s">
        <v>95</v>
      </c>
      <c r="BM5" s="219">
        <v>1.2001235890541695E-2</v>
      </c>
      <c r="BN5" s="155">
        <v>34</v>
      </c>
      <c r="BP5" s="155" t="s">
        <v>95</v>
      </c>
      <c r="BQ5" s="159">
        <v>0.85847118051988081</v>
      </c>
      <c r="BR5" s="155">
        <v>28</v>
      </c>
      <c r="BT5" s="155" t="s">
        <v>95</v>
      </c>
      <c r="BU5" s="159">
        <v>0.57978165938864634</v>
      </c>
      <c r="BV5" s="155">
        <v>30</v>
      </c>
      <c r="BX5" s="155" t="s">
        <v>95</v>
      </c>
      <c r="BY5" s="159">
        <v>0.44713788551542061</v>
      </c>
      <c r="BZ5" s="155">
        <v>32</v>
      </c>
      <c r="CB5" s="155" t="s">
        <v>95</v>
      </c>
      <c r="CC5" s="159">
        <v>0.37304539243965384</v>
      </c>
      <c r="CD5" s="155">
        <v>30</v>
      </c>
      <c r="CF5" s="155" t="s">
        <v>95</v>
      </c>
      <c r="CG5" s="159">
        <v>0.30829596412556054</v>
      </c>
      <c r="CH5" s="155">
        <v>33</v>
      </c>
      <c r="CJ5" s="155" t="s">
        <v>95</v>
      </c>
      <c r="CK5" s="159">
        <v>0.18628672612801678</v>
      </c>
      <c r="CL5" s="155">
        <v>32</v>
      </c>
      <c r="CN5" s="155" t="s">
        <v>95</v>
      </c>
      <c r="CO5" s="159">
        <v>7.4202743630856938E-2</v>
      </c>
      <c r="CP5" s="155">
        <v>34</v>
      </c>
    </row>
    <row r="6" spans="1:94" x14ac:dyDescent="0.2">
      <c r="A6" s="155" t="s">
        <v>96</v>
      </c>
      <c r="B6" s="155">
        <v>8134</v>
      </c>
      <c r="C6" s="155">
        <v>8300</v>
      </c>
      <c r="D6" s="155">
        <v>8700</v>
      </c>
      <c r="E6" s="155">
        <v>8800</v>
      </c>
      <c r="F6" s="155">
        <v>9000</v>
      </c>
      <c r="G6" s="155">
        <v>9000</v>
      </c>
      <c r="H6" s="155">
        <v>9300</v>
      </c>
      <c r="I6" s="155">
        <v>9300</v>
      </c>
      <c r="J6" s="155">
        <v>9400</v>
      </c>
      <c r="K6" s="155">
        <v>9600</v>
      </c>
      <c r="L6" s="155">
        <v>9587</v>
      </c>
      <c r="M6" s="155">
        <v>9664</v>
      </c>
      <c r="N6" s="155">
        <v>9754</v>
      </c>
      <c r="O6" s="155">
        <v>9722</v>
      </c>
      <c r="P6" s="155">
        <v>9699</v>
      </c>
      <c r="Q6" s="155">
        <v>9549</v>
      </c>
      <c r="R6" s="155">
        <v>9530</v>
      </c>
      <c r="S6" s="155">
        <v>9550</v>
      </c>
      <c r="T6" s="155">
        <v>9519</v>
      </c>
      <c r="U6" s="155">
        <v>9578</v>
      </c>
      <c r="V6" s="155">
        <v>9622</v>
      </c>
      <c r="W6" s="155">
        <v>9756</v>
      </c>
      <c r="X6" s="155">
        <v>9830</v>
      </c>
      <c r="Y6" s="155">
        <v>9870</v>
      </c>
      <c r="Z6" s="155">
        <v>10020</v>
      </c>
      <c r="AA6" s="155">
        <v>10174</v>
      </c>
      <c r="AB6" s="155">
        <v>10241</v>
      </c>
      <c r="AC6" s="155">
        <v>10287</v>
      </c>
      <c r="AD6" s="155">
        <v>10437</v>
      </c>
      <c r="AE6" s="155">
        <v>10567</v>
      </c>
      <c r="AF6" s="160">
        <v>10701</v>
      </c>
      <c r="AG6" s="160">
        <v>10793</v>
      </c>
      <c r="AH6" s="160">
        <v>10827</v>
      </c>
      <c r="AI6" s="160">
        <v>10864</v>
      </c>
      <c r="AJ6" s="160">
        <v>10862</v>
      </c>
      <c r="AK6" s="155">
        <v>10900</v>
      </c>
      <c r="AL6" s="155">
        <v>10912</v>
      </c>
      <c r="AM6" s="159"/>
      <c r="AN6" s="155" t="s">
        <v>96</v>
      </c>
      <c r="AO6" s="219">
        <v>8.1947920338523161E-3</v>
      </c>
      <c r="AP6" s="155">
        <v>74</v>
      </c>
      <c r="AR6" s="155" t="s">
        <v>96</v>
      </c>
      <c r="AS6" s="219">
        <v>6.233493788754263E-3</v>
      </c>
      <c r="AT6" s="155">
        <v>80</v>
      </c>
      <c r="AV6" s="155" t="s">
        <v>96</v>
      </c>
      <c r="AW6" s="219">
        <v>6.233493788754263E-3</v>
      </c>
      <c r="AX6" s="155">
        <v>80</v>
      </c>
      <c r="AZ6" s="155" t="s">
        <v>96</v>
      </c>
      <c r="BA6" s="219">
        <v>4.9914578346810234E-3</v>
      </c>
      <c r="BB6" s="155">
        <v>81</v>
      </c>
      <c r="BD6" s="155" t="s">
        <v>96</v>
      </c>
      <c r="BE6" s="219">
        <v>6.3738779277178192E-3</v>
      </c>
      <c r="BF6" s="155">
        <v>72</v>
      </c>
      <c r="BH6" s="155" t="s">
        <v>96</v>
      </c>
      <c r="BI6" s="219">
        <v>7.8941808913273182E-3</v>
      </c>
      <c r="BJ6" s="155">
        <v>71</v>
      </c>
      <c r="BL6" s="155" t="s">
        <v>96</v>
      </c>
      <c r="BM6" s="219">
        <v>3.2596187166722412E-3</v>
      </c>
      <c r="BN6" s="155">
        <v>72</v>
      </c>
      <c r="BP6" s="155" t="s">
        <v>96</v>
      </c>
      <c r="BQ6" s="159">
        <v>0.34152938283747236</v>
      </c>
      <c r="BR6" s="155">
        <v>74</v>
      </c>
      <c r="BT6" s="155" t="s">
        <v>96</v>
      </c>
      <c r="BU6" s="159">
        <v>0.21244444444444444</v>
      </c>
      <c r="BV6" s="155">
        <v>80</v>
      </c>
      <c r="BX6" s="155" t="s">
        <v>96</v>
      </c>
      <c r="BY6" s="159">
        <v>0.13820798998643996</v>
      </c>
      <c r="BZ6" s="155">
        <v>81</v>
      </c>
      <c r="CB6" s="155" t="s">
        <v>96</v>
      </c>
      <c r="CC6" s="159">
        <v>0.14273745941983454</v>
      </c>
      <c r="CD6" s="155">
        <v>72</v>
      </c>
      <c r="CF6" s="155" t="s">
        <v>96</v>
      </c>
      <c r="CG6" s="159">
        <v>0.13406776138017043</v>
      </c>
      <c r="CH6" s="155">
        <v>71</v>
      </c>
      <c r="CJ6" s="155" t="s">
        <v>96</v>
      </c>
      <c r="CK6" s="159">
        <v>7.2537841556909774E-2</v>
      </c>
      <c r="CL6" s="155">
        <v>74</v>
      </c>
      <c r="CN6" s="155" t="s">
        <v>96</v>
      </c>
      <c r="CO6" s="159">
        <v>1.9717783384730399E-2</v>
      </c>
      <c r="CP6" s="155">
        <v>72</v>
      </c>
    </row>
    <row r="7" spans="1:94" x14ac:dyDescent="0.2">
      <c r="A7" s="155" t="s">
        <v>97</v>
      </c>
      <c r="B7" s="155">
        <v>23488</v>
      </c>
      <c r="C7" s="155">
        <v>23800</v>
      </c>
      <c r="D7" s="155">
        <v>24100</v>
      </c>
      <c r="E7" s="155">
        <v>24500</v>
      </c>
      <c r="F7" s="155">
        <v>24400</v>
      </c>
      <c r="G7" s="155">
        <v>24700</v>
      </c>
      <c r="H7" s="155">
        <v>24800</v>
      </c>
      <c r="I7" s="155">
        <v>24900</v>
      </c>
      <c r="J7" s="155">
        <v>24900</v>
      </c>
      <c r="K7" s="155">
        <v>25200</v>
      </c>
      <c r="L7" s="155">
        <v>25649</v>
      </c>
      <c r="M7" s="155">
        <v>25427</v>
      </c>
      <c r="N7" s="155">
        <v>25317</v>
      </c>
      <c r="O7" s="155">
        <v>25208</v>
      </c>
      <c r="P7" s="155">
        <v>24997</v>
      </c>
      <c r="Q7" s="155">
        <v>24848</v>
      </c>
      <c r="R7" s="155">
        <v>24605</v>
      </c>
      <c r="S7" s="155">
        <v>24336</v>
      </c>
      <c r="T7" s="155">
        <v>24117</v>
      </c>
      <c r="U7" s="155">
        <v>23755</v>
      </c>
      <c r="V7" s="155">
        <v>23498</v>
      </c>
      <c r="W7" s="155">
        <v>23564</v>
      </c>
      <c r="X7" s="155">
        <v>23761</v>
      </c>
      <c r="Y7" s="155">
        <v>24483</v>
      </c>
      <c r="Z7" s="155">
        <v>24698</v>
      </c>
      <c r="AA7" s="155">
        <v>24630</v>
      </c>
      <c r="AB7" s="155">
        <v>24977</v>
      </c>
      <c r="AC7" s="155">
        <v>25134</v>
      </c>
      <c r="AD7" s="155">
        <v>25340</v>
      </c>
      <c r="AE7" s="155">
        <v>25288</v>
      </c>
      <c r="AF7" s="160">
        <v>25257</v>
      </c>
      <c r="AG7" s="160">
        <v>25259</v>
      </c>
      <c r="AH7" s="160">
        <v>25274</v>
      </c>
      <c r="AI7" s="160">
        <v>25223</v>
      </c>
      <c r="AJ7" s="160">
        <v>25742</v>
      </c>
      <c r="AK7" s="155">
        <v>25499</v>
      </c>
      <c r="AL7" s="155">
        <v>25472</v>
      </c>
      <c r="AM7" s="159"/>
      <c r="AN7" s="155" t="s">
        <v>97</v>
      </c>
      <c r="AO7" s="219">
        <v>2.2550431613159727E-3</v>
      </c>
      <c r="AP7" s="155">
        <v>90</v>
      </c>
      <c r="AR7" s="155" t="s">
        <v>97</v>
      </c>
      <c r="AS7" s="219">
        <v>9.9328543407373182E-4</v>
      </c>
      <c r="AT7" s="155">
        <v>91</v>
      </c>
      <c r="AV7" s="155" t="s">
        <v>97</v>
      </c>
      <c r="AW7" s="219">
        <v>9.9328543407373182E-4</v>
      </c>
      <c r="AX7" s="155">
        <v>91</v>
      </c>
      <c r="AZ7" s="155" t="s">
        <v>97</v>
      </c>
      <c r="BA7" s="219">
        <v>-2.6630202916611001E-4</v>
      </c>
      <c r="BB7" s="155">
        <v>93</v>
      </c>
      <c r="BD7" s="155" t="s">
        <v>97</v>
      </c>
      <c r="BE7" s="219">
        <v>1.1817712303241468E-3</v>
      </c>
      <c r="BF7" s="155">
        <v>91</v>
      </c>
      <c r="BH7" s="155" t="s">
        <v>97</v>
      </c>
      <c r="BI7" s="219">
        <v>5.0542610592336779E-3</v>
      </c>
      <c r="BJ7" s="155">
        <v>87</v>
      </c>
      <c r="BL7" s="155" t="s">
        <v>97</v>
      </c>
      <c r="BM7" s="219">
        <v>1.4137424994469239E-3</v>
      </c>
      <c r="BN7" s="155">
        <v>80</v>
      </c>
      <c r="BP7" s="155" t="s">
        <v>97</v>
      </c>
      <c r="BQ7" s="159">
        <v>8.4468664850136238E-2</v>
      </c>
      <c r="BR7" s="155">
        <v>90</v>
      </c>
      <c r="BT7" s="155" t="s">
        <v>97</v>
      </c>
      <c r="BU7" s="159">
        <v>3.1255060728744941E-2</v>
      </c>
      <c r="BV7" s="155">
        <v>91</v>
      </c>
      <c r="BX7" s="155" t="s">
        <v>97</v>
      </c>
      <c r="BY7" s="159">
        <v>-6.9008538344574833E-3</v>
      </c>
      <c r="BZ7" s="155">
        <v>93</v>
      </c>
      <c r="CB7" s="155" t="s">
        <v>97</v>
      </c>
      <c r="CC7" s="159">
        <v>2.5112685125563427E-2</v>
      </c>
      <c r="CD7" s="155">
        <v>91</v>
      </c>
      <c r="CF7" s="155" t="s">
        <v>97</v>
      </c>
      <c r="CG7" s="159">
        <v>8.4007149544642098E-2</v>
      </c>
      <c r="CH7" s="155">
        <v>87</v>
      </c>
      <c r="CJ7" s="155" t="s">
        <v>97</v>
      </c>
      <c r="CK7" s="159">
        <v>3.4185952090945999E-2</v>
      </c>
      <c r="CL7" s="155">
        <v>87</v>
      </c>
      <c r="CN7" s="155" t="s">
        <v>97</v>
      </c>
      <c r="CO7" s="159">
        <v>8.5124915864908737E-3</v>
      </c>
      <c r="CP7" s="155">
        <v>80</v>
      </c>
    </row>
    <row r="8" spans="1:94" x14ac:dyDescent="0.2">
      <c r="A8" s="155" t="s">
        <v>98</v>
      </c>
      <c r="B8" s="155">
        <v>19571</v>
      </c>
      <c r="C8" s="155">
        <v>20000</v>
      </c>
      <c r="D8" s="155">
        <v>20000</v>
      </c>
      <c r="E8" s="155">
        <v>20200</v>
      </c>
      <c r="F8" s="155">
        <v>20500</v>
      </c>
      <c r="G8" s="155">
        <v>20700</v>
      </c>
      <c r="H8" s="155">
        <v>20900</v>
      </c>
      <c r="I8" s="155">
        <v>21300</v>
      </c>
      <c r="J8" s="155">
        <v>21600</v>
      </c>
      <c r="K8" s="155">
        <v>21800</v>
      </c>
      <c r="L8" s="155">
        <v>22325</v>
      </c>
      <c r="M8" s="155">
        <v>22440</v>
      </c>
      <c r="N8" s="155">
        <v>22496</v>
      </c>
      <c r="O8" s="155">
        <v>22605</v>
      </c>
      <c r="P8" s="155">
        <v>22681</v>
      </c>
      <c r="Q8" s="155">
        <v>22716</v>
      </c>
      <c r="R8" s="155">
        <v>22394</v>
      </c>
      <c r="S8" s="155">
        <v>22398</v>
      </c>
      <c r="T8" s="155">
        <v>22361</v>
      </c>
      <c r="U8" s="155">
        <v>22317</v>
      </c>
      <c r="V8" s="155">
        <v>22206</v>
      </c>
      <c r="W8" s="155">
        <v>22416</v>
      </c>
      <c r="X8" s="155">
        <v>22511</v>
      </c>
      <c r="Y8" s="155">
        <v>22786</v>
      </c>
      <c r="Z8" s="155">
        <v>23099</v>
      </c>
      <c r="AA8" s="155">
        <v>23339</v>
      </c>
      <c r="AB8" s="155">
        <v>23691</v>
      </c>
      <c r="AC8" s="155">
        <v>23865</v>
      </c>
      <c r="AD8" s="155">
        <v>23989</v>
      </c>
      <c r="AE8" s="155">
        <v>24181</v>
      </c>
      <c r="AF8" s="160">
        <v>24458</v>
      </c>
      <c r="AG8" s="160">
        <v>24657</v>
      </c>
      <c r="AH8" s="160">
        <v>24845</v>
      </c>
      <c r="AI8" s="160">
        <v>25060</v>
      </c>
      <c r="AJ8" s="160">
        <v>25287</v>
      </c>
      <c r="AK8" s="155">
        <v>25347</v>
      </c>
      <c r="AL8" s="155">
        <v>25499</v>
      </c>
      <c r="AM8" s="159"/>
      <c r="AN8" s="155" t="s">
        <v>98</v>
      </c>
      <c r="AO8" s="219">
        <v>7.3768077118527842E-3</v>
      </c>
      <c r="AP8" s="155">
        <v>78</v>
      </c>
      <c r="AR8" s="155" t="s">
        <v>98</v>
      </c>
      <c r="AS8" s="219">
        <v>6.7486552493818408E-3</v>
      </c>
      <c r="AT8" s="155">
        <v>75</v>
      </c>
      <c r="AV8" s="155" t="s">
        <v>98</v>
      </c>
      <c r="AW8" s="219">
        <v>6.7486552493818408E-3</v>
      </c>
      <c r="AX8" s="155">
        <v>75</v>
      </c>
      <c r="AZ8" s="155" t="s">
        <v>98</v>
      </c>
      <c r="BA8" s="219">
        <v>5.1258659505857285E-3</v>
      </c>
      <c r="BB8" s="155">
        <v>80</v>
      </c>
      <c r="BD8" s="155" t="s">
        <v>98</v>
      </c>
      <c r="BE8" s="219">
        <v>5.5184907812404482E-3</v>
      </c>
      <c r="BF8" s="155">
        <v>80</v>
      </c>
      <c r="BH8" s="155" t="s">
        <v>98</v>
      </c>
      <c r="BI8" s="219">
        <v>8.6797470089416962E-3</v>
      </c>
      <c r="BJ8" s="155">
        <v>66</v>
      </c>
      <c r="BL8" s="155" t="s">
        <v>98</v>
      </c>
      <c r="BM8" s="219">
        <v>6.9711653913495653E-3</v>
      </c>
      <c r="BN8" s="155">
        <v>51</v>
      </c>
      <c r="BP8" s="155" t="s">
        <v>98</v>
      </c>
      <c r="BQ8" s="159">
        <v>0.30289714373307447</v>
      </c>
      <c r="BR8" s="155">
        <v>78</v>
      </c>
      <c r="BT8" s="155" t="s">
        <v>98</v>
      </c>
      <c r="BU8" s="159">
        <v>0.23183574879227054</v>
      </c>
      <c r="BV8" s="155">
        <v>75</v>
      </c>
      <c r="BX8" s="155" t="s">
        <v>98</v>
      </c>
      <c r="BY8" s="159">
        <v>0.14217245240761478</v>
      </c>
      <c r="BZ8" s="155">
        <v>80</v>
      </c>
      <c r="CB8" s="155" t="s">
        <v>98</v>
      </c>
      <c r="CC8" s="159">
        <v>0.12251276633210072</v>
      </c>
      <c r="CD8" s="155">
        <v>80</v>
      </c>
      <c r="CF8" s="155" t="s">
        <v>98</v>
      </c>
      <c r="CG8" s="159">
        <v>0.14829325407547508</v>
      </c>
      <c r="CH8" s="155">
        <v>66</v>
      </c>
      <c r="CJ8" s="155" t="s">
        <v>98</v>
      </c>
      <c r="CK8" s="159">
        <v>9.2548952397274953E-2</v>
      </c>
      <c r="CL8" s="155">
        <v>61</v>
      </c>
      <c r="CN8" s="155" t="s">
        <v>98</v>
      </c>
      <c r="CO8" s="159">
        <v>4.2562760650911767E-2</v>
      </c>
      <c r="CP8" s="155">
        <v>51</v>
      </c>
    </row>
    <row r="9" spans="1:94" x14ac:dyDescent="0.2">
      <c r="A9" s="155" t="s">
        <v>99</v>
      </c>
      <c r="B9" s="155">
        <v>12655</v>
      </c>
      <c r="C9" s="155">
        <v>13200</v>
      </c>
      <c r="D9" s="155">
        <v>13500</v>
      </c>
      <c r="E9" s="155">
        <v>13600</v>
      </c>
      <c r="F9" s="155">
        <v>14100</v>
      </c>
      <c r="G9" s="155">
        <v>14200</v>
      </c>
      <c r="H9" s="155">
        <v>14200</v>
      </c>
      <c r="I9" s="155">
        <v>14200</v>
      </c>
      <c r="J9" s="155">
        <v>14200</v>
      </c>
      <c r="K9" s="155">
        <v>14300</v>
      </c>
      <c r="L9" s="155">
        <v>14409</v>
      </c>
      <c r="M9" s="155">
        <v>14529</v>
      </c>
      <c r="N9" s="155">
        <v>14572</v>
      </c>
      <c r="O9" s="155">
        <v>14644</v>
      </c>
      <c r="P9" s="155">
        <v>14760</v>
      </c>
      <c r="Q9" s="155">
        <v>14723</v>
      </c>
      <c r="R9" s="155">
        <v>14687</v>
      </c>
      <c r="S9" s="155">
        <v>14809</v>
      </c>
      <c r="T9" s="155">
        <v>14828</v>
      </c>
      <c r="U9" s="155">
        <v>14868</v>
      </c>
      <c r="V9" s="155">
        <v>14925</v>
      </c>
      <c r="W9" s="155">
        <v>15024</v>
      </c>
      <c r="X9" s="155">
        <v>15162</v>
      </c>
      <c r="Y9" s="155">
        <v>15377</v>
      </c>
      <c r="Z9" s="155">
        <v>15472</v>
      </c>
      <c r="AA9" s="155">
        <v>15665</v>
      </c>
      <c r="AB9" s="155">
        <v>15931</v>
      </c>
      <c r="AC9" s="155">
        <v>16123</v>
      </c>
      <c r="AD9" s="155">
        <v>16255</v>
      </c>
      <c r="AE9" s="155">
        <v>17040</v>
      </c>
      <c r="AF9" s="160">
        <v>17193</v>
      </c>
      <c r="AG9" s="160">
        <v>17586</v>
      </c>
      <c r="AH9" s="160">
        <v>17699</v>
      </c>
      <c r="AI9" s="160">
        <v>17716</v>
      </c>
      <c r="AJ9" s="160">
        <v>17747</v>
      </c>
      <c r="AK9" s="155">
        <v>17641</v>
      </c>
      <c r="AL9" s="155">
        <v>17674</v>
      </c>
      <c r="AM9" s="159"/>
      <c r="AN9" s="155" t="s">
        <v>99</v>
      </c>
      <c r="AO9" s="219">
        <v>9.3221340134530539E-3</v>
      </c>
      <c r="AP9" s="155">
        <v>61</v>
      </c>
      <c r="AR9" s="155" t="s">
        <v>99</v>
      </c>
      <c r="AS9" s="219">
        <v>7.084742377024833E-3</v>
      </c>
      <c r="AT9" s="155">
        <v>72</v>
      </c>
      <c r="AV9" s="155" t="s">
        <v>99</v>
      </c>
      <c r="AW9" s="219">
        <v>7.084742377024833E-3</v>
      </c>
      <c r="AX9" s="155">
        <v>73</v>
      </c>
      <c r="AZ9" s="155" t="s">
        <v>99</v>
      </c>
      <c r="BA9" s="219">
        <v>7.8863819635279775E-3</v>
      </c>
      <c r="BB9" s="155">
        <v>63</v>
      </c>
      <c r="BD9" s="155" t="s">
        <v>99</v>
      </c>
      <c r="BE9" s="219">
        <v>8.7371737566066532E-3</v>
      </c>
      <c r="BF9" s="155">
        <v>58</v>
      </c>
      <c r="BH9" s="155" t="s">
        <v>99</v>
      </c>
      <c r="BI9" s="219">
        <v>1.062207880714916E-2</v>
      </c>
      <c r="BJ9" s="155">
        <v>56</v>
      </c>
      <c r="BL9" s="155" t="s">
        <v>99</v>
      </c>
      <c r="BM9" s="219">
        <v>4.609308475057361E-3</v>
      </c>
      <c r="BN9" s="155">
        <v>65</v>
      </c>
      <c r="BP9" s="155" t="s">
        <v>99</v>
      </c>
      <c r="BQ9" s="159">
        <v>0.39660213354405371</v>
      </c>
      <c r="BR9" s="155">
        <v>61</v>
      </c>
      <c r="BT9" s="155" t="s">
        <v>99</v>
      </c>
      <c r="BU9" s="159">
        <v>0.24464788732394366</v>
      </c>
      <c r="BV9" s="155">
        <v>72</v>
      </c>
      <c r="BX9" s="155" t="s">
        <v>99</v>
      </c>
      <c r="BY9" s="159">
        <v>0.22659448955513914</v>
      </c>
      <c r="BZ9" s="155">
        <v>62</v>
      </c>
      <c r="CB9" s="155" t="s">
        <v>99</v>
      </c>
      <c r="CC9" s="159">
        <v>0.20043469401616518</v>
      </c>
      <c r="CD9" s="155">
        <v>57</v>
      </c>
      <c r="CF9" s="155" t="s">
        <v>99</v>
      </c>
      <c r="CG9" s="159">
        <v>0.18418760469011725</v>
      </c>
      <c r="CH9" s="155">
        <v>57</v>
      </c>
      <c r="CJ9" s="155" t="s">
        <v>99</v>
      </c>
      <c r="CK9" s="159">
        <v>0.12824768592403446</v>
      </c>
      <c r="CL9" s="155">
        <v>47</v>
      </c>
      <c r="CN9" s="155" t="s">
        <v>99</v>
      </c>
      <c r="CO9" s="159">
        <v>2.7976502064793813E-2</v>
      </c>
      <c r="CP9" s="155">
        <v>65</v>
      </c>
    </row>
    <row r="10" spans="1:94" x14ac:dyDescent="0.2">
      <c r="A10" s="155" t="s">
        <v>100</v>
      </c>
      <c r="B10" s="155">
        <v>35980</v>
      </c>
      <c r="C10" s="155">
        <v>36300</v>
      </c>
      <c r="D10" s="155">
        <v>36300</v>
      </c>
      <c r="E10" s="155">
        <v>36900</v>
      </c>
      <c r="F10" s="155">
        <v>37200</v>
      </c>
      <c r="G10" s="155">
        <v>38100</v>
      </c>
      <c r="H10" s="155">
        <v>38900</v>
      </c>
      <c r="I10" s="155">
        <v>39400</v>
      </c>
      <c r="J10" s="155">
        <v>39700</v>
      </c>
      <c r="K10" s="155">
        <v>40200</v>
      </c>
      <c r="L10" s="155">
        <v>40355</v>
      </c>
      <c r="M10" s="155">
        <v>41095</v>
      </c>
      <c r="N10" s="155">
        <v>41613</v>
      </c>
      <c r="O10" s="155">
        <v>42025</v>
      </c>
      <c r="P10" s="155">
        <v>42372</v>
      </c>
      <c r="Q10" s="155">
        <v>42211</v>
      </c>
      <c r="R10" s="155">
        <v>41975</v>
      </c>
      <c r="S10" s="155">
        <v>41903</v>
      </c>
      <c r="T10" s="155">
        <v>42171</v>
      </c>
      <c r="U10" s="155">
        <v>42179</v>
      </c>
      <c r="V10" s="155">
        <v>42374</v>
      </c>
      <c r="W10" s="155">
        <v>42673</v>
      </c>
      <c r="X10" s="155">
        <v>42945</v>
      </c>
      <c r="Y10" s="155">
        <v>43349</v>
      </c>
      <c r="Z10" s="155">
        <v>43683</v>
      </c>
      <c r="AA10" s="155">
        <v>43888</v>
      </c>
      <c r="AB10" s="155">
        <v>43882</v>
      </c>
      <c r="AC10" s="155">
        <v>44120</v>
      </c>
      <c r="AD10" s="155">
        <v>44423</v>
      </c>
      <c r="AE10" s="155">
        <v>45001</v>
      </c>
      <c r="AF10" s="160">
        <v>44989</v>
      </c>
      <c r="AG10" s="160">
        <v>45110</v>
      </c>
      <c r="AH10" s="160">
        <v>45263</v>
      </c>
      <c r="AI10" s="160">
        <v>45417</v>
      </c>
      <c r="AJ10" s="160">
        <v>45635</v>
      </c>
      <c r="AK10" s="155">
        <v>46018</v>
      </c>
      <c r="AL10" s="155">
        <v>46355</v>
      </c>
      <c r="AM10" s="159"/>
      <c r="AN10" s="155" t="s">
        <v>100</v>
      </c>
      <c r="AO10" s="219">
        <v>7.0627670919525265E-3</v>
      </c>
      <c r="AP10" s="155">
        <v>79</v>
      </c>
      <c r="AR10" s="155" t="s">
        <v>100</v>
      </c>
      <c r="AS10" s="219">
        <v>6.34633963204978E-3</v>
      </c>
      <c r="AT10" s="155">
        <v>78</v>
      </c>
      <c r="AV10" s="155" t="s">
        <v>100</v>
      </c>
      <c r="AW10" s="219">
        <v>6.34633963204978E-3</v>
      </c>
      <c r="AX10" s="155">
        <v>78</v>
      </c>
      <c r="AZ10" s="155" t="s">
        <v>100</v>
      </c>
      <c r="BA10" s="219">
        <v>5.3455389222061278E-3</v>
      </c>
      <c r="BB10" s="155">
        <v>78</v>
      </c>
      <c r="BD10" s="155" t="s">
        <v>100</v>
      </c>
      <c r="BE10" s="219">
        <v>4.4694014706028184E-3</v>
      </c>
      <c r="BF10" s="155">
        <v>83</v>
      </c>
      <c r="BH10" s="155" t="s">
        <v>100</v>
      </c>
      <c r="BI10" s="219">
        <v>5.6279146967046501E-3</v>
      </c>
      <c r="BJ10" s="155">
        <v>81</v>
      </c>
      <c r="BL10" s="155" t="s">
        <v>100</v>
      </c>
      <c r="BM10" s="219">
        <v>4.9976376746081463E-3</v>
      </c>
      <c r="BN10" s="155">
        <v>60</v>
      </c>
      <c r="BP10" s="155" t="s">
        <v>100</v>
      </c>
      <c r="BQ10" s="159">
        <v>0.28835464146748191</v>
      </c>
      <c r="BR10" s="155">
        <v>79</v>
      </c>
      <c r="BT10" s="155" t="s">
        <v>100</v>
      </c>
      <c r="BU10" s="159">
        <v>0.21666666666666667</v>
      </c>
      <c r="BV10" s="155">
        <v>78</v>
      </c>
      <c r="BX10" s="155" t="s">
        <v>100</v>
      </c>
      <c r="BY10" s="159">
        <v>0.14868046090942882</v>
      </c>
      <c r="BZ10" s="155">
        <v>78</v>
      </c>
      <c r="CB10" s="155" t="s">
        <v>100</v>
      </c>
      <c r="CC10" s="159">
        <v>9.8173461893819147E-2</v>
      </c>
      <c r="CD10" s="155">
        <v>83</v>
      </c>
      <c r="CF10" s="155" t="s">
        <v>100</v>
      </c>
      <c r="CG10" s="159">
        <v>9.3949119743238774E-2</v>
      </c>
      <c r="CH10" s="155">
        <v>81</v>
      </c>
      <c r="CJ10" s="155" t="s">
        <v>100</v>
      </c>
      <c r="CK10" s="159">
        <v>5.6211265038279258E-2</v>
      </c>
      <c r="CL10" s="155">
        <v>79</v>
      </c>
      <c r="CN10" s="155" t="s">
        <v>100</v>
      </c>
      <c r="CO10" s="159">
        <v>3.0362977616750761E-2</v>
      </c>
      <c r="CP10" s="155">
        <v>60</v>
      </c>
    </row>
    <row r="11" spans="1:94" x14ac:dyDescent="0.2">
      <c r="A11" s="155" t="s">
        <v>101</v>
      </c>
      <c r="B11" s="155">
        <v>20528</v>
      </c>
      <c r="C11" s="155">
        <v>20900</v>
      </c>
      <c r="D11" s="155">
        <v>20900</v>
      </c>
      <c r="E11" s="155">
        <v>20700</v>
      </c>
      <c r="F11" s="155">
        <v>20600</v>
      </c>
      <c r="G11" s="155">
        <v>20900</v>
      </c>
      <c r="H11" s="155">
        <v>21000</v>
      </c>
      <c r="I11" s="155">
        <v>21300</v>
      </c>
      <c r="J11" s="155">
        <v>21200</v>
      </c>
      <c r="K11" s="155">
        <v>21000</v>
      </c>
      <c r="L11" s="155">
        <v>21024</v>
      </c>
      <c r="M11" s="155">
        <v>21014</v>
      </c>
      <c r="N11" s="155">
        <v>21048</v>
      </c>
      <c r="O11" s="155">
        <v>21132</v>
      </c>
      <c r="P11" s="155">
        <v>21023</v>
      </c>
      <c r="Q11" s="155">
        <v>21001</v>
      </c>
      <c r="R11" s="155">
        <v>20806</v>
      </c>
      <c r="S11" s="155">
        <v>20677</v>
      </c>
      <c r="T11" s="155">
        <v>20522</v>
      </c>
      <c r="U11" s="155">
        <v>20497</v>
      </c>
      <c r="V11" s="155">
        <v>20390</v>
      </c>
      <c r="W11" s="155">
        <v>20459</v>
      </c>
      <c r="X11" s="155">
        <v>20320</v>
      </c>
      <c r="Y11" s="155">
        <v>20445</v>
      </c>
      <c r="Z11" s="155">
        <v>20419</v>
      </c>
      <c r="AA11" s="155">
        <v>20439</v>
      </c>
      <c r="AB11" s="155">
        <v>20257</v>
      </c>
      <c r="AC11" s="155">
        <v>20129</v>
      </c>
      <c r="AD11" s="155">
        <v>19964</v>
      </c>
      <c r="AE11" s="155">
        <v>19903</v>
      </c>
      <c r="AF11" s="160">
        <v>19722</v>
      </c>
      <c r="AG11" s="160">
        <v>19677</v>
      </c>
      <c r="AH11" s="160">
        <v>19626</v>
      </c>
      <c r="AI11" s="160">
        <v>19485</v>
      </c>
      <c r="AJ11" s="160">
        <v>19500</v>
      </c>
      <c r="AK11" s="155">
        <v>19480</v>
      </c>
      <c r="AL11" s="155">
        <v>19094</v>
      </c>
      <c r="AM11" s="159"/>
      <c r="AN11" s="155" t="s">
        <v>101</v>
      </c>
      <c r="AO11" s="219">
        <v>-2.0095242609113884E-3</v>
      </c>
      <c r="AP11" s="155">
        <v>99</v>
      </c>
      <c r="AR11" s="155" t="s">
        <v>101</v>
      </c>
      <c r="AS11" s="219">
        <v>-2.9110774565481723E-3</v>
      </c>
      <c r="AT11" s="155">
        <v>99</v>
      </c>
      <c r="AV11" s="155" t="s">
        <v>101</v>
      </c>
      <c r="AW11" s="219">
        <v>-2.9110774565481723E-3</v>
      </c>
      <c r="AX11" s="155">
        <v>99</v>
      </c>
      <c r="AZ11" s="155" t="s">
        <v>101</v>
      </c>
      <c r="BA11" s="219">
        <v>-3.6966310637878141E-3</v>
      </c>
      <c r="BB11" s="155">
        <v>99</v>
      </c>
      <c r="BD11" s="155" t="s">
        <v>101</v>
      </c>
      <c r="BE11" s="219">
        <v>-4.5228792199990542E-3</v>
      </c>
      <c r="BF11" s="155">
        <v>100</v>
      </c>
      <c r="BH11" s="155" t="s">
        <v>101</v>
      </c>
      <c r="BI11" s="219">
        <v>-4.0959906415550806E-3</v>
      </c>
      <c r="BJ11" s="155">
        <v>99</v>
      </c>
      <c r="BL11" s="155" t="s">
        <v>101</v>
      </c>
      <c r="BM11" s="219">
        <v>-5.3789172611266034E-3</v>
      </c>
      <c r="BN11" s="155">
        <v>96</v>
      </c>
      <c r="BP11" s="155" t="s">
        <v>101</v>
      </c>
      <c r="BQ11" s="159">
        <v>-6.9855806703039744E-2</v>
      </c>
      <c r="BR11" s="155">
        <v>99</v>
      </c>
      <c r="BT11" s="155" t="s">
        <v>101</v>
      </c>
      <c r="BU11" s="159">
        <v>-8.6411483253588522E-2</v>
      </c>
      <c r="BV11" s="155">
        <v>99</v>
      </c>
      <c r="BX11" s="155" t="s">
        <v>101</v>
      </c>
      <c r="BY11" s="159">
        <v>-9.1799847792998476E-2</v>
      </c>
      <c r="BZ11" s="155">
        <v>99</v>
      </c>
      <c r="CB11" s="155" t="s">
        <v>101</v>
      </c>
      <c r="CC11" s="159">
        <v>-9.0805199752392748E-2</v>
      </c>
      <c r="CD11" s="155">
        <v>100</v>
      </c>
      <c r="CF11" s="155" t="s">
        <v>101</v>
      </c>
      <c r="CG11" s="159">
        <v>-6.3560568906326637E-2</v>
      </c>
      <c r="CH11" s="155">
        <v>100</v>
      </c>
      <c r="CJ11" s="155" t="s">
        <v>101</v>
      </c>
      <c r="CK11" s="159">
        <v>-6.5805567787073735E-2</v>
      </c>
      <c r="CL11" s="155">
        <v>99</v>
      </c>
      <c r="CN11" s="155" t="s">
        <v>101</v>
      </c>
      <c r="CO11" s="159">
        <v>-3.1842612311124632E-2</v>
      </c>
      <c r="CP11" s="155">
        <v>96</v>
      </c>
    </row>
    <row r="12" spans="1:94" x14ac:dyDescent="0.2">
      <c r="A12" s="155" t="s">
        <v>102</v>
      </c>
      <c r="B12" s="155">
        <v>26477</v>
      </c>
      <c r="C12" s="155">
        <v>26900</v>
      </c>
      <c r="D12" s="155">
        <v>27400</v>
      </c>
      <c r="E12" s="155">
        <v>28100</v>
      </c>
      <c r="F12" s="155">
        <v>28700</v>
      </c>
      <c r="G12" s="155">
        <v>29200</v>
      </c>
      <c r="H12" s="155">
        <v>29300</v>
      </c>
      <c r="I12" s="155">
        <v>29700</v>
      </c>
      <c r="J12" s="155">
        <v>30000</v>
      </c>
      <c r="K12" s="155">
        <v>30100</v>
      </c>
      <c r="L12" s="155">
        <v>30491</v>
      </c>
      <c r="M12" s="155">
        <v>30393</v>
      </c>
      <c r="N12" s="155">
        <v>30147</v>
      </c>
      <c r="O12" s="155">
        <v>29845</v>
      </c>
      <c r="P12" s="155">
        <v>29760</v>
      </c>
      <c r="Q12" s="155">
        <v>29615</v>
      </c>
      <c r="R12" s="155">
        <v>29393</v>
      </c>
      <c r="S12" s="155">
        <v>29200</v>
      </c>
      <c r="T12" s="155">
        <v>29076</v>
      </c>
      <c r="U12" s="155">
        <v>28941</v>
      </c>
      <c r="V12" s="155">
        <v>28676</v>
      </c>
      <c r="W12" s="155">
        <v>28991</v>
      </c>
      <c r="X12" s="155">
        <v>29311</v>
      </c>
      <c r="Y12" s="155">
        <v>29655</v>
      </c>
      <c r="Z12" s="155">
        <v>30277</v>
      </c>
      <c r="AA12" s="155">
        <v>30665</v>
      </c>
      <c r="AB12" s="155">
        <v>30977</v>
      </c>
      <c r="AC12" s="155">
        <v>31595</v>
      </c>
      <c r="AD12" s="155">
        <v>31969</v>
      </c>
      <c r="AE12" s="155">
        <v>32143</v>
      </c>
      <c r="AF12" s="160">
        <v>32256</v>
      </c>
      <c r="AG12" s="160">
        <v>32565</v>
      </c>
      <c r="AH12" s="160">
        <v>32457</v>
      </c>
      <c r="AI12" s="160">
        <v>32646</v>
      </c>
      <c r="AJ12" s="160">
        <v>32970</v>
      </c>
      <c r="AK12" s="155">
        <v>32938</v>
      </c>
      <c r="AL12" s="155">
        <v>32921</v>
      </c>
      <c r="AM12" s="159"/>
      <c r="AN12" s="155" t="s">
        <v>102</v>
      </c>
      <c r="AO12" s="219">
        <v>6.0692973440579223E-3</v>
      </c>
      <c r="AP12" s="155">
        <v>83</v>
      </c>
      <c r="AR12" s="155" t="s">
        <v>102</v>
      </c>
      <c r="AS12" s="219">
        <v>3.8765927759840668E-3</v>
      </c>
      <c r="AT12" s="155">
        <v>85</v>
      </c>
      <c r="AV12" s="155" t="s">
        <v>102</v>
      </c>
      <c r="AW12" s="219">
        <v>3.8765927759840668E-3</v>
      </c>
      <c r="AX12" s="155">
        <v>85</v>
      </c>
      <c r="AZ12" s="155" t="s">
        <v>102</v>
      </c>
      <c r="BA12" s="219">
        <v>2.9535529340829481E-3</v>
      </c>
      <c r="BB12" s="155">
        <v>86</v>
      </c>
      <c r="BD12" s="155" t="s">
        <v>102</v>
      </c>
      <c r="BE12" s="219">
        <v>5.0522321910893009E-3</v>
      </c>
      <c r="BF12" s="155">
        <v>81</v>
      </c>
      <c r="BH12" s="155" t="s">
        <v>102</v>
      </c>
      <c r="BI12" s="219">
        <v>8.665468173347568E-3</v>
      </c>
      <c r="BJ12" s="155">
        <v>67</v>
      </c>
      <c r="BL12" s="155" t="s">
        <v>102</v>
      </c>
      <c r="BM12" s="219">
        <v>3.4069036099451111E-3</v>
      </c>
      <c r="BN12" s="155">
        <v>69</v>
      </c>
      <c r="BP12" s="155" t="s">
        <v>102</v>
      </c>
      <c r="BQ12" s="159">
        <v>0.2433810477017789</v>
      </c>
      <c r="BR12" s="155">
        <v>83</v>
      </c>
      <c r="BT12" s="155" t="s">
        <v>102</v>
      </c>
      <c r="BU12" s="159">
        <v>0.12743150684931506</v>
      </c>
      <c r="BV12" s="155">
        <v>85</v>
      </c>
      <c r="BX12" s="155" t="s">
        <v>102</v>
      </c>
      <c r="BY12" s="159">
        <v>7.9695647896100494E-2</v>
      </c>
      <c r="BZ12" s="155">
        <v>86</v>
      </c>
      <c r="CB12" s="155" t="s">
        <v>102</v>
      </c>
      <c r="CC12" s="159">
        <v>0.11163261860543644</v>
      </c>
      <c r="CD12" s="155">
        <v>81</v>
      </c>
      <c r="CF12" s="155" t="s">
        <v>102</v>
      </c>
      <c r="CG12" s="159">
        <v>0.14803319849351373</v>
      </c>
      <c r="CH12" s="155">
        <v>67</v>
      </c>
      <c r="CJ12" s="155" t="s">
        <v>102</v>
      </c>
      <c r="CK12" s="159">
        <v>7.3569215718245554E-2</v>
      </c>
      <c r="CL12" s="155">
        <v>73</v>
      </c>
      <c r="CN12" s="155" t="s">
        <v>102</v>
      </c>
      <c r="CO12" s="159">
        <v>2.0616319444444444E-2</v>
      </c>
      <c r="CP12" s="155">
        <v>69</v>
      </c>
    </row>
    <row r="13" spans="1:94" x14ac:dyDescent="0.2">
      <c r="A13" s="155" t="s">
        <v>103</v>
      </c>
      <c r="B13" s="155">
        <v>24223</v>
      </c>
      <c r="C13" s="155">
        <v>25800</v>
      </c>
      <c r="D13" s="155">
        <v>28500</v>
      </c>
      <c r="E13" s="155">
        <v>31400</v>
      </c>
      <c r="F13" s="155">
        <v>33300</v>
      </c>
      <c r="G13" s="155">
        <v>33900</v>
      </c>
      <c r="H13" s="155">
        <v>34500</v>
      </c>
      <c r="I13" s="155">
        <v>34400</v>
      </c>
      <c r="J13" s="155">
        <v>34700</v>
      </c>
      <c r="K13" s="155">
        <v>35200</v>
      </c>
      <c r="L13" s="155">
        <v>35777</v>
      </c>
      <c r="M13" s="155">
        <v>37155</v>
      </c>
      <c r="N13" s="155">
        <v>38703</v>
      </c>
      <c r="O13" s="155">
        <v>40523</v>
      </c>
      <c r="P13" s="155">
        <v>42828</v>
      </c>
      <c r="Q13" s="155">
        <v>44808</v>
      </c>
      <c r="R13" s="155">
        <v>46780</v>
      </c>
      <c r="S13" s="155">
        <v>48428</v>
      </c>
      <c r="T13" s="155">
        <v>49546</v>
      </c>
      <c r="U13" s="155">
        <v>50169</v>
      </c>
      <c r="V13" s="155">
        <v>51271</v>
      </c>
      <c r="W13" s="155">
        <v>52402</v>
      </c>
      <c r="X13" s="155">
        <v>54173</v>
      </c>
      <c r="Y13" s="155">
        <v>56333</v>
      </c>
      <c r="Z13" s="155">
        <v>58348</v>
      </c>
      <c r="AA13" s="155">
        <v>60627</v>
      </c>
      <c r="AB13" s="155">
        <v>63177</v>
      </c>
      <c r="AC13" s="155">
        <v>66021</v>
      </c>
      <c r="AD13" s="155">
        <v>68618</v>
      </c>
      <c r="AE13" s="155">
        <v>71367</v>
      </c>
      <c r="AF13" s="160">
        <v>73766</v>
      </c>
      <c r="AG13" s="160">
        <v>76370</v>
      </c>
      <c r="AH13" s="160">
        <v>78889</v>
      </c>
      <c r="AI13" s="160">
        <v>81618</v>
      </c>
      <c r="AJ13" s="160">
        <v>84590</v>
      </c>
      <c r="AK13" s="155">
        <v>89162</v>
      </c>
      <c r="AL13" s="155">
        <v>94945</v>
      </c>
      <c r="AM13" s="159"/>
      <c r="AN13" s="155" t="s">
        <v>103</v>
      </c>
      <c r="AO13" s="219">
        <v>3.8673388168568801E-2</v>
      </c>
      <c r="AP13" s="155">
        <v>2</v>
      </c>
      <c r="AR13" s="155" t="s">
        <v>103</v>
      </c>
      <c r="AS13" s="219">
        <v>3.3780038349002783E-2</v>
      </c>
      <c r="AT13" s="155">
        <v>3</v>
      </c>
      <c r="AV13" s="155" t="s">
        <v>103</v>
      </c>
      <c r="AW13" s="219">
        <v>3.3780038349002783E-2</v>
      </c>
      <c r="AX13" s="155">
        <v>3</v>
      </c>
      <c r="AZ13" s="155" t="s">
        <v>103</v>
      </c>
      <c r="BA13" s="219">
        <v>3.8251631490921589E-2</v>
      </c>
      <c r="BB13" s="155">
        <v>1</v>
      </c>
      <c r="BD13" s="155" t="s">
        <v>103</v>
      </c>
      <c r="BE13" s="219">
        <v>3.6404664691322752E-2</v>
      </c>
      <c r="BF13" s="155">
        <v>3</v>
      </c>
      <c r="BH13" s="155" t="s">
        <v>103</v>
      </c>
      <c r="BI13" s="219">
        <v>3.9261931956172447E-2</v>
      </c>
      <c r="BJ13" s="155">
        <v>3</v>
      </c>
      <c r="BL13" s="155" t="s">
        <v>103</v>
      </c>
      <c r="BM13" s="219">
        <v>4.2963982289736524E-2</v>
      </c>
      <c r="BN13" s="155">
        <v>4</v>
      </c>
      <c r="BP13" s="155" t="s">
        <v>103</v>
      </c>
      <c r="BQ13" s="159">
        <v>2.9196218470049127</v>
      </c>
      <c r="BR13" s="155">
        <v>2</v>
      </c>
      <c r="BT13" s="155" t="s">
        <v>103</v>
      </c>
      <c r="BU13" s="159">
        <v>1.8007374631268436</v>
      </c>
      <c r="BV13" s="155">
        <v>3</v>
      </c>
      <c r="BX13" s="155" t="s">
        <v>103</v>
      </c>
      <c r="BY13" s="159">
        <v>1.6537999273276127</v>
      </c>
      <c r="BZ13" s="155">
        <v>1</v>
      </c>
      <c r="CB13" s="155" t="s">
        <v>103</v>
      </c>
      <c r="CC13" s="159">
        <v>1.1189296554186752</v>
      </c>
      <c r="CD13" s="155">
        <v>3</v>
      </c>
      <c r="CF13" s="155" t="s">
        <v>103</v>
      </c>
      <c r="CG13" s="159">
        <v>0.85182656862553885</v>
      </c>
      <c r="CH13" s="155">
        <v>3</v>
      </c>
      <c r="CJ13" s="155" t="s">
        <v>103</v>
      </c>
      <c r="CK13" s="159">
        <v>0.56605142923120066</v>
      </c>
      <c r="CL13" s="155">
        <v>2</v>
      </c>
      <c r="CN13" s="155" t="s">
        <v>103</v>
      </c>
      <c r="CO13" s="159">
        <v>0.28711059295610442</v>
      </c>
      <c r="CP13" s="155">
        <v>4</v>
      </c>
    </row>
    <row r="14" spans="1:94" x14ac:dyDescent="0.2">
      <c r="A14" s="155" t="s">
        <v>104</v>
      </c>
      <c r="B14" s="155">
        <v>145056</v>
      </c>
      <c r="C14" s="155">
        <v>148000</v>
      </c>
      <c r="D14" s="155">
        <v>148800</v>
      </c>
      <c r="E14" s="155">
        <v>150500</v>
      </c>
      <c r="F14" s="155">
        <v>152400</v>
      </c>
      <c r="G14" s="155">
        <v>153400</v>
      </c>
      <c r="H14" s="155">
        <v>153800</v>
      </c>
      <c r="I14" s="155">
        <v>155800</v>
      </c>
      <c r="J14" s="155">
        <v>158200</v>
      </c>
      <c r="K14" s="155">
        <v>159900</v>
      </c>
      <c r="L14" s="155">
        <v>160934</v>
      </c>
      <c r="M14" s="155">
        <v>161941</v>
      </c>
      <c r="N14" s="155">
        <v>163693</v>
      </c>
      <c r="O14" s="155">
        <v>163810</v>
      </c>
      <c r="P14" s="155">
        <v>165347</v>
      </c>
      <c r="Q14" s="155">
        <v>167134</v>
      </c>
      <c r="R14" s="155">
        <v>168425</v>
      </c>
      <c r="S14" s="155">
        <v>169576</v>
      </c>
      <c r="T14" s="155">
        <v>171015</v>
      </c>
      <c r="U14" s="155">
        <v>173134</v>
      </c>
      <c r="V14" s="155">
        <v>175204</v>
      </c>
      <c r="W14" s="155">
        <v>178409</v>
      </c>
      <c r="X14" s="155">
        <v>181710</v>
      </c>
      <c r="Y14" s="155">
        <v>185738</v>
      </c>
      <c r="Z14" s="155">
        <v>189316</v>
      </c>
      <c r="AA14" s="155">
        <v>192997</v>
      </c>
      <c r="AB14" s="155">
        <v>196170</v>
      </c>
      <c r="AC14" s="155">
        <v>198814</v>
      </c>
      <c r="AD14" s="155">
        <v>201675</v>
      </c>
      <c r="AE14" s="155">
        <v>204340</v>
      </c>
      <c r="AF14" s="160">
        <v>206973</v>
      </c>
      <c r="AG14" s="160">
        <v>208333</v>
      </c>
      <c r="AH14" s="160">
        <v>210444</v>
      </c>
      <c r="AI14" s="160">
        <v>213026</v>
      </c>
      <c r="AJ14" s="160">
        <v>215705</v>
      </c>
      <c r="AK14" s="155">
        <v>218876</v>
      </c>
      <c r="AL14" s="155">
        <v>222174</v>
      </c>
      <c r="AM14" s="159"/>
      <c r="AN14" s="155" t="s">
        <v>104</v>
      </c>
      <c r="AO14" s="219">
        <v>1.1913208775873319E-2</v>
      </c>
      <c r="AP14" s="155">
        <v>42</v>
      </c>
      <c r="AR14" s="155" t="s">
        <v>104</v>
      </c>
      <c r="AS14" s="219">
        <v>1.2020444986392764E-2</v>
      </c>
      <c r="AT14" s="155">
        <v>41</v>
      </c>
      <c r="AV14" s="155" t="s">
        <v>104</v>
      </c>
      <c r="AW14" s="219">
        <v>1.2020444986392764E-2</v>
      </c>
      <c r="AX14" s="155">
        <v>41</v>
      </c>
      <c r="AZ14" s="155" t="s">
        <v>104</v>
      </c>
      <c r="BA14" s="219">
        <v>1.2479788974504524E-2</v>
      </c>
      <c r="BB14" s="155">
        <v>39</v>
      </c>
      <c r="BD14" s="155" t="s">
        <v>104</v>
      </c>
      <c r="BE14" s="219">
        <v>1.3647766893144286E-2</v>
      </c>
      <c r="BF14" s="155">
        <v>37</v>
      </c>
      <c r="BH14" s="155" t="s">
        <v>104</v>
      </c>
      <c r="BI14" s="219">
        <v>1.4955090381565839E-2</v>
      </c>
      <c r="BJ14" s="155">
        <v>39</v>
      </c>
      <c r="BL14" s="155" t="s">
        <v>104</v>
      </c>
      <c r="BM14" s="219">
        <v>1.188212294778479E-2</v>
      </c>
      <c r="BN14" s="155">
        <v>35</v>
      </c>
      <c r="BP14" s="155" t="s">
        <v>104</v>
      </c>
      <c r="BQ14" s="159">
        <v>0.5316429516876241</v>
      </c>
      <c r="BR14" s="155">
        <v>42</v>
      </c>
      <c r="BT14" s="155" t="s">
        <v>104</v>
      </c>
      <c r="BU14" s="159">
        <v>0.44833116036505866</v>
      </c>
      <c r="BV14" s="155">
        <v>41</v>
      </c>
      <c r="BX14" s="155" t="s">
        <v>104</v>
      </c>
      <c r="BY14" s="159">
        <v>0.38052866392434165</v>
      </c>
      <c r="BZ14" s="155">
        <v>39</v>
      </c>
      <c r="CB14" s="155" t="s">
        <v>104</v>
      </c>
      <c r="CC14" s="159">
        <v>0.32931659626407556</v>
      </c>
      <c r="CD14" s="155">
        <v>37</v>
      </c>
      <c r="CF14" s="155" t="s">
        <v>104</v>
      </c>
      <c r="CG14" s="159">
        <v>0.26808748658706422</v>
      </c>
      <c r="CH14" s="155">
        <v>39</v>
      </c>
      <c r="CJ14" s="155" t="s">
        <v>104</v>
      </c>
      <c r="CK14" s="159">
        <v>0.15117851572822374</v>
      </c>
      <c r="CL14" s="155">
        <v>41</v>
      </c>
      <c r="CN14" s="155" t="s">
        <v>104</v>
      </c>
      <c r="CO14" s="159">
        <v>7.3444362308127148E-2</v>
      </c>
      <c r="CP14" s="155">
        <v>35</v>
      </c>
    </row>
    <row r="15" spans="1:94" x14ac:dyDescent="0.2">
      <c r="A15" s="155" t="s">
        <v>105</v>
      </c>
      <c r="B15" s="155">
        <v>60364</v>
      </c>
      <c r="C15" s="155">
        <v>62700</v>
      </c>
      <c r="D15" s="155">
        <v>64600</v>
      </c>
      <c r="E15" s="155">
        <v>66800</v>
      </c>
      <c r="F15" s="155">
        <v>67800</v>
      </c>
      <c r="G15" s="155">
        <v>68400</v>
      </c>
      <c r="H15" s="155">
        <v>68900</v>
      </c>
      <c r="I15" s="155">
        <v>69200</v>
      </c>
      <c r="J15" s="155">
        <v>70000</v>
      </c>
      <c r="K15" s="155">
        <v>71300</v>
      </c>
      <c r="L15" s="155">
        <v>72504</v>
      </c>
      <c r="M15" s="155">
        <v>72876</v>
      </c>
      <c r="N15" s="155">
        <v>73583</v>
      </c>
      <c r="O15" s="155">
        <v>73189</v>
      </c>
      <c r="P15" s="155">
        <v>73766</v>
      </c>
      <c r="Q15" s="155">
        <v>74448</v>
      </c>
      <c r="R15" s="155">
        <v>74588</v>
      </c>
      <c r="S15" s="155">
        <v>74693</v>
      </c>
      <c r="T15" s="155">
        <v>75346</v>
      </c>
      <c r="U15" s="155">
        <v>75586</v>
      </c>
      <c r="V15" s="155">
        <v>76046</v>
      </c>
      <c r="W15" s="155">
        <v>76995</v>
      </c>
      <c r="X15" s="155">
        <v>78455</v>
      </c>
      <c r="Y15" s="155">
        <v>79852</v>
      </c>
      <c r="Z15" s="155">
        <v>81587</v>
      </c>
      <c r="AA15" s="155">
        <v>83235</v>
      </c>
      <c r="AB15" s="155">
        <v>84382</v>
      </c>
      <c r="AC15" s="155">
        <v>86012</v>
      </c>
      <c r="AD15" s="155">
        <v>87350</v>
      </c>
      <c r="AE15" s="155">
        <v>88496</v>
      </c>
      <c r="AF15" s="160">
        <v>89268</v>
      </c>
      <c r="AG15" s="160">
        <v>89411</v>
      </c>
      <c r="AH15" s="160">
        <v>89236</v>
      </c>
      <c r="AI15" s="160">
        <v>89473</v>
      </c>
      <c r="AJ15" s="160">
        <v>89435</v>
      </c>
      <c r="AK15" s="155">
        <v>89399</v>
      </c>
      <c r="AL15" s="155">
        <v>90054</v>
      </c>
      <c r="AM15" s="159"/>
      <c r="AN15" s="155" t="s">
        <v>105</v>
      </c>
      <c r="AO15" s="219">
        <v>1.1173534738756041E-2</v>
      </c>
      <c r="AP15" s="155">
        <v>48</v>
      </c>
      <c r="AR15" s="155" t="s">
        <v>105</v>
      </c>
      <c r="AS15" s="219">
        <v>8.9116246900855511E-3</v>
      </c>
      <c r="AT15" s="155">
        <v>58</v>
      </c>
      <c r="AV15" s="155" t="s">
        <v>105</v>
      </c>
      <c r="AW15" s="219">
        <v>8.9116246900855511E-3</v>
      </c>
      <c r="AX15" s="155">
        <v>58</v>
      </c>
      <c r="AZ15" s="155" t="s">
        <v>105</v>
      </c>
      <c r="BA15" s="219">
        <v>8.3720728661389465E-3</v>
      </c>
      <c r="BB15" s="155">
        <v>59</v>
      </c>
      <c r="BD15" s="155" t="s">
        <v>105</v>
      </c>
      <c r="BE15" s="219">
        <v>9.1035011527489385E-3</v>
      </c>
      <c r="BF15" s="155">
        <v>56</v>
      </c>
      <c r="BH15" s="155" t="s">
        <v>105</v>
      </c>
      <c r="BI15" s="219">
        <v>1.0622969180671626E-2</v>
      </c>
      <c r="BJ15" s="155">
        <v>55</v>
      </c>
      <c r="BL15" s="155" t="s">
        <v>105</v>
      </c>
      <c r="BM15" s="219">
        <v>1.4621361143825062E-3</v>
      </c>
      <c r="BN15" s="155">
        <v>79</v>
      </c>
      <c r="BP15" s="155" t="s">
        <v>105</v>
      </c>
      <c r="BQ15" s="159">
        <v>0.49184944669008018</v>
      </c>
      <c r="BR15" s="155">
        <v>48</v>
      </c>
      <c r="BT15" s="155" t="s">
        <v>105</v>
      </c>
      <c r="BU15" s="159">
        <v>0.31657894736842107</v>
      </c>
      <c r="BV15" s="155">
        <v>58</v>
      </c>
      <c r="BX15" s="155" t="s">
        <v>105</v>
      </c>
      <c r="BY15" s="159">
        <v>0.24205561072492551</v>
      </c>
      <c r="BZ15" s="155">
        <v>57</v>
      </c>
      <c r="CB15" s="155" t="s">
        <v>105</v>
      </c>
      <c r="CC15" s="159">
        <v>0.20962282398452611</v>
      </c>
      <c r="CD15" s="155">
        <v>55</v>
      </c>
      <c r="CF15" s="155" t="s">
        <v>105</v>
      </c>
      <c r="CG15" s="159">
        <v>0.18420429739894276</v>
      </c>
      <c r="CH15" s="155">
        <v>56</v>
      </c>
      <c r="CJ15" s="155" t="s">
        <v>105</v>
      </c>
      <c r="CK15" s="159">
        <v>8.1924671111912054E-2</v>
      </c>
      <c r="CL15" s="155">
        <v>69</v>
      </c>
      <c r="CN15" s="155" t="s">
        <v>105</v>
      </c>
      <c r="CO15" s="159">
        <v>8.8049469014652507E-3</v>
      </c>
      <c r="CP15" s="155">
        <v>79</v>
      </c>
    </row>
    <row r="16" spans="1:94" x14ac:dyDescent="0.2">
      <c r="A16" s="155" t="s">
        <v>106</v>
      </c>
      <c r="B16" s="155">
        <v>74629</v>
      </c>
      <c r="C16" s="155">
        <v>76600</v>
      </c>
      <c r="D16" s="155">
        <v>77600</v>
      </c>
      <c r="E16" s="155">
        <v>78500</v>
      </c>
      <c r="F16" s="155">
        <v>79500</v>
      </c>
      <c r="G16" s="155">
        <v>80000</v>
      </c>
      <c r="H16" s="155">
        <v>80100</v>
      </c>
      <c r="I16" s="155">
        <v>81300</v>
      </c>
      <c r="J16" s="155">
        <v>82300</v>
      </c>
      <c r="K16" s="155">
        <v>84200</v>
      </c>
      <c r="L16" s="155">
        <v>85895</v>
      </c>
      <c r="M16" s="155">
        <v>87672</v>
      </c>
      <c r="N16" s="155">
        <v>89158</v>
      </c>
      <c r="O16" s="155">
        <v>90052</v>
      </c>
      <c r="P16" s="155">
        <v>91302</v>
      </c>
      <c r="Q16" s="155">
        <v>92230</v>
      </c>
      <c r="R16" s="155">
        <v>93099</v>
      </c>
      <c r="S16" s="155">
        <v>94427</v>
      </c>
      <c r="T16" s="155">
        <v>95852</v>
      </c>
      <c r="U16" s="155">
        <v>97380</v>
      </c>
      <c r="V16" s="155">
        <v>99590</v>
      </c>
      <c r="W16" s="155">
        <v>101944</v>
      </c>
      <c r="X16" s="155">
        <v>104351</v>
      </c>
      <c r="Y16" s="155">
        <v>106023</v>
      </c>
      <c r="Z16" s="155">
        <v>108410</v>
      </c>
      <c r="AA16" s="155">
        <v>111484</v>
      </c>
      <c r="AB16" s="155">
        <v>114989</v>
      </c>
      <c r="AC16" s="155">
        <v>118515</v>
      </c>
      <c r="AD16" s="155">
        <v>123005</v>
      </c>
      <c r="AE16" s="155">
        <v>127826</v>
      </c>
      <c r="AF16" s="160">
        <v>132243</v>
      </c>
      <c r="AG16" s="160">
        <v>136291</v>
      </c>
      <c r="AH16" s="160">
        <v>139796</v>
      </c>
      <c r="AI16" s="160">
        <v>143151</v>
      </c>
      <c r="AJ16" s="160">
        <v>146018</v>
      </c>
      <c r="AK16" s="155">
        <v>150244</v>
      </c>
      <c r="AL16" s="155">
        <v>156395</v>
      </c>
      <c r="AM16" s="159"/>
      <c r="AN16" s="155" t="s">
        <v>106</v>
      </c>
      <c r="AO16" s="219">
        <v>2.0764184067483482E-2</v>
      </c>
      <c r="AP16" s="155">
        <v>16</v>
      </c>
      <c r="AR16" s="155" t="s">
        <v>106</v>
      </c>
      <c r="AS16" s="219">
        <v>2.1859961914958648E-2</v>
      </c>
      <c r="AT16" s="155">
        <v>11</v>
      </c>
      <c r="AV16" s="155" t="s">
        <v>106</v>
      </c>
      <c r="AW16" s="219">
        <v>2.1859961914958648E-2</v>
      </c>
      <c r="AX16" s="155">
        <v>11</v>
      </c>
      <c r="AZ16" s="155" t="s">
        <v>106</v>
      </c>
      <c r="BA16" s="219">
        <v>2.3316099836903303E-2</v>
      </c>
      <c r="BB16" s="155">
        <v>11</v>
      </c>
      <c r="BD16" s="155" t="s">
        <v>106</v>
      </c>
      <c r="BE16" s="219">
        <v>2.5466458489991073E-2</v>
      </c>
      <c r="BF16" s="155">
        <v>11</v>
      </c>
      <c r="BH16" s="155" t="s">
        <v>106</v>
      </c>
      <c r="BI16" s="219">
        <v>2.8609297982255866E-2</v>
      </c>
      <c r="BJ16" s="155">
        <v>9</v>
      </c>
      <c r="BL16" s="155" t="s">
        <v>106</v>
      </c>
      <c r="BM16" s="219">
        <v>2.8351758982160691E-2</v>
      </c>
      <c r="BN16" s="155">
        <v>10</v>
      </c>
      <c r="BP16" s="155" t="s">
        <v>106</v>
      </c>
      <c r="BQ16" s="159">
        <v>1.095633064894344</v>
      </c>
      <c r="BR16" s="155">
        <v>16</v>
      </c>
      <c r="BT16" s="155" t="s">
        <v>106</v>
      </c>
      <c r="BU16" s="159">
        <v>0.95493749999999999</v>
      </c>
      <c r="BV16" s="155">
        <v>11</v>
      </c>
      <c r="BX16" s="155" t="s">
        <v>106</v>
      </c>
      <c r="BY16" s="159">
        <v>0.82076954421095527</v>
      </c>
      <c r="BZ16" s="155">
        <v>11</v>
      </c>
      <c r="CB16" s="155" t="s">
        <v>106</v>
      </c>
      <c r="CC16" s="159">
        <v>0.69570638620839209</v>
      </c>
      <c r="CD16" s="155">
        <v>11</v>
      </c>
      <c r="CF16" s="155" t="s">
        <v>106</v>
      </c>
      <c r="CG16" s="159">
        <v>0.57038859323225222</v>
      </c>
      <c r="CH16" s="155">
        <v>9</v>
      </c>
      <c r="CJ16" s="155" t="s">
        <v>106</v>
      </c>
      <c r="CK16" s="159">
        <v>0.40284704531591975</v>
      </c>
      <c r="CL16" s="155">
        <v>8</v>
      </c>
      <c r="CN16" s="155" t="s">
        <v>106</v>
      </c>
      <c r="CO16" s="159">
        <v>0.18263348532625545</v>
      </c>
      <c r="CP16" s="155">
        <v>10</v>
      </c>
    </row>
    <row r="17" spans="1:94" x14ac:dyDescent="0.2">
      <c r="A17" s="155" t="s">
        <v>107</v>
      </c>
      <c r="B17" s="155">
        <v>56699</v>
      </c>
      <c r="C17" s="155">
        <v>57900</v>
      </c>
      <c r="D17" s="155">
        <v>59300</v>
      </c>
      <c r="E17" s="155">
        <v>61000</v>
      </c>
      <c r="F17" s="155">
        <v>62300</v>
      </c>
      <c r="G17" s="155">
        <v>63000</v>
      </c>
      <c r="H17" s="155">
        <v>63600</v>
      </c>
      <c r="I17" s="155">
        <v>64300</v>
      </c>
      <c r="J17" s="155">
        <v>65400</v>
      </c>
      <c r="K17" s="155">
        <v>66400</v>
      </c>
      <c r="L17" s="155">
        <v>67746</v>
      </c>
      <c r="M17" s="155">
        <v>67994</v>
      </c>
      <c r="N17" s="155">
        <v>68057</v>
      </c>
      <c r="O17" s="155">
        <v>67600</v>
      </c>
      <c r="P17" s="155">
        <v>68656</v>
      </c>
      <c r="Q17" s="155">
        <v>69940</v>
      </c>
      <c r="R17" s="155">
        <v>69736</v>
      </c>
      <c r="S17" s="155">
        <v>70094</v>
      </c>
      <c r="T17" s="155">
        <v>70818</v>
      </c>
      <c r="U17" s="155">
        <v>70784</v>
      </c>
      <c r="V17" s="155">
        <v>70846</v>
      </c>
      <c r="W17" s="155">
        <v>71267</v>
      </c>
      <c r="X17" s="155">
        <v>71743</v>
      </c>
      <c r="Y17" s="155">
        <v>72472</v>
      </c>
      <c r="Z17" s="155">
        <v>72953</v>
      </c>
      <c r="AA17" s="155">
        <v>73822</v>
      </c>
      <c r="AB17" s="155">
        <v>74599</v>
      </c>
      <c r="AC17" s="155">
        <v>75525</v>
      </c>
      <c r="AD17" s="155">
        <v>75995</v>
      </c>
      <c r="AE17" s="155">
        <v>76663</v>
      </c>
      <c r="AF17" s="160">
        <v>77614</v>
      </c>
      <c r="AG17" s="160">
        <v>78199</v>
      </c>
      <c r="AH17" s="160">
        <v>78738</v>
      </c>
      <c r="AI17" s="160">
        <v>78913</v>
      </c>
      <c r="AJ17" s="160">
        <v>78855</v>
      </c>
      <c r="AK17" s="155">
        <v>79122</v>
      </c>
      <c r="AL17" s="155">
        <v>79841</v>
      </c>
      <c r="AM17" s="159"/>
      <c r="AN17" s="155" t="s">
        <v>107</v>
      </c>
      <c r="AO17" s="219">
        <v>9.5531366365688708E-3</v>
      </c>
      <c r="AP17" s="155">
        <v>60</v>
      </c>
      <c r="AR17" s="155" t="s">
        <v>107</v>
      </c>
      <c r="AS17" s="219">
        <v>7.6712886030048111E-3</v>
      </c>
      <c r="AT17" s="155">
        <v>70</v>
      </c>
      <c r="AV17" s="155" t="s">
        <v>107</v>
      </c>
      <c r="AW17" s="219">
        <v>7.6712886030048111E-3</v>
      </c>
      <c r="AX17" s="155">
        <v>70</v>
      </c>
      <c r="AZ17" s="155" t="s">
        <v>107</v>
      </c>
      <c r="BA17" s="219">
        <v>6.3381454015893901E-3</v>
      </c>
      <c r="BB17" s="155">
        <v>74</v>
      </c>
      <c r="BD17" s="155" t="s">
        <v>107</v>
      </c>
      <c r="BE17" s="219">
        <v>6.3246512132382193E-3</v>
      </c>
      <c r="BF17" s="155">
        <v>73</v>
      </c>
      <c r="BH17" s="155" t="s">
        <v>107</v>
      </c>
      <c r="BI17" s="219">
        <v>7.4985147141748421E-3</v>
      </c>
      <c r="BJ17" s="155">
        <v>74</v>
      </c>
      <c r="BL17" s="155" t="s">
        <v>107</v>
      </c>
      <c r="BM17" s="219">
        <v>4.7260215261284433E-3</v>
      </c>
      <c r="BN17" s="155">
        <v>63</v>
      </c>
      <c r="BP17" s="155" t="s">
        <v>107</v>
      </c>
      <c r="BQ17" s="159">
        <v>0.4081553466551438</v>
      </c>
      <c r="BR17" s="155">
        <v>60</v>
      </c>
      <c r="BT17" s="155" t="s">
        <v>107</v>
      </c>
      <c r="BU17" s="159">
        <v>0.26731746031746034</v>
      </c>
      <c r="BV17" s="155">
        <v>70</v>
      </c>
      <c r="BX17" s="155" t="s">
        <v>107</v>
      </c>
      <c r="BY17" s="159">
        <v>0.17853452602367667</v>
      </c>
      <c r="BZ17" s="155">
        <v>74</v>
      </c>
      <c r="CB17" s="155" t="s">
        <v>107</v>
      </c>
      <c r="CC17" s="159">
        <v>0.14156419788390048</v>
      </c>
      <c r="CD17" s="155">
        <v>73</v>
      </c>
      <c r="CF17" s="155" t="s">
        <v>107</v>
      </c>
      <c r="CG17" s="159">
        <v>0.12696553086977388</v>
      </c>
      <c r="CH17" s="155">
        <v>74</v>
      </c>
      <c r="CJ17" s="155" t="s">
        <v>107</v>
      </c>
      <c r="CK17" s="159">
        <v>8.1533960066104957E-2</v>
      </c>
      <c r="CL17" s="155">
        <v>70</v>
      </c>
      <c r="CN17" s="155" t="s">
        <v>107</v>
      </c>
      <c r="CO17" s="159">
        <v>2.8693276986110752E-2</v>
      </c>
      <c r="CP17" s="155">
        <v>63</v>
      </c>
    </row>
    <row r="18" spans="1:94" x14ac:dyDescent="0.2">
      <c r="A18" s="155" t="s">
        <v>108</v>
      </c>
      <c r="B18" s="155">
        <v>5453</v>
      </c>
      <c r="C18" s="155">
        <v>5500</v>
      </c>
      <c r="D18" s="155">
        <v>5600</v>
      </c>
      <c r="E18" s="155">
        <v>5800</v>
      </c>
      <c r="F18" s="155">
        <v>5700</v>
      </c>
      <c r="G18" s="155">
        <v>5800</v>
      </c>
      <c r="H18" s="155">
        <v>5600</v>
      </c>
      <c r="I18" s="155">
        <v>5600</v>
      </c>
      <c r="J18" s="155">
        <v>5700</v>
      </c>
      <c r="K18" s="155">
        <v>5800</v>
      </c>
      <c r="L18" s="155">
        <v>5829</v>
      </c>
      <c r="M18" s="155">
        <v>5682</v>
      </c>
      <c r="N18" s="155">
        <v>5675</v>
      </c>
      <c r="O18" s="155">
        <v>5714</v>
      </c>
      <c r="P18" s="155">
        <v>5704</v>
      </c>
      <c r="Q18" s="155">
        <v>5597</v>
      </c>
      <c r="R18" s="155">
        <v>5572</v>
      </c>
      <c r="S18" s="155">
        <v>5643</v>
      </c>
      <c r="T18" s="155">
        <v>5705</v>
      </c>
      <c r="U18" s="155">
        <v>5803</v>
      </c>
      <c r="V18" s="155">
        <v>5937</v>
      </c>
      <c r="W18" s="155">
        <v>6025</v>
      </c>
      <c r="X18" s="155">
        <v>6146</v>
      </c>
      <c r="Y18" s="155">
        <v>6193</v>
      </c>
      <c r="Z18" s="155">
        <v>6346</v>
      </c>
      <c r="AA18" s="155">
        <v>6366</v>
      </c>
      <c r="AB18" s="155">
        <v>6482</v>
      </c>
      <c r="AC18" s="155">
        <v>6662</v>
      </c>
      <c r="AD18" s="155">
        <v>6764</v>
      </c>
      <c r="AE18" s="155">
        <v>6801</v>
      </c>
      <c r="AF18" s="160">
        <v>6929</v>
      </c>
      <c r="AG18" s="160">
        <v>7130</v>
      </c>
      <c r="AH18" s="160">
        <v>7430</v>
      </c>
      <c r="AI18" s="160">
        <v>7899</v>
      </c>
      <c r="AJ18" s="160">
        <v>8468</v>
      </c>
      <c r="AK18" s="155">
        <v>8967</v>
      </c>
      <c r="AL18" s="155">
        <v>9271</v>
      </c>
      <c r="AM18" s="159"/>
      <c r="AN18" s="155" t="s">
        <v>108</v>
      </c>
      <c r="AO18" s="219">
        <v>1.485157507962831E-2</v>
      </c>
      <c r="AP18" s="155">
        <v>31</v>
      </c>
      <c r="AR18" s="155" t="s">
        <v>108</v>
      </c>
      <c r="AS18" s="219">
        <v>1.5245146984292246E-2</v>
      </c>
      <c r="AT18" s="155">
        <v>29</v>
      </c>
      <c r="AV18" s="155" t="s">
        <v>108</v>
      </c>
      <c r="AW18" s="219">
        <v>1.5245146984292246E-2</v>
      </c>
      <c r="AX18" s="155">
        <v>29</v>
      </c>
      <c r="AZ18" s="155" t="s">
        <v>108</v>
      </c>
      <c r="BA18" s="219">
        <v>1.8008140830737984E-2</v>
      </c>
      <c r="BB18" s="155">
        <v>23</v>
      </c>
      <c r="BD18" s="155" t="s">
        <v>108</v>
      </c>
      <c r="BE18" s="219">
        <v>2.4322535191676042E-2</v>
      </c>
      <c r="BF18" s="155">
        <v>15</v>
      </c>
      <c r="BH18" s="155" t="s">
        <v>108</v>
      </c>
      <c r="BI18" s="219">
        <v>2.824704656703414E-2</v>
      </c>
      <c r="BJ18" s="155">
        <v>11</v>
      </c>
      <c r="BL18" s="155" t="s">
        <v>108</v>
      </c>
      <c r="BM18" s="219">
        <v>4.9726118894196425E-2</v>
      </c>
      <c r="BN18" s="155">
        <v>2</v>
      </c>
      <c r="BP18" s="155" t="s">
        <v>108</v>
      </c>
      <c r="BQ18" s="159">
        <v>0.70016504676324953</v>
      </c>
      <c r="BR18" s="155">
        <v>31</v>
      </c>
      <c r="BT18" s="155" t="s">
        <v>108</v>
      </c>
      <c r="BU18" s="159">
        <v>0.59844827586206895</v>
      </c>
      <c r="BV18" s="155">
        <v>29</v>
      </c>
      <c r="BX18" s="155" t="s">
        <v>108</v>
      </c>
      <c r="BY18" s="159">
        <v>0.59049579687768061</v>
      </c>
      <c r="BZ18" s="155">
        <v>24</v>
      </c>
      <c r="CB18" s="155" t="s">
        <v>108</v>
      </c>
      <c r="CC18" s="159">
        <v>0.65642308379489012</v>
      </c>
      <c r="CD18" s="155">
        <v>15</v>
      </c>
      <c r="CF18" s="155" t="s">
        <v>108</v>
      </c>
      <c r="CG18" s="159">
        <v>0.56156307899612601</v>
      </c>
      <c r="CH18" s="155">
        <v>11</v>
      </c>
      <c r="CJ18" s="155" t="s">
        <v>108</v>
      </c>
      <c r="CK18" s="159">
        <v>0.45633050581212692</v>
      </c>
      <c r="CL18" s="155">
        <v>7</v>
      </c>
      <c r="CN18" s="155" t="s">
        <v>108</v>
      </c>
      <c r="CO18" s="159">
        <v>0.33799971135806034</v>
      </c>
      <c r="CP18" s="155">
        <v>2</v>
      </c>
    </row>
    <row r="19" spans="1:94" x14ac:dyDescent="0.2">
      <c r="A19" s="155" t="s">
        <v>109</v>
      </c>
      <c r="B19" s="155">
        <v>31603</v>
      </c>
      <c r="C19" s="155">
        <v>33000</v>
      </c>
      <c r="D19" s="155">
        <v>33800</v>
      </c>
      <c r="E19" s="155">
        <v>35200</v>
      </c>
      <c r="F19" s="155">
        <v>36200</v>
      </c>
      <c r="G19" s="155">
        <v>37400</v>
      </c>
      <c r="H19" s="155">
        <v>38700</v>
      </c>
      <c r="I19" s="155">
        <v>39600</v>
      </c>
      <c r="J19" s="155">
        <v>40400</v>
      </c>
      <c r="K19" s="155">
        <v>41000</v>
      </c>
      <c r="L19" s="155">
        <v>41092</v>
      </c>
      <c r="M19" s="155">
        <v>42447</v>
      </c>
      <c r="N19" s="155">
        <v>43762</v>
      </c>
      <c r="O19" s="155">
        <v>45496</v>
      </c>
      <c r="P19" s="155">
        <v>47089</v>
      </c>
      <c r="Q19" s="155">
        <v>48320</v>
      </c>
      <c r="R19" s="155">
        <v>49663</v>
      </c>
      <c r="S19" s="155">
        <v>50603</v>
      </c>
      <c r="T19" s="155">
        <v>51168</v>
      </c>
      <c r="U19" s="155">
        <v>51591</v>
      </c>
      <c r="V19" s="155">
        <v>52687</v>
      </c>
      <c r="W19" s="155">
        <v>53368</v>
      </c>
      <c r="X19" s="155">
        <v>54434</v>
      </c>
      <c r="Y19" s="155">
        <v>55258</v>
      </c>
      <c r="Z19" s="155">
        <v>55794</v>
      </c>
      <c r="AA19" s="155">
        <v>57035</v>
      </c>
      <c r="AB19" s="155">
        <v>57983</v>
      </c>
      <c r="AC19" s="155">
        <v>58874</v>
      </c>
      <c r="AD19" s="155">
        <v>59224</v>
      </c>
      <c r="AE19" s="155">
        <v>59341</v>
      </c>
      <c r="AF19" s="160">
        <v>59403</v>
      </c>
      <c r="AG19" s="160">
        <v>59825</v>
      </c>
      <c r="AH19" s="160">
        <v>60235</v>
      </c>
      <c r="AI19" s="160">
        <v>60964</v>
      </c>
      <c r="AJ19" s="160">
        <v>61812</v>
      </c>
      <c r="AK19" s="155">
        <v>62525</v>
      </c>
      <c r="AL19" s="155">
        <v>63584</v>
      </c>
      <c r="AM19" s="159"/>
      <c r="AN19" s="155" t="s">
        <v>109</v>
      </c>
      <c r="AO19" s="219">
        <v>1.9609506309280045E-2</v>
      </c>
      <c r="AP19" s="155">
        <v>22</v>
      </c>
      <c r="AR19" s="155" t="s">
        <v>109</v>
      </c>
      <c r="AS19" s="219">
        <v>1.7266440765232316E-2</v>
      </c>
      <c r="AT19" s="155">
        <v>25</v>
      </c>
      <c r="AV19" s="155" t="s">
        <v>109</v>
      </c>
      <c r="AW19" s="219">
        <v>1.7266440765232316E-2</v>
      </c>
      <c r="AX19" s="155">
        <v>25</v>
      </c>
      <c r="AZ19" s="155" t="s">
        <v>109</v>
      </c>
      <c r="BA19" s="219">
        <v>1.6932073212111209E-2</v>
      </c>
      <c r="BB19" s="155">
        <v>27</v>
      </c>
      <c r="BD19" s="155" t="s">
        <v>109</v>
      </c>
      <c r="BE19" s="219">
        <v>1.3158020167169271E-2</v>
      </c>
      <c r="BF19" s="155">
        <v>38</v>
      </c>
      <c r="BH19" s="155" t="s">
        <v>109</v>
      </c>
      <c r="BI19" s="219">
        <v>1.1818867372281661E-2</v>
      </c>
      <c r="BJ19" s="155">
        <v>49</v>
      </c>
      <c r="BL19" s="155" t="s">
        <v>109</v>
      </c>
      <c r="BM19" s="219">
        <v>1.1400687456089909E-2</v>
      </c>
      <c r="BN19" s="155">
        <v>38</v>
      </c>
      <c r="BP19" s="155" t="s">
        <v>109</v>
      </c>
      <c r="BQ19" s="159">
        <v>1.0119608897889441</v>
      </c>
      <c r="BR19" s="155">
        <v>22</v>
      </c>
      <c r="BT19" s="155" t="s">
        <v>109</v>
      </c>
      <c r="BU19" s="159">
        <v>0.70010695187165772</v>
      </c>
      <c r="BV19" s="155">
        <v>25</v>
      </c>
      <c r="BX19" s="155" t="s">
        <v>109</v>
      </c>
      <c r="BY19" s="159">
        <v>0.54735714981018202</v>
      </c>
      <c r="BZ19" s="155">
        <v>27</v>
      </c>
      <c r="CB19" s="155" t="s">
        <v>109</v>
      </c>
      <c r="CC19" s="159">
        <v>0.31589403973509933</v>
      </c>
      <c r="CD19" s="155">
        <v>38</v>
      </c>
      <c r="CF19" s="155" t="s">
        <v>109</v>
      </c>
      <c r="CG19" s="159">
        <v>0.20682521305065765</v>
      </c>
      <c r="CH19" s="155">
        <v>50</v>
      </c>
      <c r="CJ19" s="155" t="s">
        <v>109</v>
      </c>
      <c r="CK19" s="159">
        <v>0.11482423073551327</v>
      </c>
      <c r="CL19" s="155">
        <v>54</v>
      </c>
      <c r="CN19" s="155" t="s">
        <v>109</v>
      </c>
      <c r="CO19" s="159">
        <v>7.0383650657374203E-2</v>
      </c>
      <c r="CP19" s="155">
        <v>38</v>
      </c>
    </row>
    <row r="20" spans="1:94" x14ac:dyDescent="0.2">
      <c r="A20" s="155" t="s">
        <v>110</v>
      </c>
      <c r="B20" s="155">
        <v>19055</v>
      </c>
      <c r="C20" s="155">
        <v>19400</v>
      </c>
      <c r="D20" s="155">
        <v>19600</v>
      </c>
      <c r="E20" s="155">
        <v>20100</v>
      </c>
      <c r="F20" s="155">
        <v>20200</v>
      </c>
      <c r="G20" s="155">
        <v>20400</v>
      </c>
      <c r="H20" s="155">
        <v>20500</v>
      </c>
      <c r="I20" s="155">
        <v>20400</v>
      </c>
      <c r="J20" s="155">
        <v>20400</v>
      </c>
      <c r="K20" s="155">
        <v>20400</v>
      </c>
      <c r="L20" s="155">
        <v>20705</v>
      </c>
      <c r="M20" s="155">
        <v>20855</v>
      </c>
      <c r="N20" s="155">
        <v>21416</v>
      </c>
      <c r="O20" s="155">
        <v>21401</v>
      </c>
      <c r="P20" s="155">
        <v>21567</v>
      </c>
      <c r="Q20" s="155">
        <v>21577</v>
      </c>
      <c r="R20" s="155">
        <v>21475</v>
      </c>
      <c r="S20" s="155">
        <v>21294</v>
      </c>
      <c r="T20" s="155">
        <v>21071</v>
      </c>
      <c r="U20" s="155">
        <v>20919</v>
      </c>
      <c r="V20" s="155">
        <v>20671</v>
      </c>
      <c r="W20" s="155">
        <v>20841</v>
      </c>
      <c r="X20" s="155">
        <v>20864</v>
      </c>
      <c r="Y20" s="155">
        <v>21172</v>
      </c>
      <c r="Z20" s="155">
        <v>21436</v>
      </c>
      <c r="AA20" s="155">
        <v>21790</v>
      </c>
      <c r="AB20" s="155">
        <v>21969</v>
      </c>
      <c r="AC20" s="155">
        <v>22778</v>
      </c>
      <c r="AD20" s="155">
        <v>23002</v>
      </c>
      <c r="AE20" s="155">
        <v>23255</v>
      </c>
      <c r="AF20" s="160">
        <v>23550</v>
      </c>
      <c r="AG20" s="160">
        <v>23533</v>
      </c>
      <c r="AH20" s="160">
        <v>23695</v>
      </c>
      <c r="AI20" s="160">
        <v>23676</v>
      </c>
      <c r="AJ20" s="160">
        <v>23613</v>
      </c>
      <c r="AK20" s="155">
        <v>23608</v>
      </c>
      <c r="AL20" s="155">
        <v>23546</v>
      </c>
      <c r="AM20" s="159"/>
      <c r="AN20" s="155" t="s">
        <v>110</v>
      </c>
      <c r="AO20" s="219">
        <v>5.8958240326054678E-3</v>
      </c>
      <c r="AP20" s="155">
        <v>84</v>
      </c>
      <c r="AR20" s="155" t="s">
        <v>110</v>
      </c>
      <c r="AS20" s="219">
        <v>4.6372043147819841E-3</v>
      </c>
      <c r="AT20" s="155">
        <v>84</v>
      </c>
      <c r="AV20" s="155" t="s">
        <v>110</v>
      </c>
      <c r="AW20" s="219">
        <v>4.6372043147819841E-3</v>
      </c>
      <c r="AX20" s="155">
        <v>84</v>
      </c>
      <c r="AZ20" s="155" t="s">
        <v>110</v>
      </c>
      <c r="BA20" s="219">
        <v>4.9576617250353117E-3</v>
      </c>
      <c r="BB20" s="155">
        <v>82</v>
      </c>
      <c r="BD20" s="155" t="s">
        <v>110</v>
      </c>
      <c r="BE20" s="219">
        <v>4.1671357071360049E-3</v>
      </c>
      <c r="BF20" s="155">
        <v>85</v>
      </c>
      <c r="BH20" s="155" t="s">
        <v>110</v>
      </c>
      <c r="BI20" s="219">
        <v>8.1722244837381108E-3</v>
      </c>
      <c r="BJ20" s="155">
        <v>69</v>
      </c>
      <c r="BL20" s="155" t="s">
        <v>110</v>
      </c>
      <c r="BM20" s="219">
        <v>-2.8310566985267904E-5</v>
      </c>
      <c r="BN20" s="155">
        <v>84</v>
      </c>
      <c r="BP20" s="155" t="s">
        <v>110</v>
      </c>
      <c r="BQ20" s="159">
        <v>0.23568617160850169</v>
      </c>
      <c r="BR20" s="155">
        <v>84</v>
      </c>
      <c r="BT20" s="155" t="s">
        <v>110</v>
      </c>
      <c r="BU20" s="159">
        <v>0.15421568627450979</v>
      </c>
      <c r="BV20" s="155">
        <v>84</v>
      </c>
      <c r="BX20" s="155" t="s">
        <v>110</v>
      </c>
      <c r="BY20" s="159">
        <v>0.13721323351847381</v>
      </c>
      <c r="BZ20" s="155">
        <v>82</v>
      </c>
      <c r="CB20" s="155" t="s">
        <v>110</v>
      </c>
      <c r="CC20" s="159">
        <v>9.1254576632525369E-2</v>
      </c>
      <c r="CD20" s="155">
        <v>85</v>
      </c>
      <c r="CF20" s="155" t="s">
        <v>110</v>
      </c>
      <c r="CG20" s="159">
        <v>0.13908374050602293</v>
      </c>
      <c r="CH20" s="155">
        <v>69</v>
      </c>
      <c r="CJ20" s="155" t="s">
        <v>110</v>
      </c>
      <c r="CK20" s="159">
        <v>8.0587425424506656E-2</v>
      </c>
      <c r="CL20" s="155">
        <v>71</v>
      </c>
      <c r="CN20" s="155" t="s">
        <v>110</v>
      </c>
      <c r="CO20" s="159">
        <v>-1.6985138004246286E-4</v>
      </c>
      <c r="CP20" s="155">
        <v>84</v>
      </c>
    </row>
    <row r="21" spans="1:94" x14ac:dyDescent="0.2">
      <c r="A21" s="155" t="s">
        <v>111</v>
      </c>
      <c r="B21" s="155">
        <v>90873</v>
      </c>
      <c r="C21" s="155">
        <v>93400</v>
      </c>
      <c r="D21" s="155">
        <v>95400</v>
      </c>
      <c r="E21" s="155">
        <v>97400</v>
      </c>
      <c r="F21" s="155">
        <v>98700</v>
      </c>
      <c r="G21" s="155">
        <v>99100</v>
      </c>
      <c r="H21" s="155">
        <v>99200</v>
      </c>
      <c r="I21" s="155">
        <v>100500</v>
      </c>
      <c r="J21" s="155">
        <v>101800</v>
      </c>
      <c r="K21" s="155">
        <v>103300</v>
      </c>
      <c r="L21" s="155">
        <v>105208</v>
      </c>
      <c r="M21" s="155">
        <v>106575</v>
      </c>
      <c r="N21" s="155">
        <v>107754</v>
      </c>
      <c r="O21" s="155">
        <v>109006</v>
      </c>
      <c r="P21" s="155">
        <v>110421</v>
      </c>
      <c r="Q21" s="155">
        <v>112094</v>
      </c>
      <c r="R21" s="155">
        <v>113193</v>
      </c>
      <c r="S21" s="155">
        <v>114652</v>
      </c>
      <c r="T21" s="155">
        <v>116245</v>
      </c>
      <c r="U21" s="155">
        <v>117332</v>
      </c>
      <c r="V21" s="155">
        <v>118945</v>
      </c>
      <c r="W21" s="155">
        <v>120669</v>
      </c>
      <c r="X21" s="155">
        <v>122338</v>
      </c>
      <c r="Y21" s="155">
        <v>124280</v>
      </c>
      <c r="Z21" s="155">
        <v>126504</v>
      </c>
      <c r="AA21" s="155">
        <v>129003</v>
      </c>
      <c r="AB21" s="155">
        <v>131957</v>
      </c>
      <c r="AC21" s="155">
        <v>134311</v>
      </c>
      <c r="AD21" s="155">
        <v>137024</v>
      </c>
      <c r="AE21" s="155">
        <v>139522</v>
      </c>
      <c r="AF21" s="160">
        <v>142488</v>
      </c>
      <c r="AG21" s="160">
        <v>145311</v>
      </c>
      <c r="AH21" s="160">
        <v>146418</v>
      </c>
      <c r="AI21" s="160">
        <v>147318</v>
      </c>
      <c r="AJ21" s="160">
        <v>149474</v>
      </c>
      <c r="AK21" s="155">
        <v>151641</v>
      </c>
      <c r="AL21" s="155">
        <v>153784</v>
      </c>
      <c r="AM21" s="159"/>
      <c r="AN21" s="155" t="s">
        <v>111</v>
      </c>
      <c r="AO21" s="219">
        <v>1.4720801850374166E-2</v>
      </c>
      <c r="AP21" s="155">
        <v>32</v>
      </c>
      <c r="AR21" s="155" t="s">
        <v>111</v>
      </c>
      <c r="AS21" s="219">
        <v>1.4275764334445329E-2</v>
      </c>
      <c r="AT21" s="155">
        <v>32</v>
      </c>
      <c r="AV21" s="155" t="s">
        <v>111</v>
      </c>
      <c r="AW21" s="219">
        <v>1.4275764334445329E-2</v>
      </c>
      <c r="AX21" s="155">
        <v>32</v>
      </c>
      <c r="AZ21" s="155" t="s">
        <v>111</v>
      </c>
      <c r="BA21" s="219">
        <v>1.4707478270374885E-2</v>
      </c>
      <c r="BB21" s="155">
        <v>31</v>
      </c>
      <c r="BD21" s="155" t="s">
        <v>111</v>
      </c>
      <c r="BE21" s="219">
        <v>1.5171614905239661E-2</v>
      </c>
      <c r="BF21" s="155">
        <v>31</v>
      </c>
      <c r="BH21" s="155" t="s">
        <v>111</v>
      </c>
      <c r="BI21" s="219">
        <v>1.6185070620922337E-2</v>
      </c>
      <c r="BJ21" s="155">
        <v>37</v>
      </c>
      <c r="BL21" s="155" t="s">
        <v>111</v>
      </c>
      <c r="BM21" s="219">
        <v>1.2796387748463367E-2</v>
      </c>
      <c r="BN21" s="155">
        <v>32</v>
      </c>
      <c r="BP21" s="155" t="s">
        <v>111</v>
      </c>
      <c r="BQ21" s="159">
        <v>0.69229584144905532</v>
      </c>
      <c r="BR21" s="155">
        <v>32</v>
      </c>
      <c r="BT21" s="155" t="s">
        <v>111</v>
      </c>
      <c r="BU21" s="159">
        <v>0.55180625630676083</v>
      </c>
      <c r="BV21" s="155">
        <v>32</v>
      </c>
      <c r="BX21" s="155" t="s">
        <v>111</v>
      </c>
      <c r="BY21" s="159">
        <v>0.46171393810356626</v>
      </c>
      <c r="BZ21" s="155">
        <v>31</v>
      </c>
      <c r="CB21" s="155" t="s">
        <v>111</v>
      </c>
      <c r="CC21" s="159">
        <v>0.37191999571787965</v>
      </c>
      <c r="CD21" s="155">
        <v>31</v>
      </c>
      <c r="CF21" s="155" t="s">
        <v>111</v>
      </c>
      <c r="CG21" s="159">
        <v>0.29290007986884692</v>
      </c>
      <c r="CH21" s="155">
        <v>37</v>
      </c>
      <c r="CJ21" s="155" t="s">
        <v>111</v>
      </c>
      <c r="CK21" s="159">
        <v>0.19209630783780221</v>
      </c>
      <c r="CL21" s="155">
        <v>29</v>
      </c>
      <c r="CN21" s="155" t="s">
        <v>111</v>
      </c>
      <c r="CO21" s="159">
        <v>7.9276851383976193E-2</v>
      </c>
      <c r="CP21" s="155">
        <v>32</v>
      </c>
    </row>
    <row r="22" spans="1:94" x14ac:dyDescent="0.2">
      <c r="A22" s="155" t="s">
        <v>112</v>
      </c>
      <c r="B22" s="155">
        <v>29554</v>
      </c>
      <c r="C22" s="155">
        <v>30400</v>
      </c>
      <c r="D22" s="155">
        <v>30400</v>
      </c>
      <c r="E22" s="155">
        <v>30500</v>
      </c>
      <c r="F22" s="155">
        <v>30600</v>
      </c>
      <c r="G22" s="155">
        <v>31100</v>
      </c>
      <c r="H22" s="155">
        <v>31600</v>
      </c>
      <c r="I22" s="155">
        <v>32000</v>
      </c>
      <c r="J22" s="155">
        <v>32700</v>
      </c>
      <c r="K22" s="155">
        <v>33400</v>
      </c>
      <c r="L22" s="155">
        <v>33415</v>
      </c>
      <c r="M22" s="155">
        <v>33983</v>
      </c>
      <c r="N22" s="155">
        <v>34430</v>
      </c>
      <c r="O22" s="155">
        <v>34688</v>
      </c>
      <c r="P22" s="155">
        <v>35330</v>
      </c>
      <c r="Q22" s="155">
        <v>35811</v>
      </c>
      <c r="R22" s="155">
        <v>36592</v>
      </c>
      <c r="S22" s="155">
        <v>36992</v>
      </c>
      <c r="T22" s="155">
        <v>37587</v>
      </c>
      <c r="U22" s="155">
        <v>38254</v>
      </c>
      <c r="V22" s="155">
        <v>39216</v>
      </c>
      <c r="W22" s="155">
        <v>40107</v>
      </c>
      <c r="X22" s="155">
        <v>41014</v>
      </c>
      <c r="Y22" s="155">
        <v>41873</v>
      </c>
      <c r="Z22" s="155">
        <v>42766</v>
      </c>
      <c r="AA22" s="155">
        <v>43886</v>
      </c>
      <c r="AB22" s="155">
        <v>45166</v>
      </c>
      <c r="AC22" s="155">
        <v>46339</v>
      </c>
      <c r="AD22" s="155">
        <v>47291</v>
      </c>
      <c r="AE22" s="155">
        <v>48398</v>
      </c>
      <c r="AF22" s="160">
        <v>49724</v>
      </c>
      <c r="AG22" s="160">
        <v>51715</v>
      </c>
      <c r="AH22" s="160">
        <v>53782</v>
      </c>
      <c r="AI22" s="160">
        <v>55357</v>
      </c>
      <c r="AJ22" s="160">
        <v>56861</v>
      </c>
      <c r="AK22" s="155">
        <v>58002</v>
      </c>
      <c r="AL22" s="155">
        <v>60052</v>
      </c>
      <c r="AM22" s="159"/>
      <c r="AN22" s="155" t="s">
        <v>112</v>
      </c>
      <c r="AO22" s="219">
        <v>1.9889425878723221E-2</v>
      </c>
      <c r="AP22" s="155">
        <v>20</v>
      </c>
      <c r="AR22" s="155" t="s">
        <v>112</v>
      </c>
      <c r="AS22" s="219">
        <v>2.1452776185184597E-2</v>
      </c>
      <c r="AT22" s="155">
        <v>13</v>
      </c>
      <c r="AV22" s="155" t="s">
        <v>112</v>
      </c>
      <c r="AW22" s="219">
        <v>2.1452776185184597E-2</v>
      </c>
      <c r="AX22" s="155">
        <v>13</v>
      </c>
      <c r="AZ22" s="155" t="s">
        <v>112</v>
      </c>
      <c r="BA22" s="219">
        <v>2.2802473498442666E-2</v>
      </c>
      <c r="BB22" s="155">
        <v>12</v>
      </c>
      <c r="BD22" s="155" t="s">
        <v>112</v>
      </c>
      <c r="BE22" s="219">
        <v>2.4922438762302157E-2</v>
      </c>
      <c r="BF22" s="155">
        <v>13</v>
      </c>
      <c r="BH22" s="155" t="s">
        <v>112</v>
      </c>
      <c r="BI22" s="219">
        <v>2.6990701303055697E-2</v>
      </c>
      <c r="BJ22" s="155">
        <v>13</v>
      </c>
      <c r="BL22" s="155" t="s">
        <v>112</v>
      </c>
      <c r="BM22" s="219">
        <v>3.1953756645571207E-2</v>
      </c>
      <c r="BN22" s="155">
        <v>8</v>
      </c>
      <c r="BP22" s="155" t="s">
        <v>112</v>
      </c>
      <c r="BQ22" s="159">
        <v>1.0319415307572579</v>
      </c>
      <c r="BR22" s="155">
        <v>20</v>
      </c>
      <c r="BT22" s="155" t="s">
        <v>112</v>
      </c>
      <c r="BU22" s="159">
        <v>0.93093247588424433</v>
      </c>
      <c r="BV22" s="155">
        <v>13</v>
      </c>
      <c r="BX22" s="155" t="s">
        <v>112</v>
      </c>
      <c r="BY22" s="159">
        <v>0.79715696543468506</v>
      </c>
      <c r="BZ22" s="155">
        <v>12</v>
      </c>
      <c r="CB22" s="155" t="s">
        <v>112</v>
      </c>
      <c r="CC22" s="159">
        <v>0.67691491441177287</v>
      </c>
      <c r="CD22" s="155">
        <v>13</v>
      </c>
      <c r="CF22" s="155" t="s">
        <v>112</v>
      </c>
      <c r="CG22" s="159">
        <v>0.53131374949000409</v>
      </c>
      <c r="CH22" s="155">
        <v>13</v>
      </c>
      <c r="CJ22" s="155" t="s">
        <v>112</v>
      </c>
      <c r="CK22" s="159">
        <v>0.36836348721688011</v>
      </c>
      <c r="CL22" s="155">
        <v>12</v>
      </c>
      <c r="CN22" s="155" t="s">
        <v>112</v>
      </c>
      <c r="CO22" s="159">
        <v>0.2077065401013595</v>
      </c>
      <c r="CP22" s="155">
        <v>8</v>
      </c>
    </row>
    <row r="23" spans="1:94" x14ac:dyDescent="0.2">
      <c r="A23" s="155" t="s">
        <v>113</v>
      </c>
      <c r="B23" s="155">
        <v>16330</v>
      </c>
      <c r="C23" s="155">
        <v>16700</v>
      </c>
      <c r="D23" s="155">
        <v>16900</v>
      </c>
      <c r="E23" s="155">
        <v>16900</v>
      </c>
      <c r="F23" s="155">
        <v>17100</v>
      </c>
      <c r="G23" s="155">
        <v>17700</v>
      </c>
      <c r="H23" s="155">
        <v>18300</v>
      </c>
      <c r="I23" s="155">
        <v>18400</v>
      </c>
      <c r="J23" s="155">
        <v>18500</v>
      </c>
      <c r="K23" s="155">
        <v>18600</v>
      </c>
      <c r="L23" s="155">
        <v>18933</v>
      </c>
      <c r="M23" s="155">
        <v>19158</v>
      </c>
      <c r="N23" s="155">
        <v>19302</v>
      </c>
      <c r="O23" s="155">
        <v>19314</v>
      </c>
      <c r="P23" s="155">
        <v>19529</v>
      </c>
      <c r="Q23" s="155">
        <v>19675</v>
      </c>
      <c r="R23" s="155">
        <v>19665</v>
      </c>
      <c r="S23" s="155">
        <v>20033</v>
      </c>
      <c r="T23" s="155">
        <v>20255</v>
      </c>
      <c r="U23" s="155">
        <v>20181</v>
      </c>
      <c r="V23" s="155">
        <v>20226</v>
      </c>
      <c r="W23" s="155">
        <v>20377</v>
      </c>
      <c r="X23" s="155">
        <v>20531</v>
      </c>
      <c r="Y23" s="155">
        <v>20899</v>
      </c>
      <c r="Z23" s="155">
        <v>21485</v>
      </c>
      <c r="AA23" s="155">
        <v>21980</v>
      </c>
      <c r="AB23" s="155">
        <v>22327</v>
      </c>
      <c r="AC23" s="155">
        <v>22851</v>
      </c>
      <c r="AD23" s="155">
        <v>23427</v>
      </c>
      <c r="AE23" s="155">
        <v>23956</v>
      </c>
      <c r="AF23" s="160">
        <v>24390</v>
      </c>
      <c r="AG23" s="160">
        <v>24497</v>
      </c>
      <c r="AH23" s="160">
        <v>24711</v>
      </c>
      <c r="AI23" s="160">
        <v>24995</v>
      </c>
      <c r="AJ23" s="160">
        <v>25405</v>
      </c>
      <c r="AK23" s="155">
        <v>25796</v>
      </c>
      <c r="AL23" s="155">
        <v>26309</v>
      </c>
      <c r="AM23" s="159"/>
      <c r="AN23" s="155" t="s">
        <v>113</v>
      </c>
      <c r="AO23" s="219">
        <v>1.3335557489423611E-2</v>
      </c>
      <c r="AP23" s="155">
        <v>37</v>
      </c>
      <c r="AR23" s="155" t="s">
        <v>113</v>
      </c>
      <c r="AS23" s="219">
        <v>1.2867451515990558E-2</v>
      </c>
      <c r="AT23" s="155">
        <v>36</v>
      </c>
      <c r="AV23" s="155" t="s">
        <v>113</v>
      </c>
      <c r="AW23" s="219">
        <v>1.2867451515990558E-2</v>
      </c>
      <c r="AX23" s="155">
        <v>36</v>
      </c>
      <c r="AZ23" s="155" t="s">
        <v>113</v>
      </c>
      <c r="BA23" s="219">
        <v>1.2734426131289611E-2</v>
      </c>
      <c r="BB23" s="155">
        <v>37</v>
      </c>
      <c r="BD23" s="155" t="s">
        <v>113</v>
      </c>
      <c r="BE23" s="219">
        <v>1.3932464205314909E-2</v>
      </c>
      <c r="BF23" s="155">
        <v>35</v>
      </c>
      <c r="BH23" s="155" t="s">
        <v>113</v>
      </c>
      <c r="BI23" s="219">
        <v>1.6569665362576425E-2</v>
      </c>
      <c r="BJ23" s="155">
        <v>35</v>
      </c>
      <c r="BL23" s="155" t="s">
        <v>113</v>
      </c>
      <c r="BM23" s="219">
        <v>1.2702985039524162E-2</v>
      </c>
      <c r="BN23" s="155">
        <v>33</v>
      </c>
      <c r="BP23" s="155" t="s">
        <v>113</v>
      </c>
      <c r="BQ23" s="159">
        <v>0.61108389467238211</v>
      </c>
      <c r="BR23" s="155">
        <v>37</v>
      </c>
      <c r="BT23" s="155" t="s">
        <v>113</v>
      </c>
      <c r="BU23" s="159">
        <v>0.48638418079096046</v>
      </c>
      <c r="BV23" s="155">
        <v>36</v>
      </c>
      <c r="BX23" s="155" t="s">
        <v>113</v>
      </c>
      <c r="BY23" s="159">
        <v>0.38958432366767021</v>
      </c>
      <c r="BZ23" s="155">
        <v>37</v>
      </c>
      <c r="CB23" s="155" t="s">
        <v>113</v>
      </c>
      <c r="CC23" s="159">
        <v>0.33717916137229986</v>
      </c>
      <c r="CD23" s="155">
        <v>35</v>
      </c>
      <c r="CF23" s="155" t="s">
        <v>113</v>
      </c>
      <c r="CG23" s="159">
        <v>0.3007515079600514</v>
      </c>
      <c r="CH23" s="155">
        <v>35</v>
      </c>
      <c r="CJ23" s="155" t="s">
        <v>113</v>
      </c>
      <c r="CK23" s="159">
        <v>0.19695177434030936</v>
      </c>
      <c r="CL23" s="155">
        <v>27</v>
      </c>
      <c r="CN23" s="155" t="s">
        <v>113</v>
      </c>
      <c r="CO23" s="159">
        <v>7.8679786797867982E-2</v>
      </c>
      <c r="CP23" s="155">
        <v>33</v>
      </c>
    </row>
    <row r="24" spans="1:94" x14ac:dyDescent="0.2">
      <c r="A24" s="155" t="s">
        <v>114</v>
      </c>
      <c r="B24" s="155">
        <v>10764</v>
      </c>
      <c r="C24" s="155">
        <v>10900</v>
      </c>
      <c r="D24" s="155">
        <v>11000</v>
      </c>
      <c r="E24" s="155">
        <v>11000</v>
      </c>
      <c r="F24" s="155">
        <v>11100</v>
      </c>
      <c r="G24" s="155">
        <v>11400</v>
      </c>
      <c r="H24" s="155">
        <v>11800</v>
      </c>
      <c r="I24" s="155">
        <v>12100</v>
      </c>
      <c r="J24" s="155">
        <v>12600</v>
      </c>
      <c r="K24" s="155">
        <v>12600</v>
      </c>
      <c r="L24" s="155">
        <v>12558</v>
      </c>
      <c r="M24" s="155">
        <v>12564</v>
      </c>
      <c r="N24" s="155">
        <v>12585</v>
      </c>
      <c r="O24" s="155">
        <v>12684</v>
      </c>
      <c r="P24" s="155">
        <v>12899</v>
      </c>
      <c r="Q24" s="155">
        <v>13056</v>
      </c>
      <c r="R24" s="155">
        <v>13230</v>
      </c>
      <c r="S24" s="155">
        <v>13406</v>
      </c>
      <c r="T24" s="155">
        <v>13505</v>
      </c>
      <c r="U24" s="155">
        <v>13462</v>
      </c>
      <c r="V24" s="155">
        <v>13540</v>
      </c>
      <c r="W24" s="155">
        <v>13660</v>
      </c>
      <c r="X24" s="155">
        <v>13807</v>
      </c>
      <c r="Y24" s="155">
        <v>13894</v>
      </c>
      <c r="Z24" s="155">
        <v>14011</v>
      </c>
      <c r="AA24" s="155">
        <v>14090</v>
      </c>
      <c r="AB24" s="155">
        <v>14324</v>
      </c>
      <c r="AC24" s="155">
        <v>14391</v>
      </c>
      <c r="AD24" s="155">
        <v>14436</v>
      </c>
      <c r="AE24" s="155">
        <v>14558</v>
      </c>
      <c r="AF24" s="160">
        <v>14121</v>
      </c>
      <c r="AG24" s="160">
        <v>14143</v>
      </c>
      <c r="AH24" s="160">
        <v>14207</v>
      </c>
      <c r="AI24" s="160">
        <v>14318</v>
      </c>
      <c r="AJ24" s="160">
        <v>14434</v>
      </c>
      <c r="AK24" s="155">
        <v>14528</v>
      </c>
      <c r="AL24" s="155">
        <v>14695</v>
      </c>
      <c r="AM24" s="159"/>
      <c r="AN24" s="155" t="s">
        <v>114</v>
      </c>
      <c r="AO24" s="219">
        <v>8.6847193243393406E-3</v>
      </c>
      <c r="AP24" s="155">
        <v>65</v>
      </c>
      <c r="AR24" s="155" t="s">
        <v>114</v>
      </c>
      <c r="AS24" s="219">
        <v>8.2237580840234248E-3</v>
      </c>
      <c r="AT24" s="155">
        <v>64</v>
      </c>
      <c r="AV24" s="155" t="s">
        <v>114</v>
      </c>
      <c r="AW24" s="219">
        <v>8.2237580840234248E-3</v>
      </c>
      <c r="AX24" s="155">
        <v>63</v>
      </c>
      <c r="AZ24" s="155" t="s">
        <v>114</v>
      </c>
      <c r="BA24" s="219">
        <v>6.0625102768074868E-3</v>
      </c>
      <c r="BB24" s="155">
        <v>76</v>
      </c>
      <c r="BD24" s="155" t="s">
        <v>114</v>
      </c>
      <c r="BE24" s="219">
        <v>5.647291007152333E-3</v>
      </c>
      <c r="BF24" s="155">
        <v>76</v>
      </c>
      <c r="BH24" s="155" t="s">
        <v>114</v>
      </c>
      <c r="BI24" s="219">
        <v>5.1292995700866761E-3</v>
      </c>
      <c r="BJ24" s="155">
        <v>85</v>
      </c>
      <c r="BL24" s="155" t="s">
        <v>114</v>
      </c>
      <c r="BM24" s="219">
        <v>6.6628065221063792E-3</v>
      </c>
      <c r="BN24" s="155">
        <v>53</v>
      </c>
      <c r="BP24" s="155" t="s">
        <v>114</v>
      </c>
      <c r="BQ24" s="159">
        <v>0.36519881085098477</v>
      </c>
      <c r="BR24" s="155">
        <v>65</v>
      </c>
      <c r="BT24" s="155" t="s">
        <v>114</v>
      </c>
      <c r="BU24" s="159">
        <v>0.28903508771929826</v>
      </c>
      <c r="BV24" s="155">
        <v>64</v>
      </c>
      <c r="BX24" s="155" t="s">
        <v>114</v>
      </c>
      <c r="BY24" s="159">
        <v>0.17017040930084409</v>
      </c>
      <c r="BZ24" s="155">
        <v>76</v>
      </c>
      <c r="CB24" s="155" t="s">
        <v>114</v>
      </c>
      <c r="CC24" s="159">
        <v>0.12553615196078433</v>
      </c>
      <c r="CD24" s="155">
        <v>76</v>
      </c>
      <c r="CF24" s="155" t="s">
        <v>114</v>
      </c>
      <c r="CG24" s="159">
        <v>8.5302806499261447E-2</v>
      </c>
      <c r="CH24" s="155">
        <v>85</v>
      </c>
      <c r="CJ24" s="155" t="s">
        <v>114</v>
      </c>
      <c r="CK24" s="159">
        <v>4.2938254080908449E-2</v>
      </c>
      <c r="CL24" s="155">
        <v>82</v>
      </c>
      <c r="CN24" s="155" t="s">
        <v>114</v>
      </c>
      <c r="CO24" s="159">
        <v>4.064867927200623E-2</v>
      </c>
      <c r="CP24" s="155">
        <v>53</v>
      </c>
    </row>
    <row r="25" spans="1:94" x14ac:dyDescent="0.2">
      <c r="A25" s="155" t="s">
        <v>115</v>
      </c>
      <c r="B25" s="155">
        <v>5180</v>
      </c>
      <c r="C25" s="155">
        <v>5300</v>
      </c>
      <c r="D25" s="155">
        <v>5300</v>
      </c>
      <c r="E25" s="155">
        <v>5500</v>
      </c>
      <c r="F25" s="155">
        <v>5500</v>
      </c>
      <c r="G25" s="155">
        <v>5800</v>
      </c>
      <c r="H25" s="155">
        <v>5800</v>
      </c>
      <c r="I25" s="155">
        <v>5900</v>
      </c>
      <c r="J25" s="155">
        <v>6200</v>
      </c>
      <c r="K25" s="155">
        <v>6500</v>
      </c>
      <c r="L25" s="155">
        <v>6619</v>
      </c>
      <c r="M25" s="155">
        <v>6789</v>
      </c>
      <c r="N25" s="155">
        <v>6878</v>
      </c>
      <c r="O25" s="155">
        <v>6923</v>
      </c>
      <c r="P25" s="155">
        <v>7025</v>
      </c>
      <c r="Q25" s="155">
        <v>7005</v>
      </c>
      <c r="R25" s="155">
        <v>7168</v>
      </c>
      <c r="S25" s="155">
        <v>7173</v>
      </c>
      <c r="T25" s="155">
        <v>7189</v>
      </c>
      <c r="U25" s="155">
        <v>7134</v>
      </c>
      <c r="V25" s="155">
        <v>7167</v>
      </c>
      <c r="W25" s="155">
        <v>7251</v>
      </c>
      <c r="X25" s="155">
        <v>7292</v>
      </c>
      <c r="Y25" s="155">
        <v>7470</v>
      </c>
      <c r="Z25" s="155">
        <v>7699</v>
      </c>
      <c r="AA25" s="155">
        <v>7889</v>
      </c>
      <c r="AB25" s="155">
        <v>8022</v>
      </c>
      <c r="AC25" s="155">
        <v>8267</v>
      </c>
      <c r="AD25" s="155">
        <v>8499</v>
      </c>
      <c r="AE25" s="155">
        <v>8649</v>
      </c>
      <c r="AF25" s="160">
        <v>8817</v>
      </c>
      <c r="AG25" s="160">
        <v>9017</v>
      </c>
      <c r="AH25" s="160">
        <v>9154</v>
      </c>
      <c r="AI25" s="160">
        <v>9327</v>
      </c>
      <c r="AJ25" s="160">
        <v>9492</v>
      </c>
      <c r="AK25" s="155">
        <v>9765</v>
      </c>
      <c r="AL25" s="155">
        <v>10008</v>
      </c>
      <c r="AM25" s="159"/>
      <c r="AN25" s="155" t="s">
        <v>115</v>
      </c>
      <c r="AO25" s="219">
        <v>1.8462239140388581E-2</v>
      </c>
      <c r="AP25" s="155">
        <v>25</v>
      </c>
      <c r="AR25" s="155" t="s">
        <v>115</v>
      </c>
      <c r="AS25" s="219">
        <v>1.7753391253141793E-2</v>
      </c>
      <c r="AT25" s="155">
        <v>23</v>
      </c>
      <c r="AV25" s="155" t="s">
        <v>115</v>
      </c>
      <c r="AW25" s="219">
        <v>1.7753391253141793E-2</v>
      </c>
      <c r="AX25" s="155">
        <v>23</v>
      </c>
      <c r="AZ25" s="155" t="s">
        <v>115</v>
      </c>
      <c r="BA25" s="219">
        <v>1.6028659183726868E-2</v>
      </c>
      <c r="BB25" s="155">
        <v>29</v>
      </c>
      <c r="BD25" s="155" t="s">
        <v>115</v>
      </c>
      <c r="BE25" s="219">
        <v>1.713372661380963E-2</v>
      </c>
      <c r="BF25" s="155">
        <v>28</v>
      </c>
      <c r="BH25" s="155" t="s">
        <v>115</v>
      </c>
      <c r="BI25" s="219">
        <v>2.1087872906587979E-2</v>
      </c>
      <c r="BJ25" s="155">
        <v>22</v>
      </c>
      <c r="BL25" s="155" t="s">
        <v>115</v>
      </c>
      <c r="BM25" s="219">
        <v>2.1341728353058587E-2</v>
      </c>
      <c r="BN25" s="155">
        <v>19</v>
      </c>
      <c r="BP25" s="155" t="s">
        <v>115</v>
      </c>
      <c r="BQ25" s="159">
        <v>0.93204633204633203</v>
      </c>
      <c r="BR25" s="155">
        <v>25</v>
      </c>
      <c r="BT25" s="155" t="s">
        <v>115</v>
      </c>
      <c r="BU25" s="159">
        <v>0.7255172413793104</v>
      </c>
      <c r="BV25" s="155">
        <v>23</v>
      </c>
      <c r="BX25" s="155" t="s">
        <v>115</v>
      </c>
      <c r="BY25" s="159">
        <v>0.5120108777760991</v>
      </c>
      <c r="BZ25" s="155">
        <v>29</v>
      </c>
      <c r="CB25" s="155" t="s">
        <v>115</v>
      </c>
      <c r="CC25" s="159">
        <v>0.42869379014989295</v>
      </c>
      <c r="CD25" s="155">
        <v>27</v>
      </c>
      <c r="CF25" s="155" t="s">
        <v>115</v>
      </c>
      <c r="CG25" s="159">
        <v>0.39640016743407286</v>
      </c>
      <c r="CH25" s="155">
        <v>22</v>
      </c>
      <c r="CJ25" s="155" t="s">
        <v>115</v>
      </c>
      <c r="CK25" s="159">
        <v>0.26860185067815945</v>
      </c>
      <c r="CL25" s="155">
        <v>18</v>
      </c>
      <c r="CN25" s="155" t="s">
        <v>115</v>
      </c>
      <c r="CO25" s="159">
        <v>0.13507995916978563</v>
      </c>
      <c r="CP25" s="155">
        <v>19</v>
      </c>
    </row>
    <row r="26" spans="1:94" x14ac:dyDescent="0.2">
      <c r="A26" s="155" t="s">
        <v>116</v>
      </c>
      <c r="B26" s="155">
        <v>72556</v>
      </c>
      <c r="C26" s="155">
        <v>74700</v>
      </c>
      <c r="D26" s="155">
        <v>76300</v>
      </c>
      <c r="E26" s="155">
        <v>77600</v>
      </c>
      <c r="F26" s="155">
        <v>79000</v>
      </c>
      <c r="G26" s="155">
        <v>80300</v>
      </c>
      <c r="H26" s="155">
        <v>80900</v>
      </c>
      <c r="I26" s="155">
        <v>81200</v>
      </c>
      <c r="J26" s="155">
        <v>81800</v>
      </c>
      <c r="K26" s="155">
        <v>82300</v>
      </c>
      <c r="L26" s="155">
        <v>83435</v>
      </c>
      <c r="M26" s="155">
        <v>83376</v>
      </c>
      <c r="N26" s="155">
        <v>83144</v>
      </c>
      <c r="O26" s="155">
        <v>82675</v>
      </c>
      <c r="P26" s="155">
        <v>83289</v>
      </c>
      <c r="Q26" s="155">
        <v>84172</v>
      </c>
      <c r="R26" s="155">
        <v>83658</v>
      </c>
      <c r="S26" s="155">
        <v>83583</v>
      </c>
      <c r="T26" s="155">
        <v>83910</v>
      </c>
      <c r="U26" s="155">
        <v>84430</v>
      </c>
      <c r="V26" s="155">
        <v>85221</v>
      </c>
      <c r="W26" s="155">
        <v>86159</v>
      </c>
      <c r="X26" s="155">
        <v>87395</v>
      </c>
      <c r="Y26" s="155">
        <v>88370</v>
      </c>
      <c r="Z26" s="155">
        <v>89210</v>
      </c>
      <c r="AA26" s="155">
        <v>90738</v>
      </c>
      <c r="AB26" s="155">
        <v>92037</v>
      </c>
      <c r="AC26" s="155">
        <v>93017</v>
      </c>
      <c r="AD26" s="155">
        <v>94224</v>
      </c>
      <c r="AE26" s="155">
        <v>95293</v>
      </c>
      <c r="AF26" s="160">
        <v>96577</v>
      </c>
      <c r="AG26" s="160">
        <v>97176</v>
      </c>
      <c r="AH26" s="160">
        <v>97702</v>
      </c>
      <c r="AI26" s="160">
        <v>98153</v>
      </c>
      <c r="AJ26" s="160">
        <v>98269</v>
      </c>
      <c r="AK26" s="155">
        <v>98288</v>
      </c>
      <c r="AL26" s="155">
        <v>98373</v>
      </c>
      <c r="AM26" s="159"/>
      <c r="AN26" s="155" t="s">
        <v>116</v>
      </c>
      <c r="AO26" s="219">
        <v>8.4916204035516696E-3</v>
      </c>
      <c r="AP26" s="155">
        <v>67</v>
      </c>
      <c r="AR26" s="155" t="s">
        <v>116</v>
      </c>
      <c r="AS26" s="219">
        <v>6.5697693025927872E-3</v>
      </c>
      <c r="AT26" s="155">
        <v>77</v>
      </c>
      <c r="AV26" s="155" t="s">
        <v>116</v>
      </c>
      <c r="AW26" s="219">
        <v>6.5697693025927872E-3</v>
      </c>
      <c r="AX26" s="155">
        <v>77</v>
      </c>
      <c r="AZ26" s="155" t="s">
        <v>116</v>
      </c>
      <c r="BA26" s="219">
        <v>6.3546630688799954E-3</v>
      </c>
      <c r="BB26" s="155">
        <v>73</v>
      </c>
      <c r="BD26" s="155" t="s">
        <v>116</v>
      </c>
      <c r="BE26" s="219">
        <v>7.4516286957253541E-3</v>
      </c>
      <c r="BF26" s="155">
        <v>67</v>
      </c>
      <c r="BH26" s="155" t="s">
        <v>116</v>
      </c>
      <c r="BI26" s="219">
        <v>9.0102560251368313E-3</v>
      </c>
      <c r="BJ26" s="155">
        <v>64</v>
      </c>
      <c r="BL26" s="155" t="s">
        <v>116</v>
      </c>
      <c r="BM26" s="219">
        <v>3.0756799827500458E-3</v>
      </c>
      <c r="BN26" s="155">
        <v>73</v>
      </c>
      <c r="BP26" s="155" t="s">
        <v>116</v>
      </c>
      <c r="BQ26" s="159">
        <v>0.35582171012734992</v>
      </c>
      <c r="BR26" s="155">
        <v>67</v>
      </c>
      <c r="BT26" s="155" t="s">
        <v>116</v>
      </c>
      <c r="BU26" s="159">
        <v>0.22506849315068495</v>
      </c>
      <c r="BV26" s="155">
        <v>77</v>
      </c>
      <c r="BX26" s="155" t="s">
        <v>116</v>
      </c>
      <c r="BY26" s="159">
        <v>0.17903757415952537</v>
      </c>
      <c r="BZ26" s="155">
        <v>73</v>
      </c>
      <c r="CB26" s="155" t="s">
        <v>116</v>
      </c>
      <c r="CC26" s="159">
        <v>0.16871406168322006</v>
      </c>
      <c r="CD26" s="155">
        <v>67</v>
      </c>
      <c r="CF26" s="155" t="s">
        <v>116</v>
      </c>
      <c r="CG26" s="159">
        <v>0.15432815855246945</v>
      </c>
      <c r="CH26" s="155">
        <v>64</v>
      </c>
      <c r="CJ26" s="155" t="s">
        <v>116</v>
      </c>
      <c r="CK26" s="159">
        <v>8.4143357799378427E-2</v>
      </c>
      <c r="CL26" s="155">
        <v>67</v>
      </c>
      <c r="CN26" s="155" t="s">
        <v>116</v>
      </c>
      <c r="CO26" s="159">
        <v>1.8596560257618272E-2</v>
      </c>
      <c r="CP26" s="155">
        <v>73</v>
      </c>
    </row>
    <row r="27" spans="1:94" x14ac:dyDescent="0.2">
      <c r="A27" s="155" t="s">
        <v>117</v>
      </c>
      <c r="B27" s="155">
        <v>46937</v>
      </c>
      <c r="C27" s="155">
        <v>48000</v>
      </c>
      <c r="D27" s="155">
        <v>48500</v>
      </c>
      <c r="E27" s="155">
        <v>49300</v>
      </c>
      <c r="F27" s="155">
        <v>49500</v>
      </c>
      <c r="G27" s="155">
        <v>49900</v>
      </c>
      <c r="H27" s="155">
        <v>50700</v>
      </c>
      <c r="I27" s="155">
        <v>50800</v>
      </c>
      <c r="J27" s="155">
        <v>51000</v>
      </c>
      <c r="K27" s="155">
        <v>50900</v>
      </c>
      <c r="L27" s="155">
        <v>51037</v>
      </c>
      <c r="M27" s="155">
        <v>51226</v>
      </c>
      <c r="N27" s="155">
        <v>50859</v>
      </c>
      <c r="O27" s="155">
        <v>50733</v>
      </c>
      <c r="P27" s="155">
        <v>50780</v>
      </c>
      <c r="Q27" s="155">
        <v>50675</v>
      </c>
      <c r="R27" s="155">
        <v>50463</v>
      </c>
      <c r="S27" s="155">
        <v>50724</v>
      </c>
      <c r="T27" s="155">
        <v>50205</v>
      </c>
      <c r="U27" s="155">
        <v>50144</v>
      </c>
      <c r="V27" s="155">
        <v>49559</v>
      </c>
      <c r="W27" s="155">
        <v>49927</v>
      </c>
      <c r="X27" s="155">
        <v>50518</v>
      </c>
      <c r="Y27" s="155">
        <v>51172</v>
      </c>
      <c r="Z27" s="155">
        <v>51691</v>
      </c>
      <c r="AA27" s="155">
        <v>52177</v>
      </c>
      <c r="AB27" s="155">
        <v>52905</v>
      </c>
      <c r="AC27" s="155">
        <v>53587</v>
      </c>
      <c r="AD27" s="155">
        <v>54121</v>
      </c>
      <c r="AE27" s="155">
        <v>54522</v>
      </c>
      <c r="AF27" s="160">
        <v>54761</v>
      </c>
      <c r="AG27" s="160">
        <v>54710</v>
      </c>
      <c r="AH27" s="160">
        <v>54755</v>
      </c>
      <c r="AI27" s="160">
        <v>54598</v>
      </c>
      <c r="AJ27" s="160">
        <v>54659</v>
      </c>
      <c r="AK27" s="155">
        <v>54746</v>
      </c>
      <c r="AL27" s="155">
        <v>54637</v>
      </c>
      <c r="AM27" s="159"/>
      <c r="AN27" s="155" t="s">
        <v>117</v>
      </c>
      <c r="AO27" s="219">
        <v>4.2284992002363797E-3</v>
      </c>
      <c r="AP27" s="155">
        <v>88</v>
      </c>
      <c r="AR27" s="155" t="s">
        <v>117</v>
      </c>
      <c r="AS27" s="219">
        <v>2.9297771801601868E-3</v>
      </c>
      <c r="AT27" s="155">
        <v>88</v>
      </c>
      <c r="AV27" s="155" t="s">
        <v>117</v>
      </c>
      <c r="AW27" s="219">
        <v>2.9297771801601868E-3</v>
      </c>
      <c r="AX27" s="155">
        <v>88</v>
      </c>
      <c r="AZ27" s="155" t="s">
        <v>117</v>
      </c>
      <c r="BA27" s="219">
        <v>2.6249950144563439E-3</v>
      </c>
      <c r="BB27" s="155">
        <v>87</v>
      </c>
      <c r="BD27" s="155" t="s">
        <v>117</v>
      </c>
      <c r="BE27" s="219">
        <v>3.591128734824478E-3</v>
      </c>
      <c r="BF27" s="155">
        <v>88</v>
      </c>
      <c r="BH27" s="155" t="s">
        <v>117</v>
      </c>
      <c r="BI27" s="219">
        <v>6.1153371603130946E-3</v>
      </c>
      <c r="BJ27" s="155">
        <v>79</v>
      </c>
      <c r="BL27" s="155" t="s">
        <v>117</v>
      </c>
      <c r="BM27" s="219">
        <v>-3.7775410539009346E-4</v>
      </c>
      <c r="BN27" s="155">
        <v>87</v>
      </c>
      <c r="BP27" s="155" t="s">
        <v>117</v>
      </c>
      <c r="BQ27" s="159">
        <v>0.16404968361846731</v>
      </c>
      <c r="BR27" s="155">
        <v>88</v>
      </c>
      <c r="BT27" s="155" t="s">
        <v>117</v>
      </c>
      <c r="BU27" s="159">
        <v>9.4929859719438875E-2</v>
      </c>
      <c r="BV27" s="155">
        <v>88</v>
      </c>
      <c r="BX27" s="155" t="s">
        <v>117</v>
      </c>
      <c r="BY27" s="159">
        <v>7.053706134764974E-2</v>
      </c>
      <c r="BZ27" s="155">
        <v>87</v>
      </c>
      <c r="CB27" s="155" t="s">
        <v>117</v>
      </c>
      <c r="CC27" s="159">
        <v>7.8184509126788357E-2</v>
      </c>
      <c r="CD27" s="155">
        <v>88</v>
      </c>
      <c r="CF27" s="155" t="s">
        <v>117</v>
      </c>
      <c r="CG27" s="159">
        <v>0.10246373009947739</v>
      </c>
      <c r="CH27" s="155">
        <v>79</v>
      </c>
      <c r="CJ27" s="155" t="s">
        <v>117</v>
      </c>
      <c r="CK27" s="159">
        <v>4.7147210456714647E-2</v>
      </c>
      <c r="CL27" s="155">
        <v>81</v>
      </c>
      <c r="CN27" s="155" t="s">
        <v>117</v>
      </c>
      <c r="CO27" s="159">
        <v>-2.2643852376691442E-3</v>
      </c>
      <c r="CP27" s="155">
        <v>87</v>
      </c>
    </row>
    <row r="28" spans="1:94" x14ac:dyDescent="0.2">
      <c r="A28" s="155" t="s">
        <v>118</v>
      </c>
      <c r="B28" s="155">
        <v>62554</v>
      </c>
      <c r="C28" s="155">
        <v>64500</v>
      </c>
      <c r="D28" s="155">
        <v>65700</v>
      </c>
      <c r="E28" s="155">
        <v>68200</v>
      </c>
      <c r="F28" s="155">
        <v>67600</v>
      </c>
      <c r="G28" s="155">
        <v>69500</v>
      </c>
      <c r="H28" s="155">
        <v>71600</v>
      </c>
      <c r="I28" s="155">
        <v>71400</v>
      </c>
      <c r="J28" s="155">
        <v>71600</v>
      </c>
      <c r="K28" s="155">
        <v>70900</v>
      </c>
      <c r="L28" s="155">
        <v>71043</v>
      </c>
      <c r="M28" s="155">
        <v>72236</v>
      </c>
      <c r="N28" s="155">
        <v>73774</v>
      </c>
      <c r="O28" s="155">
        <v>74848</v>
      </c>
      <c r="P28" s="155">
        <v>76998</v>
      </c>
      <c r="Q28" s="155">
        <v>79439</v>
      </c>
      <c r="R28" s="155">
        <v>79809</v>
      </c>
      <c r="S28" s="155">
        <v>79589</v>
      </c>
      <c r="T28" s="155">
        <v>80758</v>
      </c>
      <c r="U28" s="155">
        <v>81098</v>
      </c>
      <c r="V28" s="155">
        <v>82131</v>
      </c>
      <c r="W28" s="155">
        <v>83304</v>
      </c>
      <c r="X28" s="155">
        <v>84429</v>
      </c>
      <c r="Y28" s="155">
        <v>84211</v>
      </c>
      <c r="Z28" s="155">
        <v>84458</v>
      </c>
      <c r="AA28" s="155">
        <v>85998</v>
      </c>
      <c r="AB28" s="155">
        <v>87618</v>
      </c>
      <c r="AC28" s="155">
        <v>89128</v>
      </c>
      <c r="AD28" s="155">
        <v>90041</v>
      </c>
      <c r="AE28" s="155">
        <v>90843</v>
      </c>
      <c r="AF28" s="160">
        <v>91660</v>
      </c>
      <c r="AG28" s="160">
        <v>92243</v>
      </c>
      <c r="AH28" s="160">
        <v>91158</v>
      </c>
      <c r="AI28" s="160">
        <v>91749</v>
      </c>
      <c r="AJ28" s="160">
        <v>90824</v>
      </c>
      <c r="AK28" s="155">
        <v>90795</v>
      </c>
      <c r="AL28" s="155">
        <v>94875</v>
      </c>
      <c r="AM28" s="159"/>
      <c r="AN28" s="155" t="s">
        <v>118</v>
      </c>
      <c r="AO28" s="219">
        <v>1.1637473806347831E-2</v>
      </c>
      <c r="AP28" s="155">
        <v>45</v>
      </c>
      <c r="AR28" s="155" t="s">
        <v>118</v>
      </c>
      <c r="AS28" s="219">
        <v>1.0090357556546081E-2</v>
      </c>
      <c r="AT28" s="155">
        <v>47</v>
      </c>
      <c r="AV28" s="155" t="s">
        <v>118</v>
      </c>
      <c r="AW28" s="219">
        <v>1.0090357556546081E-2</v>
      </c>
      <c r="AX28" s="155">
        <v>47</v>
      </c>
      <c r="AZ28" s="155" t="s">
        <v>118</v>
      </c>
      <c r="BA28" s="219">
        <v>1.1188081659521565E-2</v>
      </c>
      <c r="BB28" s="155">
        <v>47</v>
      </c>
      <c r="BD28" s="155" t="s">
        <v>118</v>
      </c>
      <c r="BE28" s="219">
        <v>8.4916034330080326E-3</v>
      </c>
      <c r="BF28" s="155">
        <v>60</v>
      </c>
      <c r="BH28" s="155" t="s">
        <v>118</v>
      </c>
      <c r="BI28" s="219">
        <v>9.0560540468274109E-3</v>
      </c>
      <c r="BJ28" s="155">
        <v>63</v>
      </c>
      <c r="BL28" s="155" t="s">
        <v>118</v>
      </c>
      <c r="BM28" s="219">
        <v>5.7622309243954284E-3</v>
      </c>
      <c r="BN28" s="155">
        <v>56</v>
      </c>
      <c r="BP28" s="155" t="s">
        <v>118</v>
      </c>
      <c r="BQ28" s="159">
        <v>0.51668958020270483</v>
      </c>
      <c r="BR28" s="155">
        <v>45</v>
      </c>
      <c r="BT28" s="155" t="s">
        <v>118</v>
      </c>
      <c r="BU28" s="159">
        <v>0.36510791366906475</v>
      </c>
      <c r="BV28" s="155">
        <v>47</v>
      </c>
      <c r="BX28" s="155" t="s">
        <v>118</v>
      </c>
      <c r="BY28" s="159">
        <v>0.33545880663823319</v>
      </c>
      <c r="BZ28" s="155">
        <v>47</v>
      </c>
      <c r="CB28" s="155" t="s">
        <v>118</v>
      </c>
      <c r="CC28" s="159">
        <v>0.19431261722831356</v>
      </c>
      <c r="CD28" s="155">
        <v>60</v>
      </c>
      <c r="CF28" s="155" t="s">
        <v>118</v>
      </c>
      <c r="CG28" s="159">
        <v>0.15516674580852541</v>
      </c>
      <c r="CH28" s="155">
        <v>63</v>
      </c>
      <c r="CJ28" s="155" t="s">
        <v>118</v>
      </c>
      <c r="CK28" s="159">
        <v>0.10322333077513431</v>
      </c>
      <c r="CL28" s="155">
        <v>59</v>
      </c>
      <c r="CN28" s="155" t="s">
        <v>118</v>
      </c>
      <c r="CO28" s="159">
        <v>3.5075278202051058E-2</v>
      </c>
      <c r="CP28" s="155">
        <v>56</v>
      </c>
    </row>
    <row r="29" spans="1:94" x14ac:dyDescent="0.2">
      <c r="A29" s="155" t="s">
        <v>119</v>
      </c>
      <c r="B29" s="155">
        <v>212042</v>
      </c>
      <c r="C29" s="155">
        <v>214300</v>
      </c>
      <c r="D29" s="155">
        <v>215300</v>
      </c>
      <c r="E29" s="155">
        <v>221300</v>
      </c>
      <c r="F29" s="155">
        <v>233200</v>
      </c>
      <c r="G29" s="155">
        <v>233800</v>
      </c>
      <c r="H29" s="155">
        <v>238900</v>
      </c>
      <c r="I29" s="155">
        <v>243200</v>
      </c>
      <c r="J29" s="155">
        <v>246400</v>
      </c>
      <c r="K29" s="155">
        <v>244200</v>
      </c>
      <c r="L29" s="155">
        <v>247160</v>
      </c>
      <c r="M29" s="155">
        <v>250088</v>
      </c>
      <c r="N29" s="155">
        <v>251394</v>
      </c>
      <c r="O29" s="155">
        <v>255050</v>
      </c>
      <c r="P29" s="155">
        <v>259011</v>
      </c>
      <c r="Q29" s="155">
        <v>261674</v>
      </c>
      <c r="R29" s="155">
        <v>262034</v>
      </c>
      <c r="S29" s="155">
        <v>265418</v>
      </c>
      <c r="T29" s="155">
        <v>264423</v>
      </c>
      <c r="U29" s="155">
        <v>272114</v>
      </c>
      <c r="V29" s="155">
        <v>275834</v>
      </c>
      <c r="W29" s="155">
        <v>279663</v>
      </c>
      <c r="X29" s="155">
        <v>280941</v>
      </c>
      <c r="Y29" s="155">
        <v>289477</v>
      </c>
      <c r="Z29" s="155">
        <v>291262</v>
      </c>
      <c r="AA29" s="155">
        <v>294091</v>
      </c>
      <c r="AB29" s="155">
        <v>295446</v>
      </c>
      <c r="AC29" s="155">
        <v>299348</v>
      </c>
      <c r="AD29" s="155">
        <v>299506</v>
      </c>
      <c r="AE29" s="155">
        <v>301608</v>
      </c>
      <c r="AF29" s="160">
        <v>302814</v>
      </c>
      <c r="AG29" s="160">
        <v>302384</v>
      </c>
      <c r="AH29" s="160">
        <v>304430</v>
      </c>
      <c r="AI29" s="160">
        <v>307108</v>
      </c>
      <c r="AJ29" s="160">
        <v>306943</v>
      </c>
      <c r="AK29" s="155">
        <v>304520</v>
      </c>
      <c r="AL29" s="155">
        <v>299060</v>
      </c>
      <c r="AM29" s="159"/>
      <c r="AN29" s="155" t="s">
        <v>119</v>
      </c>
      <c r="AO29" s="219">
        <v>9.5974253248614083E-3</v>
      </c>
      <c r="AP29" s="155">
        <v>59</v>
      </c>
      <c r="AR29" s="155" t="s">
        <v>119</v>
      </c>
      <c r="AS29" s="219">
        <v>7.9728466013857524E-3</v>
      </c>
      <c r="AT29" s="155">
        <v>66</v>
      </c>
      <c r="AV29" s="155" t="s">
        <v>119</v>
      </c>
      <c r="AW29" s="219">
        <v>7.9728466013857524E-3</v>
      </c>
      <c r="AX29" s="155">
        <v>66</v>
      </c>
      <c r="AZ29" s="155" t="s">
        <v>119</v>
      </c>
      <c r="BA29" s="219">
        <v>7.3580275300797471E-3</v>
      </c>
      <c r="BB29" s="155">
        <v>69</v>
      </c>
      <c r="BD29" s="155" t="s">
        <v>119</v>
      </c>
      <c r="BE29" s="219">
        <v>6.3795377818576249E-3</v>
      </c>
      <c r="BF29" s="155">
        <v>71</v>
      </c>
      <c r="BH29" s="155" t="s">
        <v>119</v>
      </c>
      <c r="BI29" s="219">
        <v>5.0655986465972802E-3</v>
      </c>
      <c r="BJ29" s="155">
        <v>86</v>
      </c>
      <c r="BL29" s="155" t="s">
        <v>119</v>
      </c>
      <c r="BM29" s="219">
        <v>-2.0769291046316418E-3</v>
      </c>
      <c r="BN29" s="155">
        <v>90</v>
      </c>
      <c r="BP29" s="155" t="s">
        <v>119</v>
      </c>
      <c r="BQ29" s="159">
        <v>0.41038096226219334</v>
      </c>
      <c r="BR29" s="155">
        <v>59</v>
      </c>
      <c r="BT29" s="155" t="s">
        <v>119</v>
      </c>
      <c r="BU29" s="159">
        <v>0.2791274593669803</v>
      </c>
      <c r="BV29" s="155">
        <v>66</v>
      </c>
      <c r="BX29" s="155" t="s">
        <v>119</v>
      </c>
      <c r="BY29" s="159">
        <v>0.20998543453633273</v>
      </c>
      <c r="BZ29" s="155">
        <v>68</v>
      </c>
      <c r="CB29" s="155" t="s">
        <v>119</v>
      </c>
      <c r="CC29" s="159">
        <v>0.14287242905294373</v>
      </c>
      <c r="CD29" s="155">
        <v>71</v>
      </c>
      <c r="CF29" s="155" t="s">
        <v>119</v>
      </c>
      <c r="CG29" s="159">
        <v>8.420281763669453E-2</v>
      </c>
      <c r="CH29" s="155">
        <v>86</v>
      </c>
      <c r="CJ29" s="155" t="s">
        <v>119</v>
      </c>
      <c r="CK29" s="159">
        <v>1.6896130789449525E-2</v>
      </c>
      <c r="CL29" s="155">
        <v>91</v>
      </c>
      <c r="CN29" s="155" t="s">
        <v>119</v>
      </c>
      <c r="CO29" s="159">
        <v>-1.2397049013585898E-2</v>
      </c>
      <c r="CP29" s="155">
        <v>90</v>
      </c>
    </row>
    <row r="30" spans="1:94" x14ac:dyDescent="0.2">
      <c r="A30" s="155" t="s">
        <v>120</v>
      </c>
      <c r="B30" s="155">
        <v>6976</v>
      </c>
      <c r="C30" s="155">
        <v>7200</v>
      </c>
      <c r="D30" s="155">
        <v>8000</v>
      </c>
      <c r="E30" s="155">
        <v>8800</v>
      </c>
      <c r="F30" s="155">
        <v>9600</v>
      </c>
      <c r="G30" s="155">
        <v>10000</v>
      </c>
      <c r="H30" s="155">
        <v>10200</v>
      </c>
      <c r="I30" s="155">
        <v>10200</v>
      </c>
      <c r="J30" s="155">
        <v>10700</v>
      </c>
      <c r="K30" s="155">
        <v>11300</v>
      </c>
      <c r="L30" s="155">
        <v>11089</v>
      </c>
      <c r="M30" s="155">
        <v>11190</v>
      </c>
      <c r="N30" s="155">
        <v>11537</v>
      </c>
      <c r="O30" s="155">
        <v>12300</v>
      </c>
      <c r="P30" s="155">
        <v>12631</v>
      </c>
      <c r="Q30" s="155">
        <v>12545</v>
      </c>
      <c r="R30" s="155">
        <v>12922</v>
      </c>
      <c r="S30" s="155">
        <v>13122</v>
      </c>
      <c r="T30" s="155">
        <v>13326</v>
      </c>
      <c r="U30" s="155">
        <v>13619</v>
      </c>
      <c r="V30" s="155">
        <v>13799</v>
      </c>
      <c r="W30" s="155">
        <v>14176</v>
      </c>
      <c r="X30" s="155">
        <v>14583</v>
      </c>
      <c r="Y30" s="155">
        <v>15086</v>
      </c>
      <c r="Z30" s="155">
        <v>15654</v>
      </c>
      <c r="AA30" s="155">
        <v>16047</v>
      </c>
      <c r="AB30" s="155">
        <v>16487</v>
      </c>
      <c r="AC30" s="155">
        <v>16942</v>
      </c>
      <c r="AD30" s="155">
        <v>17471</v>
      </c>
      <c r="AE30" s="155">
        <v>17856</v>
      </c>
      <c r="AF30" s="160">
        <v>18341</v>
      </c>
      <c r="AG30" s="160">
        <v>18840</v>
      </c>
      <c r="AH30" s="160">
        <v>19614</v>
      </c>
      <c r="AI30" s="160">
        <v>20786</v>
      </c>
      <c r="AJ30" s="160">
        <v>22055</v>
      </c>
      <c r="AK30" s="155">
        <v>23112</v>
      </c>
      <c r="AL30" s="155">
        <v>23770</v>
      </c>
      <c r="AM30" s="159"/>
      <c r="AN30" s="155" t="s">
        <v>120</v>
      </c>
      <c r="AO30" s="219">
        <v>3.464060785896006E-2</v>
      </c>
      <c r="AP30" s="155">
        <v>4</v>
      </c>
      <c r="AR30" s="155" t="s">
        <v>120</v>
      </c>
      <c r="AS30" s="219">
        <v>2.8324004037487915E-2</v>
      </c>
      <c r="AT30" s="155">
        <v>6</v>
      </c>
      <c r="AV30" s="155" t="s">
        <v>120</v>
      </c>
      <c r="AW30" s="219">
        <v>2.8324004037487915E-2</v>
      </c>
      <c r="AX30" s="155">
        <v>6</v>
      </c>
      <c r="AZ30" s="155" t="s">
        <v>120</v>
      </c>
      <c r="BA30" s="219">
        <v>2.9760029921401365E-2</v>
      </c>
      <c r="BB30" s="155">
        <v>7</v>
      </c>
      <c r="BD30" s="155" t="s">
        <v>120</v>
      </c>
      <c r="BE30" s="219">
        <v>3.0901264180164922E-2</v>
      </c>
      <c r="BF30" s="155">
        <v>8</v>
      </c>
      <c r="BH30" s="155" t="s">
        <v>120</v>
      </c>
      <c r="BI30" s="219">
        <v>3.4573495064775805E-2</v>
      </c>
      <c r="BJ30" s="155">
        <v>6</v>
      </c>
      <c r="BL30" s="155" t="s">
        <v>120</v>
      </c>
      <c r="BM30" s="219">
        <v>4.4161546030782928E-2</v>
      </c>
      <c r="BN30" s="155">
        <v>3</v>
      </c>
      <c r="BP30" s="155" t="s">
        <v>120</v>
      </c>
      <c r="BQ30" s="159">
        <v>2.4073967889908259</v>
      </c>
      <c r="BR30" s="155">
        <v>4</v>
      </c>
      <c r="BT30" s="155" t="s">
        <v>120</v>
      </c>
      <c r="BU30" s="159">
        <v>1.377</v>
      </c>
      <c r="BV30" s="155">
        <v>6</v>
      </c>
      <c r="BX30" s="155" t="s">
        <v>120</v>
      </c>
      <c r="BY30" s="159">
        <v>1.1435656957345117</v>
      </c>
      <c r="BZ30" s="155">
        <v>7</v>
      </c>
      <c r="CB30" s="155" t="s">
        <v>120</v>
      </c>
      <c r="CC30" s="159">
        <v>0.89477879633320045</v>
      </c>
      <c r="CD30" s="155">
        <v>8</v>
      </c>
      <c r="CF30" s="155" t="s">
        <v>120</v>
      </c>
      <c r="CG30" s="159">
        <v>0.72258859337633163</v>
      </c>
      <c r="CH30" s="155">
        <v>6</v>
      </c>
      <c r="CJ30" s="155" t="s">
        <v>120</v>
      </c>
      <c r="CK30" s="159">
        <v>0.48127375833489128</v>
      </c>
      <c r="CL30" s="155">
        <v>6</v>
      </c>
      <c r="CN30" s="155" t="s">
        <v>120</v>
      </c>
      <c r="CO30" s="159">
        <v>0.29600348944986643</v>
      </c>
      <c r="CP30" s="155">
        <v>3</v>
      </c>
    </row>
    <row r="31" spans="1:94" x14ac:dyDescent="0.2">
      <c r="A31" s="155" t="s">
        <v>121</v>
      </c>
      <c r="B31" s="155">
        <v>6995</v>
      </c>
      <c r="C31" s="155">
        <v>7600</v>
      </c>
      <c r="D31" s="155">
        <v>7700</v>
      </c>
      <c r="E31" s="155">
        <v>8400</v>
      </c>
      <c r="F31" s="155">
        <v>9300</v>
      </c>
      <c r="G31" s="155">
        <v>9800</v>
      </c>
      <c r="H31" s="155">
        <v>10400</v>
      </c>
      <c r="I31" s="155">
        <v>11100</v>
      </c>
      <c r="J31" s="155">
        <v>11900</v>
      </c>
      <c r="K31" s="155">
        <v>12700</v>
      </c>
      <c r="L31" s="155">
        <v>13377</v>
      </c>
      <c r="M31" s="155">
        <v>14066</v>
      </c>
      <c r="N31" s="155">
        <v>14593</v>
      </c>
      <c r="O31" s="155">
        <v>15120</v>
      </c>
      <c r="P31" s="155">
        <v>15981</v>
      </c>
      <c r="Q31" s="155">
        <v>17027</v>
      </c>
      <c r="R31" s="155">
        <v>18385</v>
      </c>
      <c r="S31" s="155">
        <v>19580</v>
      </c>
      <c r="T31" s="155">
        <v>20956</v>
      </c>
      <c r="U31" s="155">
        <v>22143</v>
      </c>
      <c r="V31" s="155">
        <v>22929</v>
      </c>
      <c r="W31" s="155">
        <v>23092</v>
      </c>
      <c r="X31" s="155">
        <v>23567</v>
      </c>
      <c r="Y31" s="155">
        <v>24197</v>
      </c>
      <c r="Z31" s="155">
        <v>24963</v>
      </c>
      <c r="AA31" s="155">
        <v>25909</v>
      </c>
      <c r="AB31" s="155">
        <v>26670</v>
      </c>
      <c r="AC31" s="155">
        <v>27721</v>
      </c>
      <c r="AD31" s="155">
        <v>28606</v>
      </c>
      <c r="AE31" s="155">
        <v>29366</v>
      </c>
      <c r="AF31" s="160">
        <v>30195</v>
      </c>
      <c r="AG31" s="160">
        <v>30953</v>
      </c>
      <c r="AH31" s="160">
        <v>32116</v>
      </c>
      <c r="AI31" s="160">
        <v>33058</v>
      </c>
      <c r="AJ31" s="160">
        <v>33584</v>
      </c>
      <c r="AK31" s="155">
        <v>33903</v>
      </c>
      <c r="AL31" s="155">
        <v>33935</v>
      </c>
      <c r="AM31" s="159"/>
      <c r="AN31" s="155" t="s">
        <v>121</v>
      </c>
      <c r="AO31" s="219">
        <v>4.484452273812134E-2</v>
      </c>
      <c r="AP31" s="155">
        <v>1</v>
      </c>
      <c r="AR31" s="155" t="s">
        <v>121</v>
      </c>
      <c r="AS31" s="219">
        <v>4.0880092634080212E-2</v>
      </c>
      <c r="AT31" s="155">
        <v>1</v>
      </c>
      <c r="AV31" s="155" t="s">
        <v>121</v>
      </c>
      <c r="AW31" s="219">
        <v>4.0880092634080212E-2</v>
      </c>
      <c r="AX31" s="155">
        <v>1</v>
      </c>
      <c r="AZ31" s="155" t="s">
        <v>121</v>
      </c>
      <c r="BA31" s="219">
        <v>3.6452925655098944E-2</v>
      </c>
      <c r="BB31" s="155">
        <v>3</v>
      </c>
      <c r="BD31" s="155" t="s">
        <v>121</v>
      </c>
      <c r="BE31" s="219">
        <v>3.3385509689401793E-2</v>
      </c>
      <c r="BF31" s="155">
        <v>6</v>
      </c>
      <c r="BH31" s="155" t="s">
        <v>121</v>
      </c>
      <c r="BI31" s="219">
        <v>2.4805437835130784E-2</v>
      </c>
      <c r="BJ31" s="155">
        <v>16</v>
      </c>
      <c r="BL31" s="155" t="s">
        <v>121</v>
      </c>
      <c r="BM31" s="219">
        <v>1.9652378414324323E-2</v>
      </c>
      <c r="BN31" s="155">
        <v>20</v>
      </c>
      <c r="BP31" s="155" t="s">
        <v>121</v>
      </c>
      <c r="BQ31" s="159">
        <v>3.8513223731236597</v>
      </c>
      <c r="BR31" s="155">
        <v>1</v>
      </c>
      <c r="BT31" s="155" t="s">
        <v>121</v>
      </c>
      <c r="BU31" s="159">
        <v>2.4627551020408163</v>
      </c>
      <c r="BV31" s="155">
        <v>1</v>
      </c>
      <c r="BX31" s="155" t="s">
        <v>121</v>
      </c>
      <c r="BY31" s="159">
        <v>1.5368169245720267</v>
      </c>
      <c r="BZ31" s="155">
        <v>3</v>
      </c>
      <c r="CB31" s="155" t="s">
        <v>121</v>
      </c>
      <c r="CC31" s="159">
        <v>0.99301110001761905</v>
      </c>
      <c r="CD31" s="155">
        <v>6</v>
      </c>
      <c r="CF31" s="155" t="s">
        <v>121</v>
      </c>
      <c r="CG31" s="159">
        <v>0.48000348903135764</v>
      </c>
      <c r="CH31" s="155">
        <v>16</v>
      </c>
      <c r="CJ31" s="155" t="s">
        <v>121</v>
      </c>
      <c r="CK31" s="159">
        <v>0.30977652553166851</v>
      </c>
      <c r="CL31" s="155">
        <v>16</v>
      </c>
      <c r="CN31" s="155" t="s">
        <v>121</v>
      </c>
      <c r="CO31" s="159">
        <v>0.12386156648451731</v>
      </c>
      <c r="CP31" s="155">
        <v>20</v>
      </c>
    </row>
    <row r="32" spans="1:94" x14ac:dyDescent="0.2">
      <c r="A32" s="155" t="s">
        <v>122</v>
      </c>
      <c r="B32" s="155">
        <v>95627</v>
      </c>
      <c r="C32" s="155">
        <v>98500</v>
      </c>
      <c r="D32" s="155">
        <v>100900</v>
      </c>
      <c r="E32" s="155">
        <v>102400</v>
      </c>
      <c r="F32" s="155">
        <v>102900</v>
      </c>
      <c r="G32" s="155">
        <v>103900</v>
      </c>
      <c r="H32" s="155">
        <v>105100</v>
      </c>
      <c r="I32" s="155">
        <v>107000</v>
      </c>
      <c r="J32" s="155">
        <v>109100</v>
      </c>
      <c r="K32" s="155">
        <v>111200</v>
      </c>
      <c r="L32" s="155">
        <v>113162</v>
      </c>
      <c r="M32" s="155">
        <v>114797</v>
      </c>
      <c r="N32" s="155">
        <v>116026</v>
      </c>
      <c r="O32" s="155">
        <v>116905</v>
      </c>
      <c r="P32" s="155">
        <v>118708</v>
      </c>
      <c r="Q32" s="155">
        <v>120053</v>
      </c>
      <c r="R32" s="155">
        <v>121144</v>
      </c>
      <c r="S32" s="155">
        <v>123780</v>
      </c>
      <c r="T32" s="155">
        <v>124490</v>
      </c>
      <c r="U32" s="155">
        <v>125779</v>
      </c>
      <c r="V32" s="155">
        <v>127175</v>
      </c>
      <c r="W32" s="155">
        <v>128823</v>
      </c>
      <c r="X32" s="155">
        <v>130427</v>
      </c>
      <c r="Y32" s="155">
        <v>133028</v>
      </c>
      <c r="Z32" s="155">
        <v>134381</v>
      </c>
      <c r="AA32" s="155">
        <v>136679</v>
      </c>
      <c r="AB32" s="155">
        <v>139249</v>
      </c>
      <c r="AC32" s="155">
        <v>141709</v>
      </c>
      <c r="AD32" s="155">
        <v>144023</v>
      </c>
      <c r="AE32" s="155">
        <v>146106</v>
      </c>
      <c r="AF32" s="160">
        <v>147665</v>
      </c>
      <c r="AG32" s="160">
        <v>149376</v>
      </c>
      <c r="AH32" s="160">
        <v>150751</v>
      </c>
      <c r="AI32" s="160">
        <v>152126</v>
      </c>
      <c r="AJ32" s="160">
        <v>153511</v>
      </c>
      <c r="AK32" s="155">
        <v>154623</v>
      </c>
      <c r="AL32" s="155">
        <v>156236</v>
      </c>
      <c r="AM32" s="159"/>
      <c r="AN32" s="155" t="s">
        <v>122</v>
      </c>
      <c r="AO32" s="219">
        <v>1.3729858269765804E-2</v>
      </c>
      <c r="AP32" s="155">
        <v>36</v>
      </c>
      <c r="AR32" s="155" t="s">
        <v>122</v>
      </c>
      <c r="AS32" s="219">
        <v>1.3246280535462729E-2</v>
      </c>
      <c r="AT32" s="155">
        <v>34</v>
      </c>
      <c r="AV32" s="155" t="s">
        <v>122</v>
      </c>
      <c r="AW32" s="219">
        <v>1.3246280535462729E-2</v>
      </c>
      <c r="AX32" s="155">
        <v>34</v>
      </c>
      <c r="AZ32" s="155" t="s">
        <v>122</v>
      </c>
      <c r="BA32" s="219">
        <v>1.2482933454458278E-2</v>
      </c>
      <c r="BB32" s="155">
        <v>38</v>
      </c>
      <c r="BD32" s="155" t="s">
        <v>122</v>
      </c>
      <c r="BE32" s="219">
        <v>1.2623506143941476E-2</v>
      </c>
      <c r="BF32" s="155">
        <v>43</v>
      </c>
      <c r="BH32" s="155" t="s">
        <v>122</v>
      </c>
      <c r="BI32" s="219">
        <v>1.2945805293101076E-2</v>
      </c>
      <c r="BJ32" s="155">
        <v>46</v>
      </c>
      <c r="BL32" s="155" t="s">
        <v>122</v>
      </c>
      <c r="BM32" s="219">
        <v>9.4479342511839537E-3</v>
      </c>
      <c r="BN32" s="155">
        <v>41</v>
      </c>
      <c r="BP32" s="155" t="s">
        <v>122</v>
      </c>
      <c r="BQ32" s="159">
        <v>0.63380635176257749</v>
      </c>
      <c r="BR32" s="155">
        <v>36</v>
      </c>
      <c r="BT32" s="155" t="s">
        <v>122</v>
      </c>
      <c r="BU32" s="159">
        <v>0.5037151106833494</v>
      </c>
      <c r="BV32" s="155">
        <v>34</v>
      </c>
      <c r="BX32" s="155" t="s">
        <v>122</v>
      </c>
      <c r="BY32" s="159">
        <v>0.38064014421802372</v>
      </c>
      <c r="BZ32" s="155">
        <v>38</v>
      </c>
      <c r="CB32" s="155" t="s">
        <v>122</v>
      </c>
      <c r="CC32" s="159">
        <v>0.30139188525068095</v>
      </c>
      <c r="CD32" s="155">
        <v>43</v>
      </c>
      <c r="CF32" s="155" t="s">
        <v>122</v>
      </c>
      <c r="CG32" s="159">
        <v>0.22851189306074307</v>
      </c>
      <c r="CH32" s="155">
        <v>46</v>
      </c>
      <c r="CJ32" s="155" t="s">
        <v>122</v>
      </c>
      <c r="CK32" s="159">
        <v>0.14308708726285677</v>
      </c>
      <c r="CL32" s="155">
        <v>43</v>
      </c>
      <c r="CN32" s="155" t="s">
        <v>122</v>
      </c>
      <c r="CO32" s="159">
        <v>5.8043544509531711E-2</v>
      </c>
      <c r="CP32" s="155">
        <v>41</v>
      </c>
    </row>
    <row r="33" spans="1:94" x14ac:dyDescent="0.2">
      <c r="A33" s="155" t="s">
        <v>123</v>
      </c>
      <c r="B33" s="155">
        <v>18855</v>
      </c>
      <c r="C33" s="155">
        <v>19400</v>
      </c>
      <c r="D33" s="155">
        <v>19800</v>
      </c>
      <c r="E33" s="155">
        <v>20500</v>
      </c>
      <c r="F33" s="155">
        <v>21200</v>
      </c>
      <c r="G33" s="155">
        <v>21800</v>
      </c>
      <c r="H33" s="155">
        <v>22300</v>
      </c>
      <c r="I33" s="155">
        <v>23100</v>
      </c>
      <c r="J33" s="155">
        <v>23800</v>
      </c>
      <c r="K33" s="155">
        <v>24300</v>
      </c>
      <c r="L33" s="155">
        <v>24599</v>
      </c>
      <c r="M33" s="155">
        <v>25091</v>
      </c>
      <c r="N33" s="155">
        <v>25316</v>
      </c>
      <c r="O33" s="155">
        <v>25640</v>
      </c>
      <c r="P33" s="155">
        <v>25733</v>
      </c>
      <c r="Q33" s="155">
        <v>26345</v>
      </c>
      <c r="R33" s="155">
        <v>26776</v>
      </c>
      <c r="S33" s="155">
        <v>27131</v>
      </c>
      <c r="T33" s="155">
        <v>27446</v>
      </c>
      <c r="U33" s="155">
        <v>27545</v>
      </c>
      <c r="V33" s="155">
        <v>28032</v>
      </c>
      <c r="W33" s="155">
        <v>28399</v>
      </c>
      <c r="X33" s="155">
        <v>28671</v>
      </c>
      <c r="Y33" s="155">
        <v>29230</v>
      </c>
      <c r="Z33" s="155">
        <v>30054</v>
      </c>
      <c r="AA33" s="155">
        <v>30366</v>
      </c>
      <c r="AB33" s="155">
        <v>31174</v>
      </c>
      <c r="AC33" s="155">
        <v>32235</v>
      </c>
      <c r="AD33" s="155">
        <v>33274</v>
      </c>
      <c r="AE33" s="155">
        <v>34132</v>
      </c>
      <c r="AF33" s="160">
        <v>35066</v>
      </c>
      <c r="AG33" s="160">
        <v>36067</v>
      </c>
      <c r="AH33" s="160">
        <v>36684</v>
      </c>
      <c r="AI33" s="160">
        <v>37199</v>
      </c>
      <c r="AJ33" s="160">
        <v>37940</v>
      </c>
      <c r="AK33" s="155">
        <v>39136</v>
      </c>
      <c r="AL33" s="155">
        <v>40035</v>
      </c>
      <c r="AM33" s="159"/>
      <c r="AN33" s="155" t="s">
        <v>123</v>
      </c>
      <c r="AO33" s="219">
        <v>2.1136270909164701E-2</v>
      </c>
      <c r="AP33" s="155">
        <v>15</v>
      </c>
      <c r="AR33" s="155" t="s">
        <v>123</v>
      </c>
      <c r="AS33" s="219">
        <v>1.9801371234630327E-2</v>
      </c>
      <c r="AT33" s="155">
        <v>20</v>
      </c>
      <c r="AV33" s="155" t="s">
        <v>123</v>
      </c>
      <c r="AW33" s="219">
        <v>1.9801371234630327E-2</v>
      </c>
      <c r="AX33" s="155">
        <v>20</v>
      </c>
      <c r="AZ33" s="155" t="s">
        <v>123</v>
      </c>
      <c r="BA33" s="219">
        <v>1.8909182519772472E-2</v>
      </c>
      <c r="BB33" s="155">
        <v>19</v>
      </c>
      <c r="BD33" s="155" t="s">
        <v>123</v>
      </c>
      <c r="BE33" s="219">
        <v>2.0127284252402955E-2</v>
      </c>
      <c r="BF33" s="155">
        <v>20</v>
      </c>
      <c r="BH33" s="155" t="s">
        <v>123</v>
      </c>
      <c r="BI33" s="219">
        <v>2.2525410323501971E-2</v>
      </c>
      <c r="BJ33" s="155">
        <v>17</v>
      </c>
      <c r="BL33" s="155" t="s">
        <v>123</v>
      </c>
      <c r="BM33" s="219">
        <v>2.2332735727302433E-2</v>
      </c>
      <c r="BN33" s="155">
        <v>16</v>
      </c>
      <c r="BP33" s="155" t="s">
        <v>123</v>
      </c>
      <c r="BQ33" s="159">
        <v>1.1233094669848847</v>
      </c>
      <c r="BR33" s="155">
        <v>15</v>
      </c>
      <c r="BT33" s="155" t="s">
        <v>123</v>
      </c>
      <c r="BU33" s="159">
        <v>0.83646788990825693</v>
      </c>
      <c r="BV33" s="155">
        <v>20</v>
      </c>
      <c r="BX33" s="155" t="s">
        <v>123</v>
      </c>
      <c r="BY33" s="159">
        <v>0.6275051831375259</v>
      </c>
      <c r="BZ33" s="155">
        <v>19</v>
      </c>
      <c r="CB33" s="155" t="s">
        <v>123</v>
      </c>
      <c r="CC33" s="159">
        <v>0.51964319605238185</v>
      </c>
      <c r="CD33" s="155">
        <v>20</v>
      </c>
      <c r="CF33" s="155" t="s">
        <v>123</v>
      </c>
      <c r="CG33" s="159">
        <v>0.42818921232876711</v>
      </c>
      <c r="CH33" s="155">
        <v>17</v>
      </c>
      <c r="CJ33" s="155" t="s">
        <v>123</v>
      </c>
      <c r="CK33" s="159">
        <v>0.31841533293815449</v>
      </c>
      <c r="CL33" s="155">
        <v>15</v>
      </c>
      <c r="CN33" s="155" t="s">
        <v>123</v>
      </c>
      <c r="CO33" s="159">
        <v>0.14170421490902868</v>
      </c>
      <c r="CP33" s="155">
        <v>16</v>
      </c>
    </row>
    <row r="34" spans="1:94" x14ac:dyDescent="0.2">
      <c r="A34" s="155" t="s">
        <v>124</v>
      </c>
      <c r="B34" s="155">
        <v>38015</v>
      </c>
      <c r="C34" s="155">
        <v>38200</v>
      </c>
      <c r="D34" s="155">
        <v>39000</v>
      </c>
      <c r="E34" s="155">
        <v>39400</v>
      </c>
      <c r="F34" s="155">
        <v>39400</v>
      </c>
      <c r="G34" s="155">
        <v>40100</v>
      </c>
      <c r="H34" s="155">
        <v>40300</v>
      </c>
      <c r="I34" s="155">
        <v>40600</v>
      </c>
      <c r="J34" s="155">
        <v>40700</v>
      </c>
      <c r="K34" s="155">
        <v>40600</v>
      </c>
      <c r="L34" s="155">
        <v>40952</v>
      </c>
      <c r="M34" s="155">
        <v>40626</v>
      </c>
      <c r="N34" s="155">
        <v>40638</v>
      </c>
      <c r="O34" s="155">
        <v>40526</v>
      </c>
      <c r="P34" s="155">
        <v>40744</v>
      </c>
      <c r="Q34" s="155">
        <v>40541</v>
      </c>
      <c r="R34" s="155">
        <v>40335</v>
      </c>
      <c r="S34" s="155">
        <v>40231</v>
      </c>
      <c r="T34" s="155">
        <v>39989</v>
      </c>
      <c r="U34" s="155">
        <v>40226</v>
      </c>
      <c r="V34" s="155">
        <v>40116</v>
      </c>
      <c r="W34" s="155">
        <v>40678</v>
      </c>
      <c r="X34" s="155">
        <v>41651</v>
      </c>
      <c r="Y34" s="155">
        <v>42737</v>
      </c>
      <c r="Z34" s="155">
        <v>43711</v>
      </c>
      <c r="AA34" s="155">
        <v>44793</v>
      </c>
      <c r="AB34" s="155">
        <v>45798</v>
      </c>
      <c r="AC34" s="155">
        <v>46668</v>
      </c>
      <c r="AD34" s="155">
        <v>47549</v>
      </c>
      <c r="AE34" s="155">
        <v>48401</v>
      </c>
      <c r="AF34" s="160">
        <v>49197</v>
      </c>
      <c r="AG34" s="160">
        <v>49937</v>
      </c>
      <c r="AH34" s="160">
        <v>50633</v>
      </c>
      <c r="AI34" s="160">
        <v>51155</v>
      </c>
      <c r="AJ34" s="160">
        <v>51692</v>
      </c>
      <c r="AK34" s="155">
        <v>51985</v>
      </c>
      <c r="AL34" s="155">
        <v>52790</v>
      </c>
      <c r="AM34" s="159"/>
      <c r="AN34" s="155" t="s">
        <v>124</v>
      </c>
      <c r="AO34" s="219">
        <v>9.1623014747590492E-3</v>
      </c>
      <c r="AP34" s="155">
        <v>62</v>
      </c>
      <c r="AR34" s="155" t="s">
        <v>124</v>
      </c>
      <c r="AS34" s="219">
        <v>8.908655849928504E-3</v>
      </c>
      <c r="AT34" s="155">
        <v>59</v>
      </c>
      <c r="AV34" s="155" t="s">
        <v>124</v>
      </c>
      <c r="AW34" s="219">
        <v>8.908655849928504E-3</v>
      </c>
      <c r="AX34" s="155">
        <v>59</v>
      </c>
      <c r="AZ34" s="155" t="s">
        <v>124</v>
      </c>
      <c r="BA34" s="219">
        <v>9.8140422277066541E-3</v>
      </c>
      <c r="BB34" s="155">
        <v>51</v>
      </c>
      <c r="BD34" s="155" t="s">
        <v>124</v>
      </c>
      <c r="BE34" s="219">
        <v>1.2651165535236375E-2</v>
      </c>
      <c r="BF34" s="155">
        <v>42</v>
      </c>
      <c r="BH34" s="155" t="s">
        <v>124</v>
      </c>
      <c r="BI34" s="219">
        <v>1.7307221617610891E-2</v>
      </c>
      <c r="BJ34" s="155">
        <v>30</v>
      </c>
      <c r="BL34" s="155" t="s">
        <v>124</v>
      </c>
      <c r="BM34" s="219">
        <v>1.1817469814053627E-2</v>
      </c>
      <c r="BN34" s="155">
        <v>36</v>
      </c>
      <c r="BP34" s="155" t="s">
        <v>124</v>
      </c>
      <c r="BQ34" s="159">
        <v>0.38866237011705906</v>
      </c>
      <c r="BR34" s="155">
        <v>62</v>
      </c>
      <c r="BT34" s="155" t="s">
        <v>124</v>
      </c>
      <c r="BU34" s="159">
        <v>0.31645885286783043</v>
      </c>
      <c r="BV34" s="155">
        <v>59</v>
      </c>
      <c r="BX34" s="155" t="s">
        <v>124</v>
      </c>
      <c r="BY34" s="159">
        <v>0.28907013088493849</v>
      </c>
      <c r="BZ34" s="155">
        <v>51</v>
      </c>
      <c r="CB34" s="155" t="s">
        <v>124</v>
      </c>
      <c r="CC34" s="159">
        <v>0.302138575762808</v>
      </c>
      <c r="CD34" s="155">
        <v>42</v>
      </c>
      <c r="CF34" s="155" t="s">
        <v>124</v>
      </c>
      <c r="CG34" s="159">
        <v>0.31593379200319077</v>
      </c>
      <c r="CH34" s="155">
        <v>30</v>
      </c>
      <c r="CJ34" s="155" t="s">
        <v>124</v>
      </c>
      <c r="CK34" s="159">
        <v>0.17853235996695913</v>
      </c>
      <c r="CL34" s="155">
        <v>35</v>
      </c>
      <c r="CN34" s="155" t="s">
        <v>124</v>
      </c>
      <c r="CO34" s="159">
        <v>7.3032908510681546E-2</v>
      </c>
      <c r="CP34" s="155">
        <v>36</v>
      </c>
    </row>
    <row r="35" spans="1:94" x14ac:dyDescent="0.2">
      <c r="A35" s="155" t="s">
        <v>125</v>
      </c>
      <c r="B35" s="155">
        <v>132681</v>
      </c>
      <c r="C35" s="155">
        <v>134500</v>
      </c>
      <c r="D35" s="155">
        <v>137700</v>
      </c>
      <c r="E35" s="155">
        <v>141200</v>
      </c>
      <c r="F35" s="155">
        <v>142300</v>
      </c>
      <c r="G35" s="155">
        <v>143100</v>
      </c>
      <c r="H35" s="155">
        <v>145100</v>
      </c>
      <c r="I35" s="155">
        <v>148000</v>
      </c>
      <c r="J35" s="155">
        <v>149100</v>
      </c>
      <c r="K35" s="155">
        <v>151300</v>
      </c>
      <c r="L35" s="155">
        <v>152236</v>
      </c>
      <c r="M35" s="155">
        <v>154775</v>
      </c>
      <c r="N35" s="155">
        <v>156300</v>
      </c>
      <c r="O35" s="155">
        <v>158220</v>
      </c>
      <c r="P35" s="155">
        <v>160920</v>
      </c>
      <c r="Q35" s="155">
        <v>163959</v>
      </c>
      <c r="R35" s="155">
        <v>168498</v>
      </c>
      <c r="S35" s="155">
        <v>172475</v>
      </c>
      <c r="T35" s="155">
        <v>175153</v>
      </c>
      <c r="U35" s="155">
        <v>178875</v>
      </c>
      <c r="V35" s="155">
        <v>183145</v>
      </c>
      <c r="W35" s="155">
        <v>187554</v>
      </c>
      <c r="X35" s="155">
        <v>191784</v>
      </c>
      <c r="Y35" s="155">
        <v>196046</v>
      </c>
      <c r="Z35" s="155">
        <v>199274</v>
      </c>
      <c r="AA35" s="155">
        <v>202872</v>
      </c>
      <c r="AB35" s="155">
        <v>206910</v>
      </c>
      <c r="AC35" s="155">
        <v>211756</v>
      </c>
      <c r="AD35" s="155">
        <v>215995</v>
      </c>
      <c r="AE35" s="155">
        <v>219811</v>
      </c>
      <c r="AF35" s="160">
        <v>224531</v>
      </c>
      <c r="AG35" s="160">
        <v>229295</v>
      </c>
      <c r="AH35" s="160">
        <v>233493</v>
      </c>
      <c r="AI35" s="160">
        <v>235952</v>
      </c>
      <c r="AJ35" s="160">
        <v>239468</v>
      </c>
      <c r="AK35" s="155">
        <v>242582</v>
      </c>
      <c r="AL35" s="155">
        <v>246896</v>
      </c>
      <c r="AM35" s="159"/>
      <c r="AN35" s="155" t="s">
        <v>125</v>
      </c>
      <c r="AO35" s="219">
        <v>1.7400189963080015E-2</v>
      </c>
      <c r="AP35" s="155">
        <v>27</v>
      </c>
      <c r="AR35" s="155" t="s">
        <v>125</v>
      </c>
      <c r="AS35" s="219">
        <v>1.7749998303868919E-2</v>
      </c>
      <c r="AT35" s="155">
        <v>24</v>
      </c>
      <c r="AV35" s="155" t="s">
        <v>125</v>
      </c>
      <c r="AW35" s="219">
        <v>1.7749998303868919E-2</v>
      </c>
      <c r="AX35" s="155">
        <v>24</v>
      </c>
      <c r="AZ35" s="155" t="s">
        <v>125</v>
      </c>
      <c r="BA35" s="219">
        <v>1.8771520227594873E-2</v>
      </c>
      <c r="BB35" s="155">
        <v>20</v>
      </c>
      <c r="BD35" s="155" t="s">
        <v>125</v>
      </c>
      <c r="BE35" s="219">
        <v>1.96841221617996E-2</v>
      </c>
      <c r="BF35" s="155">
        <v>23</v>
      </c>
      <c r="BH35" s="155" t="s">
        <v>125</v>
      </c>
      <c r="BI35" s="219">
        <v>1.8843400564859447E-2</v>
      </c>
      <c r="BJ35" s="155">
        <v>25</v>
      </c>
      <c r="BL35" s="155" t="s">
        <v>125</v>
      </c>
      <c r="BM35" s="219">
        <v>1.5951456359529992E-2</v>
      </c>
      <c r="BN35" s="155">
        <v>25</v>
      </c>
      <c r="BP35" s="155" t="s">
        <v>125</v>
      </c>
      <c r="BQ35" s="159">
        <v>0.8608240818203059</v>
      </c>
      <c r="BR35" s="155">
        <v>27</v>
      </c>
      <c r="BT35" s="155" t="s">
        <v>125</v>
      </c>
      <c r="BU35" s="159">
        <v>0.72533892382948983</v>
      </c>
      <c r="BV35" s="155">
        <v>24</v>
      </c>
      <c r="BX35" s="155" t="s">
        <v>125</v>
      </c>
      <c r="BY35" s="159">
        <v>0.62179773509550962</v>
      </c>
      <c r="BZ35" s="155">
        <v>20</v>
      </c>
      <c r="CB35" s="155" t="s">
        <v>125</v>
      </c>
      <c r="CC35" s="159">
        <v>0.505839874602797</v>
      </c>
      <c r="CD35" s="155">
        <v>22</v>
      </c>
      <c r="CF35" s="155" t="s">
        <v>125</v>
      </c>
      <c r="CG35" s="159">
        <v>0.34809031095580006</v>
      </c>
      <c r="CH35" s="155">
        <v>25</v>
      </c>
      <c r="CJ35" s="155" t="s">
        <v>125</v>
      </c>
      <c r="CK35" s="159">
        <v>0.21700382507196656</v>
      </c>
      <c r="CL35" s="155">
        <v>25</v>
      </c>
      <c r="CN35" s="155" t="s">
        <v>125</v>
      </c>
      <c r="CO35" s="159">
        <v>9.9607626563815235E-2</v>
      </c>
      <c r="CP35" s="155">
        <v>25</v>
      </c>
    </row>
    <row r="36" spans="1:94" x14ac:dyDescent="0.2">
      <c r="A36" s="155" t="s">
        <v>126</v>
      </c>
      <c r="B36" s="155">
        <v>52341</v>
      </c>
      <c r="C36" s="155">
        <v>52100</v>
      </c>
      <c r="D36" s="155">
        <v>52700</v>
      </c>
      <c r="E36" s="155">
        <v>52900</v>
      </c>
      <c r="F36" s="155">
        <v>53200</v>
      </c>
      <c r="G36" s="155">
        <v>54000</v>
      </c>
      <c r="H36" s="155">
        <v>54700</v>
      </c>
      <c r="I36" s="155">
        <v>55200</v>
      </c>
      <c r="J36" s="155">
        <v>55600</v>
      </c>
      <c r="K36" s="155">
        <v>56200</v>
      </c>
      <c r="L36" s="155">
        <v>55988</v>
      </c>
      <c r="M36" s="155">
        <v>56314</v>
      </c>
      <c r="N36" s="155">
        <v>56740</v>
      </c>
      <c r="O36" s="155">
        <v>56905</v>
      </c>
      <c r="P36" s="155">
        <v>56966</v>
      </c>
      <c r="Q36" s="155">
        <v>57697</v>
      </c>
      <c r="R36" s="155">
        <v>58191</v>
      </c>
      <c r="S36" s="155">
        <v>58457</v>
      </c>
      <c r="T36" s="155">
        <v>58770</v>
      </c>
      <c r="U36" s="155">
        <v>57400</v>
      </c>
      <c r="V36" s="155">
        <v>56608</v>
      </c>
      <c r="W36" s="155">
        <v>56575</v>
      </c>
      <c r="X36" s="155">
        <v>56607</v>
      </c>
      <c r="Y36" s="155">
        <v>56572</v>
      </c>
      <c r="Z36" s="155">
        <v>56612</v>
      </c>
      <c r="AA36" s="155">
        <v>57001</v>
      </c>
      <c r="AB36" s="155">
        <v>57039</v>
      </c>
      <c r="AC36" s="155">
        <v>56885</v>
      </c>
      <c r="AD36" s="155">
        <v>56410</v>
      </c>
      <c r="AE36" s="155">
        <v>56291</v>
      </c>
      <c r="AF36" s="160">
        <v>55309</v>
      </c>
      <c r="AG36" s="160">
        <v>55161</v>
      </c>
      <c r="AH36" s="160">
        <v>54866</v>
      </c>
      <c r="AI36" s="160">
        <v>54641</v>
      </c>
      <c r="AJ36" s="160">
        <v>54350</v>
      </c>
      <c r="AK36" s="155">
        <v>54129</v>
      </c>
      <c r="AL36" s="155">
        <v>53964</v>
      </c>
      <c r="AM36" s="159"/>
      <c r="AN36" s="155" t="s">
        <v>126</v>
      </c>
      <c r="AO36" s="219">
        <v>8.4861416972259462E-4</v>
      </c>
      <c r="AP36" s="155">
        <v>93</v>
      </c>
      <c r="AR36" s="155" t="s">
        <v>126</v>
      </c>
      <c r="AS36" s="219">
        <v>-2.1512316597194214E-5</v>
      </c>
      <c r="AT36" s="155">
        <v>94</v>
      </c>
      <c r="AV36" s="155" t="s">
        <v>126</v>
      </c>
      <c r="AW36" s="219">
        <v>-2.1512316597194214E-5</v>
      </c>
      <c r="AX36" s="155">
        <v>94</v>
      </c>
      <c r="AZ36" s="155" t="s">
        <v>126</v>
      </c>
      <c r="BA36" s="219">
        <v>-1.415160195173959E-3</v>
      </c>
      <c r="BB36" s="155">
        <v>95</v>
      </c>
      <c r="BD36" s="155" t="s">
        <v>126</v>
      </c>
      <c r="BE36" s="219">
        <v>-3.1800766923821833E-3</v>
      </c>
      <c r="BF36" s="155">
        <v>97</v>
      </c>
      <c r="BH36" s="155" t="s">
        <v>126</v>
      </c>
      <c r="BI36" s="219">
        <v>-2.9851082030218912E-3</v>
      </c>
      <c r="BJ36" s="155">
        <v>97</v>
      </c>
      <c r="BL36" s="155" t="s">
        <v>126</v>
      </c>
      <c r="BM36" s="219">
        <v>-4.0946749227540602E-3</v>
      </c>
      <c r="BN36" s="155">
        <v>93</v>
      </c>
      <c r="BP36" s="155" t="s">
        <v>126</v>
      </c>
      <c r="BQ36" s="159">
        <v>3.1008196251504555E-2</v>
      </c>
      <c r="BR36" s="155">
        <v>93</v>
      </c>
      <c r="BT36" s="155" t="s">
        <v>126</v>
      </c>
      <c r="BU36" s="159">
        <v>-6.6666666666666664E-4</v>
      </c>
      <c r="BV36" s="155">
        <v>94</v>
      </c>
      <c r="BX36" s="155" t="s">
        <v>126</v>
      </c>
      <c r="BY36" s="159">
        <v>-3.6150603700793024E-2</v>
      </c>
      <c r="BZ36" s="155">
        <v>95</v>
      </c>
      <c r="CB36" s="155" t="s">
        <v>126</v>
      </c>
      <c r="CC36" s="159">
        <v>-6.4700071060887043E-2</v>
      </c>
      <c r="CD36" s="155">
        <v>97</v>
      </c>
      <c r="CF36" s="155" t="s">
        <v>126</v>
      </c>
      <c r="CG36" s="159">
        <v>-4.6707179197286605E-2</v>
      </c>
      <c r="CH36" s="155">
        <v>98</v>
      </c>
      <c r="CJ36" s="155" t="s">
        <v>126</v>
      </c>
      <c r="CK36" s="159">
        <v>-5.3279767021631202E-2</v>
      </c>
      <c r="CL36" s="155">
        <v>97</v>
      </c>
      <c r="CN36" s="155" t="s">
        <v>126</v>
      </c>
      <c r="CO36" s="159">
        <v>-2.4317922942016668E-2</v>
      </c>
      <c r="CP36" s="155">
        <v>93</v>
      </c>
    </row>
    <row r="37" spans="1:94" x14ac:dyDescent="0.2">
      <c r="A37" s="155" t="s">
        <v>127</v>
      </c>
      <c r="B37" s="155">
        <v>215118</v>
      </c>
      <c r="C37" s="155">
        <v>219900</v>
      </c>
      <c r="D37" s="155">
        <v>224200</v>
      </c>
      <c r="E37" s="155">
        <v>226200</v>
      </c>
      <c r="F37" s="155">
        <v>227800</v>
      </c>
      <c r="G37" s="155">
        <v>229400</v>
      </c>
      <c r="H37" s="155">
        <v>231700</v>
      </c>
      <c r="I37" s="155">
        <v>234200</v>
      </c>
      <c r="J37" s="155">
        <v>238200</v>
      </c>
      <c r="K37" s="155">
        <v>241900</v>
      </c>
      <c r="L37" s="155">
        <v>243704</v>
      </c>
      <c r="M37" s="155">
        <v>246931</v>
      </c>
      <c r="N37" s="155">
        <v>249154</v>
      </c>
      <c r="O37" s="155">
        <v>251265</v>
      </c>
      <c r="P37" s="155">
        <v>253543</v>
      </c>
      <c r="Q37" s="155">
        <v>257028</v>
      </c>
      <c r="R37" s="155">
        <v>258482</v>
      </c>
      <c r="S37" s="155">
        <v>262111</v>
      </c>
      <c r="T37" s="155">
        <v>263655</v>
      </c>
      <c r="U37" s="155">
        <v>264921</v>
      </c>
      <c r="V37" s="155">
        <v>266855</v>
      </c>
      <c r="W37" s="155">
        <v>270397</v>
      </c>
      <c r="X37" s="155">
        <v>273771</v>
      </c>
      <c r="Y37" s="155">
        <v>278705</v>
      </c>
      <c r="Z37" s="155">
        <v>284496</v>
      </c>
      <c r="AA37" s="155">
        <v>288923</v>
      </c>
      <c r="AB37" s="155">
        <v>293811</v>
      </c>
      <c r="AC37" s="155">
        <v>297835</v>
      </c>
      <c r="AD37" s="155">
        <v>301159</v>
      </c>
      <c r="AE37" s="155">
        <v>303630</v>
      </c>
      <c r="AF37" s="160">
        <v>306931</v>
      </c>
      <c r="AG37" s="160">
        <v>310756</v>
      </c>
      <c r="AH37" s="160">
        <v>314288</v>
      </c>
      <c r="AI37" s="160">
        <v>317248</v>
      </c>
      <c r="AJ37" s="160">
        <v>320780</v>
      </c>
      <c r="AK37" s="155">
        <v>325967</v>
      </c>
      <c r="AL37" s="155">
        <v>332355</v>
      </c>
      <c r="AM37" s="159"/>
      <c r="AN37" s="155" t="s">
        <v>127</v>
      </c>
      <c r="AO37" s="219">
        <v>1.2157108575349795E-2</v>
      </c>
      <c r="AP37" s="155">
        <v>41</v>
      </c>
      <c r="AR37" s="155" t="s">
        <v>127</v>
      </c>
      <c r="AS37" s="219">
        <v>1.203103862163557E-2</v>
      </c>
      <c r="AT37" s="155">
        <v>40</v>
      </c>
      <c r="AV37" s="155" t="s">
        <v>127</v>
      </c>
      <c r="AW37" s="219">
        <v>1.203103862163557E-2</v>
      </c>
      <c r="AX37" s="155">
        <v>40</v>
      </c>
      <c r="AZ37" s="155" t="s">
        <v>127</v>
      </c>
      <c r="BA37" s="219">
        <v>1.2004143686795699E-2</v>
      </c>
      <c r="BB37" s="155">
        <v>43</v>
      </c>
      <c r="BD37" s="155" t="s">
        <v>127</v>
      </c>
      <c r="BE37" s="219">
        <v>1.2314186004223515E-2</v>
      </c>
      <c r="BF37" s="155">
        <v>46</v>
      </c>
      <c r="BH37" s="155" t="s">
        <v>127</v>
      </c>
      <c r="BI37" s="219">
        <v>1.3813172017342668E-2</v>
      </c>
      <c r="BJ37" s="155">
        <v>41</v>
      </c>
      <c r="BL37" s="155" t="s">
        <v>127</v>
      </c>
      <c r="BM37" s="219">
        <v>1.3351801101299632E-2</v>
      </c>
      <c r="BN37" s="155">
        <v>29</v>
      </c>
      <c r="BP37" s="155" t="s">
        <v>127</v>
      </c>
      <c r="BQ37" s="159">
        <v>0.54498926170752793</v>
      </c>
      <c r="BR37" s="155">
        <v>41</v>
      </c>
      <c r="BT37" s="155" t="s">
        <v>127</v>
      </c>
      <c r="BU37" s="159">
        <v>0.44880122057541411</v>
      </c>
      <c r="BV37" s="155">
        <v>40</v>
      </c>
      <c r="BX37" s="155" t="s">
        <v>127</v>
      </c>
      <c r="BY37" s="159">
        <v>0.36376505925220759</v>
      </c>
      <c r="BZ37" s="155">
        <v>43</v>
      </c>
      <c r="CB37" s="155" t="s">
        <v>127</v>
      </c>
      <c r="CC37" s="159">
        <v>0.29306923759279147</v>
      </c>
      <c r="CD37" s="155">
        <v>46</v>
      </c>
      <c r="CF37" s="155" t="s">
        <v>127</v>
      </c>
      <c r="CG37" s="159">
        <v>0.24545164977234829</v>
      </c>
      <c r="CH37" s="155">
        <v>41</v>
      </c>
      <c r="CJ37" s="155" t="s">
        <v>127</v>
      </c>
      <c r="CK37" s="159">
        <v>0.15032378869110455</v>
      </c>
      <c r="CL37" s="155">
        <v>42</v>
      </c>
      <c r="CN37" s="155" t="s">
        <v>127</v>
      </c>
      <c r="CO37" s="159">
        <v>8.2832949425115085E-2</v>
      </c>
      <c r="CP37" s="155">
        <v>29</v>
      </c>
    </row>
    <row r="38" spans="1:94" x14ac:dyDescent="0.2">
      <c r="A38" s="155" t="s">
        <v>128</v>
      </c>
      <c r="B38" s="155">
        <v>26820</v>
      </c>
      <c r="C38" s="155">
        <v>27700</v>
      </c>
      <c r="D38" s="155">
        <v>28000</v>
      </c>
      <c r="E38" s="155">
        <v>28200</v>
      </c>
      <c r="F38" s="155">
        <v>28400</v>
      </c>
      <c r="G38" s="155">
        <v>28700</v>
      </c>
      <c r="H38" s="155">
        <v>28600</v>
      </c>
      <c r="I38" s="155">
        <v>28900</v>
      </c>
      <c r="J38" s="155">
        <v>29100</v>
      </c>
      <c r="K38" s="155">
        <v>29700</v>
      </c>
      <c r="L38" s="155">
        <v>30055</v>
      </c>
      <c r="M38" s="155">
        <v>30392</v>
      </c>
      <c r="N38" s="155">
        <v>30769</v>
      </c>
      <c r="O38" s="155">
        <v>31212</v>
      </c>
      <c r="P38" s="155">
        <v>31754</v>
      </c>
      <c r="Q38" s="155">
        <v>32708</v>
      </c>
      <c r="R38" s="155">
        <v>34064</v>
      </c>
      <c r="S38" s="155">
        <v>35032</v>
      </c>
      <c r="T38" s="155">
        <v>35360</v>
      </c>
      <c r="U38" s="155">
        <v>35999</v>
      </c>
      <c r="V38" s="155">
        <v>36571</v>
      </c>
      <c r="W38" s="155">
        <v>37440</v>
      </c>
      <c r="X38" s="155">
        <v>38180</v>
      </c>
      <c r="Y38" s="155">
        <v>39351</v>
      </c>
      <c r="Z38" s="155">
        <v>40457</v>
      </c>
      <c r="AA38" s="155">
        <v>41804</v>
      </c>
      <c r="AB38" s="155">
        <v>43139</v>
      </c>
      <c r="AC38" s="155">
        <v>44083</v>
      </c>
      <c r="AD38" s="155">
        <v>45151</v>
      </c>
      <c r="AE38" s="155">
        <v>46293</v>
      </c>
      <c r="AF38" s="160">
        <v>47613</v>
      </c>
      <c r="AG38" s="160">
        <v>48960</v>
      </c>
      <c r="AH38" s="160">
        <v>50585</v>
      </c>
      <c r="AI38" s="160">
        <v>52179</v>
      </c>
      <c r="AJ38" s="160">
        <v>53469</v>
      </c>
      <c r="AK38" s="155">
        <v>54429</v>
      </c>
      <c r="AL38" s="155">
        <v>55886</v>
      </c>
      <c r="AM38" s="159"/>
      <c r="AN38" s="155" t="s">
        <v>128</v>
      </c>
      <c r="AO38" s="219">
        <v>2.0602868921823836E-2</v>
      </c>
      <c r="AP38" s="155">
        <v>18</v>
      </c>
      <c r="AR38" s="155" t="s">
        <v>128</v>
      </c>
      <c r="AS38" s="219">
        <v>2.173004744339524E-2</v>
      </c>
      <c r="AT38" s="155">
        <v>12</v>
      </c>
      <c r="AV38" s="155" t="s">
        <v>128</v>
      </c>
      <c r="AW38" s="219">
        <v>2.173004744339524E-2</v>
      </c>
      <c r="AX38" s="155">
        <v>12</v>
      </c>
      <c r="AZ38" s="155" t="s">
        <v>128</v>
      </c>
      <c r="BA38" s="219">
        <v>2.4143967703278868E-2</v>
      </c>
      <c r="BB38" s="155">
        <v>10</v>
      </c>
      <c r="BD38" s="155" t="s">
        <v>128</v>
      </c>
      <c r="BE38" s="219">
        <v>2.5837393037283052E-2</v>
      </c>
      <c r="BF38" s="155">
        <v>10</v>
      </c>
      <c r="BH38" s="155" t="s">
        <v>128</v>
      </c>
      <c r="BI38" s="219">
        <v>2.6857990470633641E-2</v>
      </c>
      <c r="BJ38" s="155">
        <v>14</v>
      </c>
      <c r="BL38" s="155" t="s">
        <v>128</v>
      </c>
      <c r="BM38" s="219">
        <v>2.7061019767258943E-2</v>
      </c>
      <c r="BN38" s="155">
        <v>13</v>
      </c>
      <c r="BP38" s="155" t="s">
        <v>128</v>
      </c>
      <c r="BQ38" s="159">
        <v>1.0837434750186428</v>
      </c>
      <c r="BR38" s="155">
        <v>18</v>
      </c>
      <c r="BT38" s="155" t="s">
        <v>128</v>
      </c>
      <c r="BU38" s="159">
        <v>0.94724738675958187</v>
      </c>
      <c r="BV38" s="155">
        <v>12</v>
      </c>
      <c r="BX38" s="155" t="s">
        <v>128</v>
      </c>
      <c r="BY38" s="159">
        <v>0.85945766095491594</v>
      </c>
      <c r="BZ38" s="155">
        <v>10</v>
      </c>
      <c r="CB38" s="155" t="s">
        <v>128</v>
      </c>
      <c r="CC38" s="159">
        <v>0.70863397333985567</v>
      </c>
      <c r="CD38" s="155">
        <v>10</v>
      </c>
      <c r="CF38" s="155" t="s">
        <v>128</v>
      </c>
      <c r="CG38" s="159">
        <v>0.528150720516256</v>
      </c>
      <c r="CH38" s="155">
        <v>14</v>
      </c>
      <c r="CJ38" s="155" t="s">
        <v>128</v>
      </c>
      <c r="CK38" s="159">
        <v>0.33685771696488376</v>
      </c>
      <c r="CL38" s="155">
        <v>14</v>
      </c>
      <c r="CN38" s="155" t="s">
        <v>128</v>
      </c>
      <c r="CO38" s="159">
        <v>0.17375506689349549</v>
      </c>
      <c r="CP38" s="155">
        <v>13</v>
      </c>
    </row>
    <row r="39" spans="1:94" x14ac:dyDescent="0.2">
      <c r="A39" s="155" t="s">
        <v>129</v>
      </c>
      <c r="B39" s="155">
        <v>148415</v>
      </c>
      <c r="C39" s="155">
        <v>150800</v>
      </c>
      <c r="D39" s="155">
        <v>153800</v>
      </c>
      <c r="E39" s="155">
        <v>156100</v>
      </c>
      <c r="F39" s="155">
        <v>156700</v>
      </c>
      <c r="G39" s="155">
        <v>156900</v>
      </c>
      <c r="H39" s="155">
        <v>156300</v>
      </c>
      <c r="I39" s="155">
        <v>157000</v>
      </c>
      <c r="J39" s="155">
        <v>158200</v>
      </c>
      <c r="K39" s="155">
        <v>159900</v>
      </c>
      <c r="L39" s="155">
        <v>162568</v>
      </c>
      <c r="M39" s="155">
        <v>164656</v>
      </c>
      <c r="N39" s="155">
        <v>166369</v>
      </c>
      <c r="O39" s="155">
        <v>166973</v>
      </c>
      <c r="P39" s="155">
        <v>169045</v>
      </c>
      <c r="Q39" s="155">
        <v>171767</v>
      </c>
      <c r="R39" s="155">
        <v>171500</v>
      </c>
      <c r="S39" s="155">
        <v>172394</v>
      </c>
      <c r="T39" s="155">
        <v>173900</v>
      </c>
      <c r="U39" s="155">
        <v>174803</v>
      </c>
      <c r="V39" s="155">
        <v>175132</v>
      </c>
      <c r="W39" s="155">
        <v>177350</v>
      </c>
      <c r="X39" s="155">
        <v>178654</v>
      </c>
      <c r="Y39" s="155">
        <v>179940</v>
      </c>
      <c r="Z39" s="155">
        <v>181237</v>
      </c>
      <c r="AA39" s="155">
        <v>182916</v>
      </c>
      <c r="AB39" s="155">
        <v>184428</v>
      </c>
      <c r="AC39" s="155">
        <v>186072</v>
      </c>
      <c r="AD39" s="155">
        <v>187284</v>
      </c>
      <c r="AE39" s="155">
        <v>189127</v>
      </c>
      <c r="AF39" s="160">
        <v>190700</v>
      </c>
      <c r="AG39" s="160">
        <v>191983</v>
      </c>
      <c r="AH39" s="160">
        <v>193027</v>
      </c>
      <c r="AI39" s="160">
        <v>193275</v>
      </c>
      <c r="AJ39" s="160">
        <v>194154</v>
      </c>
      <c r="AK39" s="155">
        <v>196137</v>
      </c>
      <c r="AL39" s="155">
        <v>199397</v>
      </c>
      <c r="AM39" s="159"/>
      <c r="AN39" s="155" t="s">
        <v>129</v>
      </c>
      <c r="AO39" s="219">
        <v>8.2361040783003325E-3</v>
      </c>
      <c r="AP39" s="155">
        <v>73</v>
      </c>
      <c r="AR39" s="155" t="s">
        <v>129</v>
      </c>
      <c r="AS39" s="219">
        <v>7.761876536069634E-3</v>
      </c>
      <c r="AT39" s="155">
        <v>68</v>
      </c>
      <c r="AV39" s="155" t="s">
        <v>129</v>
      </c>
      <c r="AW39" s="219">
        <v>7.761876536069634E-3</v>
      </c>
      <c r="AX39" s="155">
        <v>68</v>
      </c>
      <c r="AZ39" s="155" t="s">
        <v>129</v>
      </c>
      <c r="BA39" s="219">
        <v>7.8848241893594295E-3</v>
      </c>
      <c r="BB39" s="155">
        <v>64</v>
      </c>
      <c r="BD39" s="155" t="s">
        <v>129</v>
      </c>
      <c r="BE39" s="219">
        <v>7.1280897480925365E-3</v>
      </c>
      <c r="BF39" s="155">
        <v>68</v>
      </c>
      <c r="BH39" s="155" t="s">
        <v>129</v>
      </c>
      <c r="BI39" s="219">
        <v>8.1428388424038545E-3</v>
      </c>
      <c r="BJ39" s="155">
        <v>70</v>
      </c>
      <c r="BL39" s="155" t="s">
        <v>129</v>
      </c>
      <c r="BM39" s="219">
        <v>7.4604078146860431E-3</v>
      </c>
      <c r="BN39" s="155">
        <v>45</v>
      </c>
      <c r="BP39" s="155" t="s">
        <v>129</v>
      </c>
      <c r="BQ39" s="159">
        <v>0.34350975305730552</v>
      </c>
      <c r="BR39" s="155">
        <v>73</v>
      </c>
      <c r="BT39" s="155" t="s">
        <v>129</v>
      </c>
      <c r="BU39" s="159">
        <v>0.27085404716379857</v>
      </c>
      <c r="BV39" s="155">
        <v>68</v>
      </c>
      <c r="BX39" s="155" t="s">
        <v>129</v>
      </c>
      <c r="BY39" s="159">
        <v>0.22654519954726637</v>
      </c>
      <c r="BZ39" s="155">
        <v>63</v>
      </c>
      <c r="CB39" s="155" t="s">
        <v>129</v>
      </c>
      <c r="CC39" s="159">
        <v>0.16085744060267687</v>
      </c>
      <c r="CD39" s="155">
        <v>68</v>
      </c>
      <c r="CF39" s="155" t="s">
        <v>129</v>
      </c>
      <c r="CG39" s="159">
        <v>0.13855263458419934</v>
      </c>
      <c r="CH39" s="155">
        <v>70</v>
      </c>
      <c r="CJ39" s="155" t="s">
        <v>129</v>
      </c>
      <c r="CK39" s="159">
        <v>9.0101467340199873E-2</v>
      </c>
      <c r="CL39" s="155">
        <v>63</v>
      </c>
      <c r="CN39" s="155" t="s">
        <v>129</v>
      </c>
      <c r="CO39" s="159">
        <v>4.5605663345568953E-2</v>
      </c>
      <c r="CP39" s="155">
        <v>45</v>
      </c>
    </row>
    <row r="40" spans="1:94" x14ac:dyDescent="0.2">
      <c r="A40" s="155" t="s">
        <v>130</v>
      </c>
      <c r="B40" s="155">
        <v>8524</v>
      </c>
      <c r="C40" s="155">
        <v>8500</v>
      </c>
      <c r="D40" s="155">
        <v>8500</v>
      </c>
      <c r="E40" s="155">
        <v>8400</v>
      </c>
      <c r="F40" s="155">
        <v>8400</v>
      </c>
      <c r="G40" s="155">
        <v>8700</v>
      </c>
      <c r="H40" s="155">
        <v>8500</v>
      </c>
      <c r="I40" s="155">
        <v>8500</v>
      </c>
      <c r="J40" s="155">
        <v>8400</v>
      </c>
      <c r="K40" s="155">
        <v>8600</v>
      </c>
      <c r="L40" s="155">
        <v>8875</v>
      </c>
      <c r="M40" s="155">
        <v>8838</v>
      </c>
      <c r="N40" s="155">
        <v>8936</v>
      </c>
      <c r="O40" s="155">
        <v>8865</v>
      </c>
      <c r="P40" s="155">
        <v>8985</v>
      </c>
      <c r="Q40" s="155">
        <v>9116</v>
      </c>
      <c r="R40" s="155">
        <v>9222</v>
      </c>
      <c r="S40" s="155">
        <v>9269</v>
      </c>
      <c r="T40" s="155">
        <v>9333</v>
      </c>
      <c r="U40" s="155">
        <v>9326</v>
      </c>
      <c r="V40" s="155">
        <v>9337</v>
      </c>
      <c r="W40" s="155">
        <v>9364</v>
      </c>
      <c r="X40" s="155">
        <v>9524</v>
      </c>
      <c r="Y40" s="155">
        <v>9696</v>
      </c>
      <c r="Z40" s="155">
        <v>9832</v>
      </c>
      <c r="AA40" s="155">
        <v>9957</v>
      </c>
      <c r="AB40" s="155">
        <v>10086</v>
      </c>
      <c r="AC40" s="155">
        <v>10199</v>
      </c>
      <c r="AD40" s="155">
        <v>10436</v>
      </c>
      <c r="AE40" s="155">
        <v>10479</v>
      </c>
      <c r="AF40" s="160">
        <v>10507</v>
      </c>
      <c r="AG40" s="160">
        <v>10549</v>
      </c>
      <c r="AH40" s="160">
        <v>10625</v>
      </c>
      <c r="AI40" s="160">
        <v>10739</v>
      </c>
      <c r="AJ40" s="160">
        <v>10872</v>
      </c>
      <c r="AK40" s="155">
        <v>11224</v>
      </c>
      <c r="AL40" s="155">
        <v>11527</v>
      </c>
      <c r="AM40" s="159"/>
      <c r="AN40" s="155" t="s">
        <v>130</v>
      </c>
      <c r="AO40" s="219">
        <v>8.418751020623727E-3</v>
      </c>
      <c r="AP40" s="155">
        <v>69</v>
      </c>
      <c r="AR40" s="155" t="s">
        <v>130</v>
      </c>
      <c r="AS40" s="219">
        <v>9.1177376866493631E-3</v>
      </c>
      <c r="AT40" s="155">
        <v>56</v>
      </c>
      <c r="AV40" s="155" t="s">
        <v>130</v>
      </c>
      <c r="AW40" s="219">
        <v>9.1177376866493631E-3</v>
      </c>
      <c r="AX40" s="155">
        <v>56</v>
      </c>
      <c r="AZ40" s="155" t="s">
        <v>130</v>
      </c>
      <c r="BA40" s="219">
        <v>1.0106645006640269E-2</v>
      </c>
      <c r="BB40" s="155">
        <v>50</v>
      </c>
      <c r="BD40" s="155" t="s">
        <v>130</v>
      </c>
      <c r="BE40" s="219">
        <v>1.123699931072264E-2</v>
      </c>
      <c r="BF40" s="155">
        <v>49</v>
      </c>
      <c r="BH40" s="155" t="s">
        <v>130</v>
      </c>
      <c r="BI40" s="219">
        <v>1.3256290002996662E-2</v>
      </c>
      <c r="BJ40" s="155">
        <v>44</v>
      </c>
      <c r="BL40" s="155" t="s">
        <v>130</v>
      </c>
      <c r="BM40" s="219">
        <v>1.5561574285936297E-2</v>
      </c>
      <c r="BN40" s="155">
        <v>26</v>
      </c>
      <c r="BP40" s="155" t="s">
        <v>130</v>
      </c>
      <c r="BQ40" s="159">
        <v>0.35229938995776633</v>
      </c>
      <c r="BR40" s="155">
        <v>69</v>
      </c>
      <c r="BT40" s="155" t="s">
        <v>130</v>
      </c>
      <c r="BU40" s="159">
        <v>0.32494252873563217</v>
      </c>
      <c r="BV40" s="155">
        <v>56</v>
      </c>
      <c r="BX40" s="155" t="s">
        <v>130</v>
      </c>
      <c r="BY40" s="159">
        <v>0.29881690140845069</v>
      </c>
      <c r="BZ40" s="155">
        <v>50</v>
      </c>
      <c r="CB40" s="155" t="s">
        <v>130</v>
      </c>
      <c r="CC40" s="159">
        <v>0.26448003510311541</v>
      </c>
      <c r="CD40" s="155">
        <v>48</v>
      </c>
      <c r="CF40" s="155" t="s">
        <v>130</v>
      </c>
      <c r="CG40" s="159">
        <v>0.23455071222019921</v>
      </c>
      <c r="CH40" s="155">
        <v>44</v>
      </c>
      <c r="CJ40" s="155" t="s">
        <v>130</v>
      </c>
      <c r="CK40" s="159">
        <v>0.15767801546650598</v>
      </c>
      <c r="CL40" s="155">
        <v>39</v>
      </c>
      <c r="CN40" s="155" t="s">
        <v>130</v>
      </c>
      <c r="CO40" s="159">
        <v>9.7078138383934517E-2</v>
      </c>
      <c r="CP40" s="155">
        <v>26</v>
      </c>
    </row>
    <row r="41" spans="1:94" x14ac:dyDescent="0.2">
      <c r="A41" s="155" t="s">
        <v>131</v>
      </c>
      <c r="B41" s="155">
        <v>6562</v>
      </c>
      <c r="C41" s="155">
        <v>6500</v>
      </c>
      <c r="D41" s="155">
        <v>6300</v>
      </c>
      <c r="E41" s="155">
        <v>6400</v>
      </c>
      <c r="F41" s="155">
        <v>6500</v>
      </c>
      <c r="G41" s="155">
        <v>6700</v>
      </c>
      <c r="H41" s="155">
        <v>6700</v>
      </c>
      <c r="I41" s="155">
        <v>6900</v>
      </c>
      <c r="J41" s="155">
        <v>6900</v>
      </c>
      <c r="K41" s="155">
        <v>7100</v>
      </c>
      <c r="L41" s="155">
        <v>7217</v>
      </c>
      <c r="M41" s="155">
        <v>7166</v>
      </c>
      <c r="N41" s="155">
        <v>7189</v>
      </c>
      <c r="O41" s="155">
        <v>7178</v>
      </c>
      <c r="P41" s="155">
        <v>7279</v>
      </c>
      <c r="Q41" s="155">
        <v>7271</v>
      </c>
      <c r="R41" s="155">
        <v>7269</v>
      </c>
      <c r="S41" s="155">
        <v>7252</v>
      </c>
      <c r="T41" s="155">
        <v>7168</v>
      </c>
      <c r="U41" s="155">
        <v>7258</v>
      </c>
      <c r="V41" s="155">
        <v>7191</v>
      </c>
      <c r="W41" s="155">
        <v>7426</v>
      </c>
      <c r="X41" s="155">
        <v>7493</v>
      </c>
      <c r="Y41" s="155">
        <v>7505</v>
      </c>
      <c r="Z41" s="155">
        <v>7661</v>
      </c>
      <c r="AA41" s="155">
        <v>7710</v>
      </c>
      <c r="AB41" s="155">
        <v>7779</v>
      </c>
      <c r="AC41" s="155">
        <v>7840</v>
      </c>
      <c r="AD41" s="155">
        <v>7837</v>
      </c>
      <c r="AE41" s="155">
        <v>7929</v>
      </c>
      <c r="AF41" s="160">
        <v>7993</v>
      </c>
      <c r="AG41" s="160">
        <v>8016</v>
      </c>
      <c r="AH41" s="160">
        <v>8082</v>
      </c>
      <c r="AI41" s="160">
        <v>8003</v>
      </c>
      <c r="AJ41" s="160">
        <v>8076</v>
      </c>
      <c r="AK41" s="155">
        <v>8085</v>
      </c>
      <c r="AL41" s="155">
        <v>7995</v>
      </c>
      <c r="AM41" s="159"/>
      <c r="AN41" s="155" t="s">
        <v>131</v>
      </c>
      <c r="AO41" s="219">
        <v>5.5017714536564899E-3</v>
      </c>
      <c r="AP41" s="155">
        <v>85</v>
      </c>
      <c r="AR41" s="155" t="s">
        <v>131</v>
      </c>
      <c r="AS41" s="219">
        <v>5.7165620484747048E-3</v>
      </c>
      <c r="AT41" s="155">
        <v>82</v>
      </c>
      <c r="AV41" s="155" t="s">
        <v>131</v>
      </c>
      <c r="AW41" s="219">
        <v>5.7165620484747048E-3</v>
      </c>
      <c r="AX41" s="155">
        <v>82</v>
      </c>
      <c r="AZ41" s="155" t="s">
        <v>131</v>
      </c>
      <c r="BA41" s="219">
        <v>3.9453390628019225E-3</v>
      </c>
      <c r="BB41" s="155">
        <v>84</v>
      </c>
      <c r="BD41" s="155" t="s">
        <v>131</v>
      </c>
      <c r="BE41" s="219">
        <v>4.5303507988272429E-3</v>
      </c>
      <c r="BF41" s="155">
        <v>82</v>
      </c>
      <c r="BH41" s="155" t="s">
        <v>131</v>
      </c>
      <c r="BI41" s="219">
        <v>6.6461194674887203E-3</v>
      </c>
      <c r="BJ41" s="155">
        <v>78</v>
      </c>
      <c r="BL41" s="155" t="s">
        <v>131</v>
      </c>
      <c r="BM41" s="219">
        <v>4.1698809710499773E-5</v>
      </c>
      <c r="BN41" s="155">
        <v>83</v>
      </c>
      <c r="BP41" s="155" t="s">
        <v>131</v>
      </c>
      <c r="BQ41" s="159">
        <v>0.2183785431270954</v>
      </c>
      <c r="BR41" s="155">
        <v>85</v>
      </c>
      <c r="BT41" s="155" t="s">
        <v>131</v>
      </c>
      <c r="BU41" s="159">
        <v>0.19328358208955224</v>
      </c>
      <c r="BV41" s="155">
        <v>82</v>
      </c>
      <c r="BX41" s="155" t="s">
        <v>131</v>
      </c>
      <c r="BY41" s="159">
        <v>0.10780102535679645</v>
      </c>
      <c r="BZ41" s="155">
        <v>84</v>
      </c>
      <c r="CB41" s="155" t="s">
        <v>131</v>
      </c>
      <c r="CC41" s="159">
        <v>9.9573648741576121E-2</v>
      </c>
      <c r="CD41" s="155">
        <v>82</v>
      </c>
      <c r="CF41" s="155" t="s">
        <v>131</v>
      </c>
      <c r="CG41" s="159">
        <v>0.11180642469753858</v>
      </c>
      <c r="CH41" s="155">
        <v>78</v>
      </c>
      <c r="CJ41" s="155" t="s">
        <v>131</v>
      </c>
      <c r="CK41" s="159">
        <v>3.6964980544747082E-2</v>
      </c>
      <c r="CL41" s="155">
        <v>86</v>
      </c>
      <c r="CN41" s="155" t="s">
        <v>131</v>
      </c>
      <c r="CO41" s="159">
        <v>2.5021894157387716E-4</v>
      </c>
      <c r="CP41" s="155">
        <v>83</v>
      </c>
    </row>
    <row r="42" spans="1:94" x14ac:dyDescent="0.2">
      <c r="A42" s="155" t="s">
        <v>132</v>
      </c>
      <c r="B42" s="155">
        <v>32762</v>
      </c>
      <c r="C42" s="155">
        <v>33400</v>
      </c>
      <c r="D42" s="155">
        <v>33400</v>
      </c>
      <c r="E42" s="155">
        <v>33600</v>
      </c>
      <c r="F42" s="155">
        <v>33700</v>
      </c>
      <c r="G42" s="155">
        <v>33600</v>
      </c>
      <c r="H42" s="155">
        <v>33500</v>
      </c>
      <c r="I42" s="155">
        <v>33700</v>
      </c>
      <c r="J42" s="155">
        <v>33800</v>
      </c>
      <c r="K42" s="155">
        <v>33800</v>
      </c>
      <c r="L42" s="155">
        <v>34043</v>
      </c>
      <c r="M42" s="155">
        <v>34402</v>
      </c>
      <c r="N42" s="155">
        <v>34790</v>
      </c>
      <c r="O42" s="155">
        <v>35273</v>
      </c>
      <c r="P42" s="155">
        <v>35681</v>
      </c>
      <c r="Q42" s="155">
        <v>35973</v>
      </c>
      <c r="R42" s="155">
        <v>36871</v>
      </c>
      <c r="S42" s="155">
        <v>37380</v>
      </c>
      <c r="T42" s="155">
        <v>38051</v>
      </c>
      <c r="U42" s="155">
        <v>38312</v>
      </c>
      <c r="V42" s="155">
        <v>38465</v>
      </c>
      <c r="W42" s="155">
        <v>38901</v>
      </c>
      <c r="X42" s="155">
        <v>39771</v>
      </c>
      <c r="Y42" s="155">
        <v>40688</v>
      </c>
      <c r="Z42" s="155">
        <v>41191</v>
      </c>
      <c r="AA42" s="155">
        <v>42281</v>
      </c>
      <c r="AB42" s="155">
        <v>43281</v>
      </c>
      <c r="AC42" s="155">
        <v>44277</v>
      </c>
      <c r="AD42" s="155">
        <v>46386</v>
      </c>
      <c r="AE42" s="155">
        <v>47498</v>
      </c>
      <c r="AF42" s="160">
        <v>48759</v>
      </c>
      <c r="AG42" s="160">
        <v>50051</v>
      </c>
      <c r="AH42" s="160">
        <v>51784</v>
      </c>
      <c r="AI42" s="160">
        <v>52604</v>
      </c>
      <c r="AJ42" s="160">
        <v>52925</v>
      </c>
      <c r="AK42" s="155">
        <v>53674</v>
      </c>
      <c r="AL42" s="155">
        <v>54473</v>
      </c>
      <c r="AM42" s="159"/>
      <c r="AN42" s="155" t="s">
        <v>132</v>
      </c>
      <c r="AO42" s="219">
        <v>1.4223422127754182E-2</v>
      </c>
      <c r="AP42" s="155">
        <v>33</v>
      </c>
      <c r="AR42" s="155" t="s">
        <v>132</v>
      </c>
      <c r="AS42" s="219">
        <v>1.5708524387652911E-2</v>
      </c>
      <c r="AT42" s="155">
        <v>28</v>
      </c>
      <c r="AV42" s="155" t="s">
        <v>132</v>
      </c>
      <c r="AW42" s="219">
        <v>1.5708524387652911E-2</v>
      </c>
      <c r="AX42" s="155">
        <v>28</v>
      </c>
      <c r="AZ42" s="155" t="s">
        <v>132</v>
      </c>
      <c r="BA42" s="219">
        <v>1.8244461456844885E-2</v>
      </c>
      <c r="BB42" s="155">
        <v>22</v>
      </c>
      <c r="BD42" s="155" t="s">
        <v>132</v>
      </c>
      <c r="BE42" s="219">
        <v>1.9955380142553603E-2</v>
      </c>
      <c r="BF42" s="155">
        <v>21</v>
      </c>
      <c r="BH42" s="155" t="s">
        <v>132</v>
      </c>
      <c r="BI42" s="219">
        <v>2.1985472414937757E-2</v>
      </c>
      <c r="BJ42" s="155">
        <v>18</v>
      </c>
      <c r="BL42" s="155" t="s">
        <v>132</v>
      </c>
      <c r="BM42" s="219">
        <v>1.8640839458219594E-2</v>
      </c>
      <c r="BN42" s="155">
        <v>22</v>
      </c>
      <c r="BP42" s="155" t="s">
        <v>132</v>
      </c>
      <c r="BQ42" s="159">
        <v>0.66268848055674257</v>
      </c>
      <c r="BR42" s="155">
        <v>33</v>
      </c>
      <c r="BT42" s="155" t="s">
        <v>132</v>
      </c>
      <c r="BU42" s="159">
        <v>0.62122023809523808</v>
      </c>
      <c r="BV42" s="155">
        <v>28</v>
      </c>
      <c r="BX42" s="155" t="s">
        <v>132</v>
      </c>
      <c r="BY42" s="159">
        <v>0.60012337338072441</v>
      </c>
      <c r="BZ42" s="155">
        <v>23</v>
      </c>
      <c r="CB42" s="155" t="s">
        <v>132</v>
      </c>
      <c r="CC42" s="159">
        <v>0.51427459483501514</v>
      </c>
      <c r="CD42" s="155">
        <v>21</v>
      </c>
      <c r="CF42" s="155" t="s">
        <v>132</v>
      </c>
      <c r="CG42" s="159">
        <v>0.41617054465098141</v>
      </c>
      <c r="CH42" s="155">
        <v>18</v>
      </c>
      <c r="CJ42" s="155" t="s">
        <v>132</v>
      </c>
      <c r="CK42" s="159">
        <v>0.28835647217426269</v>
      </c>
      <c r="CL42" s="155">
        <v>17</v>
      </c>
      <c r="CN42" s="155" t="s">
        <v>132</v>
      </c>
      <c r="CO42" s="159">
        <v>0.11718862158780943</v>
      </c>
      <c r="CP42" s="155">
        <v>22</v>
      </c>
    </row>
    <row r="43" spans="1:94" x14ac:dyDescent="0.2">
      <c r="A43" s="155" t="s">
        <v>133</v>
      </c>
      <c r="B43" s="155">
        <v>14967</v>
      </c>
      <c r="C43" s="155">
        <v>15400</v>
      </c>
      <c r="D43" s="155">
        <v>15100</v>
      </c>
      <c r="E43" s="155">
        <v>14900</v>
      </c>
      <c r="F43" s="155">
        <v>15000</v>
      </c>
      <c r="G43" s="155">
        <v>14900</v>
      </c>
      <c r="H43" s="155">
        <v>15000</v>
      </c>
      <c r="I43" s="155">
        <v>15000</v>
      </c>
      <c r="J43" s="155">
        <v>16000</v>
      </c>
      <c r="K43" s="155">
        <v>15600</v>
      </c>
      <c r="L43" s="155">
        <v>16117</v>
      </c>
      <c r="M43" s="155">
        <v>15954</v>
      </c>
      <c r="N43" s="155">
        <v>15855</v>
      </c>
      <c r="O43" s="155">
        <v>16116</v>
      </c>
      <c r="P43" s="155">
        <v>16026</v>
      </c>
      <c r="Q43" s="155">
        <v>15944</v>
      </c>
      <c r="R43" s="155">
        <v>15849</v>
      </c>
      <c r="S43" s="155">
        <v>15672</v>
      </c>
      <c r="T43" s="155">
        <v>15493</v>
      </c>
      <c r="U43" s="155">
        <v>15375</v>
      </c>
      <c r="V43" s="155">
        <v>15440</v>
      </c>
      <c r="W43" s="155">
        <v>15679</v>
      </c>
      <c r="X43" s="155">
        <v>15782</v>
      </c>
      <c r="Y43" s="155">
        <v>16149</v>
      </c>
      <c r="Z43" s="155">
        <v>16637</v>
      </c>
      <c r="AA43" s="155">
        <v>17260</v>
      </c>
      <c r="AB43" s="155">
        <v>17742</v>
      </c>
      <c r="AC43" s="155">
        <v>18166</v>
      </c>
      <c r="AD43" s="155">
        <v>18598</v>
      </c>
      <c r="AE43" s="155">
        <v>18687</v>
      </c>
      <c r="AF43" s="160">
        <v>19057</v>
      </c>
      <c r="AG43" s="160">
        <v>19254</v>
      </c>
      <c r="AH43" s="160">
        <v>19532</v>
      </c>
      <c r="AI43" s="160">
        <v>19917</v>
      </c>
      <c r="AJ43" s="160">
        <v>20113</v>
      </c>
      <c r="AK43" s="155">
        <v>20026</v>
      </c>
      <c r="AL43" s="155">
        <v>20157</v>
      </c>
      <c r="AM43" s="159"/>
      <c r="AN43" s="155" t="s">
        <v>133</v>
      </c>
      <c r="AO43" s="219">
        <v>8.3038384386429076E-3</v>
      </c>
      <c r="AP43" s="155">
        <v>72</v>
      </c>
      <c r="AR43" s="155" t="s">
        <v>133</v>
      </c>
      <c r="AS43" s="219">
        <v>9.7957450027070792E-3</v>
      </c>
      <c r="AT43" s="155">
        <v>51</v>
      </c>
      <c r="AV43" s="155" t="s">
        <v>133</v>
      </c>
      <c r="AW43" s="219">
        <v>9.7957450027070792E-3</v>
      </c>
      <c r="AX43" s="155">
        <v>51</v>
      </c>
      <c r="AZ43" s="155" t="s">
        <v>133</v>
      </c>
      <c r="BA43" s="219">
        <v>8.6400736336933459E-3</v>
      </c>
      <c r="BB43" s="155">
        <v>57</v>
      </c>
      <c r="BD43" s="155" t="s">
        <v>133</v>
      </c>
      <c r="BE43" s="219">
        <v>1.1227755754027458E-2</v>
      </c>
      <c r="BF43" s="155">
        <v>50</v>
      </c>
      <c r="BH43" s="155" t="s">
        <v>133</v>
      </c>
      <c r="BI43" s="219">
        <v>1.6801463158444552E-2</v>
      </c>
      <c r="BJ43" s="155">
        <v>34</v>
      </c>
      <c r="BL43" s="155" t="s">
        <v>133</v>
      </c>
      <c r="BM43" s="219">
        <v>9.3967303762858556E-3</v>
      </c>
      <c r="BN43" s="155">
        <v>42</v>
      </c>
      <c r="BP43" s="155" t="s">
        <v>133</v>
      </c>
      <c r="BQ43" s="159">
        <v>0.3467628783323311</v>
      </c>
      <c r="BR43" s="155">
        <v>72</v>
      </c>
      <c r="BT43" s="155" t="s">
        <v>133</v>
      </c>
      <c r="BU43" s="159">
        <v>0.35281879194630872</v>
      </c>
      <c r="BV43" s="155">
        <v>51</v>
      </c>
      <c r="BX43" s="155" t="s">
        <v>133</v>
      </c>
      <c r="BY43" s="159">
        <v>0.25066699758019484</v>
      </c>
      <c r="BZ43" s="155">
        <v>56</v>
      </c>
      <c r="CB43" s="155" t="s">
        <v>133</v>
      </c>
      <c r="CC43" s="159">
        <v>0.26423733065730054</v>
      </c>
      <c r="CD43" s="155">
        <v>49</v>
      </c>
      <c r="CF43" s="155" t="s">
        <v>133</v>
      </c>
      <c r="CG43" s="159">
        <v>0.30550518134715027</v>
      </c>
      <c r="CH43" s="155">
        <v>34</v>
      </c>
      <c r="CJ43" s="155" t="s">
        <v>133</v>
      </c>
      <c r="CK43" s="159">
        <v>0.1678447276940904</v>
      </c>
      <c r="CL43" s="155">
        <v>36</v>
      </c>
      <c r="CN43" s="155" t="s">
        <v>133</v>
      </c>
      <c r="CO43" s="159">
        <v>5.7721572125728079E-2</v>
      </c>
      <c r="CP43" s="155">
        <v>42</v>
      </c>
    </row>
    <row r="44" spans="1:94" x14ac:dyDescent="0.2">
      <c r="A44" s="155" t="s">
        <v>134</v>
      </c>
      <c r="B44" s="155">
        <v>288645</v>
      </c>
      <c r="C44" s="155">
        <v>294600</v>
      </c>
      <c r="D44" s="155">
        <v>298900</v>
      </c>
      <c r="E44" s="155">
        <v>300600</v>
      </c>
      <c r="F44" s="155">
        <v>300700</v>
      </c>
      <c r="G44" s="155">
        <v>302000</v>
      </c>
      <c r="H44" s="155">
        <v>305400</v>
      </c>
      <c r="I44" s="155">
        <v>310100</v>
      </c>
      <c r="J44" s="155">
        <v>312500</v>
      </c>
      <c r="K44" s="155">
        <v>314900</v>
      </c>
      <c r="L44" s="155">
        <v>317154</v>
      </c>
      <c r="M44" s="155">
        <v>320029</v>
      </c>
      <c r="N44" s="155">
        <v>322602</v>
      </c>
      <c r="O44" s="155">
        <v>324773</v>
      </c>
      <c r="P44" s="155">
        <v>327270</v>
      </c>
      <c r="Q44" s="155">
        <v>329656</v>
      </c>
      <c r="R44" s="155">
        <v>332688</v>
      </c>
      <c r="S44" s="155">
        <v>336905</v>
      </c>
      <c r="T44" s="155">
        <v>340908</v>
      </c>
      <c r="U44" s="155">
        <v>344523</v>
      </c>
      <c r="V44" s="155">
        <v>349135</v>
      </c>
      <c r="W44" s="155">
        <v>356433</v>
      </c>
      <c r="X44" s="155">
        <v>362884</v>
      </c>
      <c r="Y44" s="155">
        <v>370568</v>
      </c>
      <c r="Z44" s="155">
        <v>378575</v>
      </c>
      <c r="AA44" s="155">
        <v>387665</v>
      </c>
      <c r="AB44" s="155">
        <v>394358</v>
      </c>
      <c r="AC44" s="155">
        <v>401113</v>
      </c>
      <c r="AD44" s="155">
        <v>409440</v>
      </c>
      <c r="AE44" s="155">
        <v>416459</v>
      </c>
      <c r="AF44" s="160">
        <v>422355</v>
      </c>
      <c r="AG44" s="160">
        <v>427268</v>
      </c>
      <c r="AH44" s="160">
        <v>430194</v>
      </c>
      <c r="AI44" s="160">
        <v>434141</v>
      </c>
      <c r="AJ44" s="160">
        <v>437879</v>
      </c>
      <c r="AK44" s="155">
        <v>443519</v>
      </c>
      <c r="AL44" s="155">
        <v>451905</v>
      </c>
      <c r="AM44" s="159"/>
      <c r="AN44" s="155" t="s">
        <v>134</v>
      </c>
      <c r="AO44" s="219">
        <v>1.2529917045603023E-2</v>
      </c>
      <c r="AP44" s="155">
        <v>38</v>
      </c>
      <c r="AR44" s="155" t="s">
        <v>134</v>
      </c>
      <c r="AS44" s="219">
        <v>1.3086336771060081E-2</v>
      </c>
      <c r="AT44" s="155">
        <v>35</v>
      </c>
      <c r="AV44" s="155" t="s">
        <v>134</v>
      </c>
      <c r="AW44" s="219">
        <v>1.3086336771060081E-2</v>
      </c>
      <c r="AX44" s="155">
        <v>35</v>
      </c>
      <c r="AZ44" s="155" t="s">
        <v>134</v>
      </c>
      <c r="BA44" s="219">
        <v>1.3711791421529673E-2</v>
      </c>
      <c r="BB44" s="155">
        <v>34</v>
      </c>
      <c r="BD44" s="155" t="s">
        <v>134</v>
      </c>
      <c r="BE44" s="219">
        <v>1.5133477982623544E-2</v>
      </c>
      <c r="BF44" s="155">
        <v>32</v>
      </c>
      <c r="BH44" s="155" t="s">
        <v>134</v>
      </c>
      <c r="BI44" s="219">
        <v>1.6256555073816958E-2</v>
      </c>
      <c r="BJ44" s="155">
        <v>36</v>
      </c>
      <c r="BL44" s="155" t="s">
        <v>134</v>
      </c>
      <c r="BM44" s="219">
        <v>1.133472131772284E-2</v>
      </c>
      <c r="BN44" s="155">
        <v>39</v>
      </c>
      <c r="BP44" s="155" t="s">
        <v>134</v>
      </c>
      <c r="BQ44" s="159">
        <v>0.5656082731382841</v>
      </c>
      <c r="BR44" s="155">
        <v>38</v>
      </c>
      <c r="BT44" s="155" t="s">
        <v>134</v>
      </c>
      <c r="BU44" s="159">
        <v>0.49637417218543045</v>
      </c>
      <c r="BV44" s="155">
        <v>35</v>
      </c>
      <c r="BX44" s="155" t="s">
        <v>134</v>
      </c>
      <c r="BY44" s="159">
        <v>0.42487561247848049</v>
      </c>
      <c r="BZ44" s="155">
        <v>34</v>
      </c>
      <c r="CB44" s="155" t="s">
        <v>134</v>
      </c>
      <c r="CC44" s="159">
        <v>0.37083808576212779</v>
      </c>
      <c r="CD44" s="155">
        <v>32</v>
      </c>
      <c r="CF44" s="155" t="s">
        <v>134</v>
      </c>
      <c r="CG44" s="159">
        <v>0.29435605138413506</v>
      </c>
      <c r="CH44" s="155">
        <v>36</v>
      </c>
      <c r="CJ44" s="155" t="s">
        <v>134</v>
      </c>
      <c r="CK44" s="159">
        <v>0.16571008473811152</v>
      </c>
      <c r="CL44" s="155">
        <v>37</v>
      </c>
      <c r="CN44" s="155" t="s">
        <v>134</v>
      </c>
      <c r="CO44" s="159">
        <v>6.9964840004261813E-2</v>
      </c>
      <c r="CP44" s="155">
        <v>39</v>
      </c>
    </row>
    <row r="45" spans="1:94" x14ac:dyDescent="0.2">
      <c r="A45" s="155" t="s">
        <v>135</v>
      </c>
      <c r="B45" s="155">
        <v>54354</v>
      </c>
      <c r="C45" s="155">
        <v>54100</v>
      </c>
      <c r="D45" s="155">
        <v>54600</v>
      </c>
      <c r="E45" s="155">
        <v>55000</v>
      </c>
      <c r="F45" s="155">
        <v>54900</v>
      </c>
      <c r="G45" s="155">
        <v>55200</v>
      </c>
      <c r="H45" s="155">
        <v>55200</v>
      </c>
      <c r="I45" s="155">
        <v>55700</v>
      </c>
      <c r="J45" s="155">
        <v>55700</v>
      </c>
      <c r="K45" s="155">
        <v>55500</v>
      </c>
      <c r="L45" s="155">
        <v>55076</v>
      </c>
      <c r="M45" s="155">
        <v>55085</v>
      </c>
      <c r="N45" s="155">
        <v>55141</v>
      </c>
      <c r="O45" s="155">
        <v>55133</v>
      </c>
      <c r="P45" s="155">
        <v>55144</v>
      </c>
      <c r="Q45" s="155">
        <v>55104</v>
      </c>
      <c r="R45" s="155">
        <v>54949</v>
      </c>
      <c r="S45" s="155">
        <v>55279</v>
      </c>
      <c r="T45" s="155">
        <v>55298</v>
      </c>
      <c r="U45" s="155">
        <v>55357</v>
      </c>
      <c r="V45" s="155">
        <v>55671</v>
      </c>
      <c r="W45" s="155">
        <v>56012</v>
      </c>
      <c r="X45" s="155">
        <v>56478</v>
      </c>
      <c r="Y45" s="155">
        <v>57394</v>
      </c>
      <c r="Z45" s="155">
        <v>57894</v>
      </c>
      <c r="AA45" s="155">
        <v>58187</v>
      </c>
      <c r="AB45" s="155">
        <v>58019</v>
      </c>
      <c r="AC45" s="155">
        <v>57895</v>
      </c>
      <c r="AD45" s="155">
        <v>57851</v>
      </c>
      <c r="AE45" s="155">
        <v>57440</v>
      </c>
      <c r="AF45" s="160">
        <v>57297</v>
      </c>
      <c r="AG45" s="160">
        <v>56801</v>
      </c>
      <c r="AH45" s="160">
        <v>56526</v>
      </c>
      <c r="AI45" s="160">
        <v>56403</v>
      </c>
      <c r="AJ45" s="160">
        <v>56096</v>
      </c>
      <c r="AK45" s="155">
        <v>56023</v>
      </c>
      <c r="AL45" s="155">
        <v>55521</v>
      </c>
      <c r="AM45" s="159"/>
      <c r="AN45" s="155" t="s">
        <v>135</v>
      </c>
      <c r="AO45" s="219">
        <v>5.9026079228452488E-4</v>
      </c>
      <c r="AP45" s="155">
        <v>94</v>
      </c>
      <c r="AR45" s="155" t="s">
        <v>135</v>
      </c>
      <c r="AS45" s="219">
        <v>1.8706182551619932E-4</v>
      </c>
      <c r="AT45" s="155">
        <v>93</v>
      </c>
      <c r="AV45" s="155" t="s">
        <v>135</v>
      </c>
      <c r="AW45" s="219">
        <v>1.8706182551619932E-4</v>
      </c>
      <c r="AX45" s="155">
        <v>93</v>
      </c>
      <c r="AZ45" s="155" t="s">
        <v>135</v>
      </c>
      <c r="BA45" s="219">
        <v>3.0955859497594496E-4</v>
      </c>
      <c r="BB45" s="155">
        <v>92</v>
      </c>
      <c r="BD45" s="155" t="s">
        <v>135</v>
      </c>
      <c r="BE45" s="219">
        <v>3.5906534179264149E-4</v>
      </c>
      <c r="BF45" s="155">
        <v>93</v>
      </c>
      <c r="BH45" s="155" t="s">
        <v>135</v>
      </c>
      <c r="BI45" s="219">
        <v>-1.6861312487082003E-4</v>
      </c>
      <c r="BJ45" s="155">
        <v>95</v>
      </c>
      <c r="BL45" s="155" t="s">
        <v>135</v>
      </c>
      <c r="BM45" s="219">
        <v>-5.234077359410283E-3</v>
      </c>
      <c r="BN45" s="155">
        <v>95</v>
      </c>
      <c r="BP45" s="155" t="s">
        <v>135</v>
      </c>
      <c r="BQ45" s="159">
        <v>2.1470360966994149E-2</v>
      </c>
      <c r="BR45" s="155">
        <v>94</v>
      </c>
      <c r="BT45" s="155" t="s">
        <v>135</v>
      </c>
      <c r="BU45" s="159">
        <v>5.8152173913043476E-3</v>
      </c>
      <c r="BV45" s="155">
        <v>93</v>
      </c>
      <c r="BX45" s="155" t="s">
        <v>135</v>
      </c>
      <c r="BY45" s="159">
        <v>8.0797443532573173E-3</v>
      </c>
      <c r="BZ45" s="155">
        <v>92</v>
      </c>
      <c r="CB45" s="155" t="s">
        <v>135</v>
      </c>
      <c r="CC45" s="159">
        <v>7.567508710801394E-3</v>
      </c>
      <c r="CD45" s="155">
        <v>93</v>
      </c>
      <c r="CF45" s="155" t="s">
        <v>135</v>
      </c>
      <c r="CG45" s="159">
        <v>-2.6944010346499972E-3</v>
      </c>
      <c r="CH45" s="155">
        <v>95</v>
      </c>
      <c r="CJ45" s="155" t="s">
        <v>135</v>
      </c>
      <c r="CK45" s="159">
        <v>-4.5817794352690462E-2</v>
      </c>
      <c r="CL45" s="155">
        <v>96</v>
      </c>
      <c r="CN45" s="155" t="s">
        <v>135</v>
      </c>
      <c r="CO45" s="159">
        <v>-3.0996387245405519E-2</v>
      </c>
      <c r="CP45" s="155">
        <v>95</v>
      </c>
    </row>
    <row r="46" spans="1:94" x14ac:dyDescent="0.2">
      <c r="A46" s="155" t="s">
        <v>136</v>
      </c>
      <c r="B46" s="155">
        <v>49667</v>
      </c>
      <c r="C46" s="155">
        <v>50700</v>
      </c>
      <c r="D46" s="155">
        <v>52800</v>
      </c>
      <c r="E46" s="155">
        <v>53600</v>
      </c>
      <c r="F46" s="155">
        <v>55100</v>
      </c>
      <c r="G46" s="155">
        <v>55700</v>
      </c>
      <c r="H46" s="155">
        <v>56100</v>
      </c>
      <c r="I46" s="155">
        <v>57600</v>
      </c>
      <c r="J46" s="155">
        <v>58500</v>
      </c>
      <c r="K46" s="155">
        <v>59300</v>
      </c>
      <c r="L46" s="155">
        <v>59570</v>
      </c>
      <c r="M46" s="155">
        <v>60551</v>
      </c>
      <c r="N46" s="155">
        <v>61176</v>
      </c>
      <c r="O46" s="155">
        <v>61713</v>
      </c>
      <c r="P46" s="155">
        <v>62277</v>
      </c>
      <c r="Q46" s="155">
        <v>63537</v>
      </c>
      <c r="R46" s="155">
        <v>64516</v>
      </c>
      <c r="S46" s="155">
        <v>65740</v>
      </c>
      <c r="T46" s="155">
        <v>66921</v>
      </c>
      <c r="U46" s="155">
        <v>67579</v>
      </c>
      <c r="V46" s="155">
        <v>68030</v>
      </c>
      <c r="W46" s="155">
        <v>69189</v>
      </c>
      <c r="X46" s="155">
        <v>71373</v>
      </c>
      <c r="Y46" s="155">
        <v>73671</v>
      </c>
      <c r="Z46" s="155">
        <v>75590</v>
      </c>
      <c r="AA46" s="155">
        <v>78353</v>
      </c>
      <c r="AB46" s="155">
        <v>81651</v>
      </c>
      <c r="AC46" s="155">
        <v>84169</v>
      </c>
      <c r="AD46" s="155">
        <v>86513</v>
      </c>
      <c r="AE46" s="155">
        <v>89127</v>
      </c>
      <c r="AF46" s="160">
        <v>91591</v>
      </c>
      <c r="AG46" s="160">
        <v>93935</v>
      </c>
      <c r="AH46" s="160">
        <v>96858</v>
      </c>
      <c r="AI46" s="160">
        <v>98987</v>
      </c>
      <c r="AJ46" s="160">
        <v>101370</v>
      </c>
      <c r="AK46" s="155">
        <v>103692</v>
      </c>
      <c r="AL46" s="155">
        <v>106283</v>
      </c>
      <c r="AM46" s="159"/>
      <c r="AN46" s="155" t="s">
        <v>136</v>
      </c>
      <c r="AO46" s="219">
        <v>2.1357219863978871E-2</v>
      </c>
      <c r="AP46" s="155">
        <v>13</v>
      </c>
      <c r="AR46" s="155" t="s">
        <v>136</v>
      </c>
      <c r="AS46" s="219">
        <v>2.1061475477657687E-2</v>
      </c>
      <c r="AT46" s="155">
        <v>14</v>
      </c>
      <c r="AV46" s="155" t="s">
        <v>136</v>
      </c>
      <c r="AW46" s="219">
        <v>2.1061475477657687E-2</v>
      </c>
      <c r="AX46" s="155">
        <v>14</v>
      </c>
      <c r="AZ46" s="155" t="s">
        <v>136</v>
      </c>
      <c r="BA46" s="219">
        <v>2.251720267964985E-2</v>
      </c>
      <c r="BB46" s="155">
        <v>13</v>
      </c>
      <c r="BD46" s="155" t="s">
        <v>136</v>
      </c>
      <c r="BE46" s="219">
        <v>2.4801758306284061E-2</v>
      </c>
      <c r="BF46" s="155">
        <v>14</v>
      </c>
      <c r="BH46" s="155" t="s">
        <v>136</v>
      </c>
      <c r="BI46" s="219">
        <v>2.8277204860484462E-2</v>
      </c>
      <c r="BJ46" s="155">
        <v>10</v>
      </c>
      <c r="BL46" s="155" t="s">
        <v>136</v>
      </c>
      <c r="BM46" s="219">
        <v>2.510535127450142E-2</v>
      </c>
      <c r="BN46" s="155">
        <v>14</v>
      </c>
      <c r="BP46" s="155" t="s">
        <v>136</v>
      </c>
      <c r="BQ46" s="159">
        <v>1.1399118126723982</v>
      </c>
      <c r="BR46" s="155">
        <v>13</v>
      </c>
      <c r="BT46" s="155" t="s">
        <v>136</v>
      </c>
      <c r="BU46" s="159">
        <v>0.90813285457809689</v>
      </c>
      <c r="BV46" s="155">
        <v>14</v>
      </c>
      <c r="BX46" s="155" t="s">
        <v>136</v>
      </c>
      <c r="BY46" s="159">
        <v>0.7841698841698842</v>
      </c>
      <c r="BZ46" s="155">
        <v>13</v>
      </c>
      <c r="CB46" s="155" t="s">
        <v>136</v>
      </c>
      <c r="CC46" s="159">
        <v>0.67277334466531313</v>
      </c>
      <c r="CD46" s="155">
        <v>14</v>
      </c>
      <c r="CF46" s="155" t="s">
        <v>136</v>
      </c>
      <c r="CG46" s="159">
        <v>0.56229604586211968</v>
      </c>
      <c r="CH46" s="155">
        <v>10</v>
      </c>
      <c r="CJ46" s="155" t="s">
        <v>136</v>
      </c>
      <c r="CK46" s="159">
        <v>0.35646369634857633</v>
      </c>
      <c r="CL46" s="155">
        <v>13</v>
      </c>
      <c r="CN46" s="155" t="s">
        <v>136</v>
      </c>
      <c r="CO46" s="159">
        <v>0.16040877378781759</v>
      </c>
      <c r="CP46" s="155">
        <v>14</v>
      </c>
    </row>
    <row r="47" spans="1:94" x14ac:dyDescent="0.2">
      <c r="A47" s="155" t="s">
        <v>137</v>
      </c>
      <c r="B47" s="155">
        <v>41710</v>
      </c>
      <c r="C47" s="155">
        <v>42500</v>
      </c>
      <c r="D47" s="155">
        <v>43300</v>
      </c>
      <c r="E47" s="155">
        <v>43400</v>
      </c>
      <c r="F47" s="155">
        <v>43800</v>
      </c>
      <c r="G47" s="155">
        <v>44500</v>
      </c>
      <c r="H47" s="155">
        <v>44900</v>
      </c>
      <c r="I47" s="155">
        <v>44900</v>
      </c>
      <c r="J47" s="155">
        <v>45700</v>
      </c>
      <c r="K47" s="155">
        <v>46200</v>
      </c>
      <c r="L47" s="155">
        <v>46495</v>
      </c>
      <c r="M47" s="155">
        <v>46742</v>
      </c>
      <c r="N47" s="155">
        <v>46894</v>
      </c>
      <c r="O47" s="155">
        <v>46649</v>
      </c>
      <c r="P47" s="155">
        <v>47125</v>
      </c>
      <c r="Q47" s="155">
        <v>47331</v>
      </c>
      <c r="R47" s="155">
        <v>47747</v>
      </c>
      <c r="S47" s="155">
        <v>47194</v>
      </c>
      <c r="T47" s="155">
        <v>47267</v>
      </c>
      <c r="U47" s="155">
        <v>47110</v>
      </c>
      <c r="V47" s="155">
        <v>47003</v>
      </c>
      <c r="W47" s="155">
        <v>47631</v>
      </c>
      <c r="X47" s="155">
        <v>48510</v>
      </c>
      <c r="Y47" s="155">
        <v>49295</v>
      </c>
      <c r="Z47" s="155">
        <v>49723</v>
      </c>
      <c r="AA47" s="155">
        <v>50513</v>
      </c>
      <c r="AB47" s="155">
        <v>51397</v>
      </c>
      <c r="AC47" s="155">
        <v>52343</v>
      </c>
      <c r="AD47" s="155">
        <v>52996</v>
      </c>
      <c r="AE47" s="155">
        <v>53602</v>
      </c>
      <c r="AF47" s="160">
        <v>54116</v>
      </c>
      <c r="AG47" s="160">
        <v>54615</v>
      </c>
      <c r="AH47" s="160">
        <v>55056</v>
      </c>
      <c r="AI47" s="160">
        <v>55615</v>
      </c>
      <c r="AJ47" s="160">
        <v>56140</v>
      </c>
      <c r="AK47" s="155">
        <v>56482</v>
      </c>
      <c r="AL47" s="155">
        <v>56447</v>
      </c>
      <c r="AM47" s="159"/>
      <c r="AN47" s="155" t="s">
        <v>137</v>
      </c>
      <c r="AO47" s="219">
        <v>8.4398955766562533E-3</v>
      </c>
      <c r="AP47" s="155">
        <v>68</v>
      </c>
      <c r="AR47" s="155" t="s">
        <v>137</v>
      </c>
      <c r="AS47" s="219">
        <v>7.7008861329210809E-3</v>
      </c>
      <c r="AT47" s="155">
        <v>69</v>
      </c>
      <c r="AV47" s="155" t="s">
        <v>137</v>
      </c>
      <c r="AW47" s="219">
        <v>7.7008861329210809E-3</v>
      </c>
      <c r="AX47" s="155">
        <v>69</v>
      </c>
      <c r="AZ47" s="155" t="s">
        <v>137</v>
      </c>
      <c r="BA47" s="219">
        <v>7.4877930129726433E-3</v>
      </c>
      <c r="BB47" s="155">
        <v>67</v>
      </c>
      <c r="BD47" s="155" t="s">
        <v>137</v>
      </c>
      <c r="BE47" s="219">
        <v>8.4227339091855757E-3</v>
      </c>
      <c r="BF47" s="155">
        <v>63</v>
      </c>
      <c r="BH47" s="155" t="s">
        <v>137</v>
      </c>
      <c r="BI47" s="219">
        <v>1.1508893231620743E-2</v>
      </c>
      <c r="BJ47" s="155">
        <v>51</v>
      </c>
      <c r="BL47" s="155" t="s">
        <v>137</v>
      </c>
      <c r="BM47" s="219">
        <v>7.0534683610756765E-3</v>
      </c>
      <c r="BN47" s="155">
        <v>49</v>
      </c>
      <c r="BP47" s="155" t="s">
        <v>137</v>
      </c>
      <c r="BQ47" s="159">
        <v>0.35332054663150325</v>
      </c>
      <c r="BR47" s="155">
        <v>68</v>
      </c>
      <c r="BT47" s="155" t="s">
        <v>137</v>
      </c>
      <c r="BU47" s="159">
        <v>0.26847191011235955</v>
      </c>
      <c r="BV47" s="155">
        <v>69</v>
      </c>
      <c r="BX47" s="155" t="s">
        <v>137</v>
      </c>
      <c r="BY47" s="159">
        <v>0.21404452091622755</v>
      </c>
      <c r="BZ47" s="155">
        <v>66</v>
      </c>
      <c r="CB47" s="155" t="s">
        <v>137</v>
      </c>
      <c r="CC47" s="159">
        <v>0.19260104371342249</v>
      </c>
      <c r="CD47" s="155">
        <v>63</v>
      </c>
      <c r="CF47" s="155" t="s">
        <v>137</v>
      </c>
      <c r="CG47" s="159">
        <v>0.20092334531838393</v>
      </c>
      <c r="CH47" s="155">
        <v>51</v>
      </c>
      <c r="CJ47" s="155" t="s">
        <v>137</v>
      </c>
      <c r="CK47" s="159">
        <v>0.11747470948072773</v>
      </c>
      <c r="CL47" s="155">
        <v>53</v>
      </c>
      <c r="CN47" s="155" t="s">
        <v>137</v>
      </c>
      <c r="CO47" s="159">
        <v>4.307413703895336E-2</v>
      </c>
      <c r="CP47" s="155">
        <v>49</v>
      </c>
    </row>
    <row r="48" spans="1:94" x14ac:dyDescent="0.2">
      <c r="A48" s="155" t="s">
        <v>138</v>
      </c>
      <c r="B48" s="155">
        <v>42804</v>
      </c>
      <c r="C48" s="155">
        <v>44600</v>
      </c>
      <c r="D48" s="155">
        <v>45400</v>
      </c>
      <c r="E48" s="155">
        <v>47400</v>
      </c>
      <c r="F48" s="155">
        <v>48600</v>
      </c>
      <c r="G48" s="155">
        <v>50500</v>
      </c>
      <c r="H48" s="155">
        <v>51800</v>
      </c>
      <c r="I48" s="155">
        <v>53600</v>
      </c>
      <c r="J48" s="155">
        <v>55200</v>
      </c>
      <c r="K48" s="155">
        <v>57000</v>
      </c>
      <c r="L48" s="155">
        <v>58580</v>
      </c>
      <c r="M48" s="155">
        <v>60192</v>
      </c>
      <c r="N48" s="155">
        <v>61579</v>
      </c>
      <c r="O48" s="155">
        <v>62553</v>
      </c>
      <c r="P48" s="155">
        <v>64016</v>
      </c>
      <c r="Q48" s="155">
        <v>65084</v>
      </c>
      <c r="R48" s="155">
        <v>65758</v>
      </c>
      <c r="S48" s="155">
        <v>66408</v>
      </c>
      <c r="T48" s="155">
        <v>67535</v>
      </c>
      <c r="U48" s="155">
        <v>68357</v>
      </c>
      <c r="V48" s="155">
        <v>70268</v>
      </c>
      <c r="W48" s="155">
        <v>71902</v>
      </c>
      <c r="X48" s="155">
        <v>73596</v>
      </c>
      <c r="Y48" s="155">
        <v>75711</v>
      </c>
      <c r="Z48" s="155">
        <v>78004</v>
      </c>
      <c r="AA48" s="155">
        <v>80030</v>
      </c>
      <c r="AB48" s="155">
        <v>81750</v>
      </c>
      <c r="AC48" s="155">
        <v>84088</v>
      </c>
      <c r="AD48" s="155">
        <v>86016</v>
      </c>
      <c r="AE48" s="155">
        <v>87825</v>
      </c>
      <c r="AF48" s="160">
        <v>89631</v>
      </c>
      <c r="AG48" s="160">
        <v>90981</v>
      </c>
      <c r="AH48" s="160">
        <v>92424</v>
      </c>
      <c r="AI48" s="160">
        <v>93821</v>
      </c>
      <c r="AJ48" s="160">
        <v>95474</v>
      </c>
      <c r="AK48" s="155">
        <v>97217</v>
      </c>
      <c r="AL48" s="155">
        <v>99033</v>
      </c>
      <c r="AM48" s="159"/>
      <c r="AN48" s="155" t="s">
        <v>138</v>
      </c>
      <c r="AO48" s="219">
        <v>2.3574178902066256E-2</v>
      </c>
      <c r="AP48" s="155">
        <v>10</v>
      </c>
      <c r="AR48" s="155" t="s">
        <v>138</v>
      </c>
      <c r="AS48" s="219">
        <v>2.1962864043669539E-2</v>
      </c>
      <c r="AT48" s="155">
        <v>10</v>
      </c>
      <c r="AV48" s="155" t="s">
        <v>138</v>
      </c>
      <c r="AW48" s="219">
        <v>2.1962864043669539E-2</v>
      </c>
      <c r="AX48" s="155">
        <v>10</v>
      </c>
      <c r="AZ48" s="155" t="s">
        <v>138</v>
      </c>
      <c r="BA48" s="219">
        <v>2.0399897846254955E-2</v>
      </c>
      <c r="BB48" s="155">
        <v>17</v>
      </c>
      <c r="BD48" s="155" t="s">
        <v>138</v>
      </c>
      <c r="BE48" s="219">
        <v>2.0190379462547536E-2</v>
      </c>
      <c r="BF48" s="155">
        <v>19</v>
      </c>
      <c r="BH48" s="155" t="s">
        <v>138</v>
      </c>
      <c r="BI48" s="219">
        <v>2.1677658151187718E-2</v>
      </c>
      <c r="BJ48" s="155">
        <v>20</v>
      </c>
      <c r="BL48" s="155" t="s">
        <v>138</v>
      </c>
      <c r="BM48" s="219">
        <v>1.6764283880139397E-2</v>
      </c>
      <c r="BN48" s="155">
        <v>24</v>
      </c>
      <c r="BP48" s="155" t="s">
        <v>138</v>
      </c>
      <c r="BQ48" s="159">
        <v>1.3136389122511916</v>
      </c>
      <c r="BR48" s="155">
        <v>10</v>
      </c>
      <c r="BT48" s="155" t="s">
        <v>138</v>
      </c>
      <c r="BU48" s="159">
        <v>0.96104950495049501</v>
      </c>
      <c r="BV48" s="155">
        <v>10</v>
      </c>
      <c r="BX48" s="155" t="s">
        <v>138</v>
      </c>
      <c r="BY48" s="159">
        <v>0.69055991806077155</v>
      </c>
      <c r="BZ48" s="155">
        <v>17</v>
      </c>
      <c r="CB48" s="155" t="s">
        <v>138</v>
      </c>
      <c r="CC48" s="159">
        <v>0.5216182164587303</v>
      </c>
      <c r="CD48" s="155">
        <v>19</v>
      </c>
      <c r="CF48" s="155" t="s">
        <v>138</v>
      </c>
      <c r="CG48" s="159">
        <v>0.40936130244207891</v>
      </c>
      <c r="CH48" s="155">
        <v>20</v>
      </c>
      <c r="CJ48" s="155" t="s">
        <v>138</v>
      </c>
      <c r="CK48" s="159">
        <v>0.23744845682868923</v>
      </c>
      <c r="CL48" s="155">
        <v>22</v>
      </c>
      <c r="CN48" s="155" t="s">
        <v>138</v>
      </c>
      <c r="CO48" s="159">
        <v>0.10489674331425511</v>
      </c>
      <c r="CP48" s="155">
        <v>24</v>
      </c>
    </row>
    <row r="49" spans="1:94" x14ac:dyDescent="0.2">
      <c r="A49" s="155" t="s">
        <v>139</v>
      </c>
      <c r="B49" s="155">
        <v>24439</v>
      </c>
      <c r="C49" s="155">
        <v>23200</v>
      </c>
      <c r="D49" s="155">
        <v>23200</v>
      </c>
      <c r="E49" s="155">
        <v>23400</v>
      </c>
      <c r="F49" s="155">
        <v>22800</v>
      </c>
      <c r="G49" s="155">
        <v>23100</v>
      </c>
      <c r="H49" s="155">
        <v>23000</v>
      </c>
      <c r="I49" s="155">
        <v>23100</v>
      </c>
      <c r="J49" s="155">
        <v>23200</v>
      </c>
      <c r="K49" s="155">
        <v>23400</v>
      </c>
      <c r="L49" s="155">
        <v>23368</v>
      </c>
      <c r="M49" s="155">
        <v>23300</v>
      </c>
      <c r="N49" s="155">
        <v>23270</v>
      </c>
      <c r="O49" s="155">
        <v>23422</v>
      </c>
      <c r="P49" s="155">
        <v>23329</v>
      </c>
      <c r="Q49" s="155">
        <v>23375</v>
      </c>
      <c r="R49" s="155">
        <v>23386</v>
      </c>
      <c r="S49" s="155">
        <v>23046</v>
      </c>
      <c r="T49" s="155">
        <v>22802</v>
      </c>
      <c r="U49" s="155">
        <v>22581</v>
      </c>
      <c r="V49" s="155">
        <v>22355</v>
      </c>
      <c r="W49" s="155">
        <v>22393</v>
      </c>
      <c r="X49" s="155">
        <v>22457</v>
      </c>
      <c r="Y49" s="155">
        <v>22690</v>
      </c>
      <c r="Z49" s="155">
        <v>22637</v>
      </c>
      <c r="AA49" s="155">
        <v>22693</v>
      </c>
      <c r="AB49" s="155">
        <v>22651</v>
      </c>
      <c r="AC49" s="155">
        <v>22673</v>
      </c>
      <c r="AD49" s="155">
        <v>22578</v>
      </c>
      <c r="AE49" s="155">
        <v>22579</v>
      </c>
      <c r="AF49" s="160">
        <v>22952</v>
      </c>
      <c r="AG49" s="160">
        <v>23129</v>
      </c>
      <c r="AH49" s="160">
        <v>23802</v>
      </c>
      <c r="AI49" s="160">
        <v>23627</v>
      </c>
      <c r="AJ49" s="160">
        <v>23483</v>
      </c>
      <c r="AK49" s="155">
        <v>23574</v>
      </c>
      <c r="AL49" s="155">
        <v>23581</v>
      </c>
      <c r="AM49" s="159"/>
      <c r="AN49" s="155" t="s">
        <v>139</v>
      </c>
      <c r="AO49" s="219">
        <v>-9.922549975909245E-4</v>
      </c>
      <c r="AP49" s="155">
        <v>96</v>
      </c>
      <c r="AR49" s="155" t="s">
        <v>139</v>
      </c>
      <c r="AS49" s="219">
        <v>6.6501733259860529E-4</v>
      </c>
      <c r="AT49" s="155">
        <v>92</v>
      </c>
      <c r="AV49" s="155" t="s">
        <v>139</v>
      </c>
      <c r="AW49" s="219">
        <v>6.6501733259860529E-4</v>
      </c>
      <c r="AX49" s="155">
        <v>92</v>
      </c>
      <c r="AZ49" s="155" t="s">
        <v>139</v>
      </c>
      <c r="BA49" s="219">
        <v>3.4905082505143348E-4</v>
      </c>
      <c r="BB49" s="155">
        <v>91</v>
      </c>
      <c r="BD49" s="155" t="s">
        <v>139</v>
      </c>
      <c r="BE49" s="219">
        <v>4.1790767319915822E-4</v>
      </c>
      <c r="BF49" s="155">
        <v>92</v>
      </c>
      <c r="BH49" s="155" t="s">
        <v>139</v>
      </c>
      <c r="BI49" s="219">
        <v>3.3425296693434525E-3</v>
      </c>
      <c r="BJ49" s="155">
        <v>90</v>
      </c>
      <c r="BL49" s="155" t="s">
        <v>139</v>
      </c>
      <c r="BM49" s="219">
        <v>4.516204844387639E-3</v>
      </c>
      <c r="BN49" s="155">
        <v>66</v>
      </c>
      <c r="BP49" s="155" t="s">
        <v>139</v>
      </c>
      <c r="BQ49" s="159">
        <v>-3.5107819468881703E-2</v>
      </c>
      <c r="BR49" s="155">
        <v>96</v>
      </c>
      <c r="BT49" s="155" t="s">
        <v>139</v>
      </c>
      <c r="BU49" s="159">
        <v>2.0822510822510822E-2</v>
      </c>
      <c r="BV49" s="155">
        <v>92</v>
      </c>
      <c r="BX49" s="155" t="s">
        <v>139</v>
      </c>
      <c r="BY49" s="159">
        <v>9.1150290996234173E-3</v>
      </c>
      <c r="BZ49" s="155">
        <v>91</v>
      </c>
      <c r="CB49" s="155" t="s">
        <v>139</v>
      </c>
      <c r="CC49" s="159">
        <v>8.81283422459893E-3</v>
      </c>
      <c r="CD49" s="155">
        <v>92</v>
      </c>
      <c r="CF49" s="155" t="s">
        <v>139</v>
      </c>
      <c r="CG49" s="159">
        <v>5.4842317154998883E-2</v>
      </c>
      <c r="CH49" s="155">
        <v>90</v>
      </c>
      <c r="CJ49" s="155" t="s">
        <v>139</v>
      </c>
      <c r="CK49" s="159">
        <v>3.9131009562420133E-2</v>
      </c>
      <c r="CL49" s="155">
        <v>85</v>
      </c>
      <c r="CN49" s="155" t="s">
        <v>139</v>
      </c>
      <c r="CO49" s="159">
        <v>2.7405019170442663E-2</v>
      </c>
      <c r="CP49" s="155">
        <v>66</v>
      </c>
    </row>
    <row r="50" spans="1:94" x14ac:dyDescent="0.2">
      <c r="A50" s="155" t="s">
        <v>140</v>
      </c>
      <c r="B50" s="155">
        <v>16436</v>
      </c>
      <c r="C50" s="155">
        <v>17000</v>
      </c>
      <c r="D50" s="155">
        <v>17500</v>
      </c>
      <c r="E50" s="155">
        <v>17500</v>
      </c>
      <c r="F50" s="155">
        <v>17700</v>
      </c>
      <c r="G50" s="155">
        <v>19100</v>
      </c>
      <c r="H50" s="155">
        <v>18800</v>
      </c>
      <c r="I50" s="155">
        <v>19200</v>
      </c>
      <c r="J50" s="155">
        <v>18800</v>
      </c>
      <c r="K50" s="155">
        <v>19600</v>
      </c>
      <c r="L50" s="155">
        <v>20383</v>
      </c>
      <c r="M50" s="155">
        <v>20789</v>
      </c>
      <c r="N50" s="155">
        <v>21077</v>
      </c>
      <c r="O50" s="155">
        <v>21186</v>
      </c>
      <c r="P50" s="155">
        <v>21443</v>
      </c>
      <c r="Q50" s="155">
        <v>21612</v>
      </c>
      <c r="R50" s="155">
        <v>22046</v>
      </c>
      <c r="S50" s="155">
        <v>22583</v>
      </c>
      <c r="T50" s="155">
        <v>22519</v>
      </c>
      <c r="U50" s="155">
        <v>22775</v>
      </c>
      <c r="V50" s="155">
        <v>22950</v>
      </c>
      <c r="W50" s="155">
        <v>23293</v>
      </c>
      <c r="X50" s="155">
        <v>24235</v>
      </c>
      <c r="Y50" s="155">
        <v>25440</v>
      </c>
      <c r="Z50" s="155">
        <v>27429</v>
      </c>
      <c r="AA50" s="155">
        <v>28452</v>
      </c>
      <c r="AB50" s="155">
        <v>29424</v>
      </c>
      <c r="AC50" s="155">
        <v>30314</v>
      </c>
      <c r="AD50" s="155">
        <v>31580</v>
      </c>
      <c r="AE50" s="155">
        <v>32833</v>
      </c>
      <c r="AF50" s="160">
        <v>33900</v>
      </c>
      <c r="AG50" s="160">
        <v>34867</v>
      </c>
      <c r="AH50" s="160">
        <v>36131</v>
      </c>
      <c r="AI50" s="160">
        <v>37461</v>
      </c>
      <c r="AJ50" s="160">
        <v>39193</v>
      </c>
      <c r="AK50" s="155">
        <v>41016</v>
      </c>
      <c r="AL50" s="155">
        <v>42303</v>
      </c>
      <c r="AM50" s="159"/>
      <c r="AN50" s="155" t="s">
        <v>140</v>
      </c>
      <c r="AO50" s="219">
        <v>2.6608514921364401E-2</v>
      </c>
      <c r="AP50" s="155">
        <v>7</v>
      </c>
      <c r="AR50" s="155" t="s">
        <v>140</v>
      </c>
      <c r="AS50" s="219">
        <v>2.5982443015303502E-2</v>
      </c>
      <c r="AT50" s="155">
        <v>8</v>
      </c>
      <c r="AV50" s="155" t="s">
        <v>140</v>
      </c>
      <c r="AW50" s="219">
        <v>2.5982443015303502E-2</v>
      </c>
      <c r="AX50" s="155">
        <v>8</v>
      </c>
      <c r="AZ50" s="155" t="s">
        <v>140</v>
      </c>
      <c r="BA50" s="219">
        <v>2.8480996760607225E-2</v>
      </c>
      <c r="BB50" s="155">
        <v>8</v>
      </c>
      <c r="BD50" s="155" t="s">
        <v>140</v>
      </c>
      <c r="BE50" s="219">
        <v>3.2498295227250562E-2</v>
      </c>
      <c r="BF50" s="155">
        <v>7</v>
      </c>
      <c r="BH50" s="155" t="s">
        <v>140</v>
      </c>
      <c r="BI50" s="219">
        <v>3.8961082071006459E-2</v>
      </c>
      <c r="BJ50" s="155">
        <v>4</v>
      </c>
      <c r="BL50" s="155" t="s">
        <v>140</v>
      </c>
      <c r="BM50" s="219">
        <v>3.759669127461307E-2</v>
      </c>
      <c r="BN50" s="155">
        <v>5</v>
      </c>
      <c r="BP50" s="155" t="s">
        <v>140</v>
      </c>
      <c r="BQ50" s="159">
        <v>1.5738014115356533</v>
      </c>
      <c r="BR50" s="155">
        <v>7</v>
      </c>
      <c r="BT50" s="155" t="s">
        <v>140</v>
      </c>
      <c r="BU50" s="159">
        <v>1.2148167539267016</v>
      </c>
      <c r="BV50" s="155">
        <v>8</v>
      </c>
      <c r="BX50" s="155" t="s">
        <v>140</v>
      </c>
      <c r="BY50" s="159">
        <v>1.0754059755678751</v>
      </c>
      <c r="BZ50" s="155">
        <v>8</v>
      </c>
      <c r="CB50" s="155" t="s">
        <v>140</v>
      </c>
      <c r="CC50" s="159">
        <v>0.95738478622987233</v>
      </c>
      <c r="CD50" s="155">
        <v>7</v>
      </c>
      <c r="CF50" s="155" t="s">
        <v>140</v>
      </c>
      <c r="CG50" s="159">
        <v>0.84326797385620911</v>
      </c>
      <c r="CH50" s="155">
        <v>4</v>
      </c>
      <c r="CJ50" s="155" t="s">
        <v>140</v>
      </c>
      <c r="CK50" s="159">
        <v>0.4868199072121468</v>
      </c>
      <c r="CL50" s="155">
        <v>5</v>
      </c>
      <c r="CN50" s="155" t="s">
        <v>140</v>
      </c>
      <c r="CO50" s="159">
        <v>0.24787610619469028</v>
      </c>
      <c r="CP50" s="155">
        <v>5</v>
      </c>
    </row>
    <row r="51" spans="1:94" x14ac:dyDescent="0.2">
      <c r="A51" s="155" t="s">
        <v>141</v>
      </c>
      <c r="B51" s="155">
        <v>5571</v>
      </c>
      <c r="C51" s="155">
        <v>5700</v>
      </c>
      <c r="D51" s="155">
        <v>5600</v>
      </c>
      <c r="E51" s="155">
        <v>5600</v>
      </c>
      <c r="F51" s="155">
        <v>5500</v>
      </c>
      <c r="G51" s="155">
        <v>5700</v>
      </c>
      <c r="H51" s="155">
        <v>5900</v>
      </c>
      <c r="I51" s="155">
        <v>6000</v>
      </c>
      <c r="J51" s="155">
        <v>5900</v>
      </c>
      <c r="K51" s="155">
        <v>6000</v>
      </c>
      <c r="L51" s="155">
        <v>5873</v>
      </c>
      <c r="M51" s="155">
        <v>5922</v>
      </c>
      <c r="N51" s="155">
        <v>5879</v>
      </c>
      <c r="O51" s="155">
        <v>5865</v>
      </c>
      <c r="P51" s="155">
        <v>5861</v>
      </c>
      <c r="Q51" s="155">
        <v>5834</v>
      </c>
      <c r="R51" s="155">
        <v>5756</v>
      </c>
      <c r="S51" s="155">
        <v>5625</v>
      </c>
      <c r="T51" s="155">
        <v>5503</v>
      </c>
      <c r="U51" s="155">
        <v>5490</v>
      </c>
      <c r="V51" s="155">
        <v>5406</v>
      </c>
      <c r="W51" s="155">
        <v>5380</v>
      </c>
      <c r="X51" s="155">
        <v>5425</v>
      </c>
      <c r="Y51" s="155">
        <v>5381</v>
      </c>
      <c r="Z51" s="155">
        <v>5346</v>
      </c>
      <c r="AA51" s="155">
        <v>5365</v>
      </c>
      <c r="AB51" s="155">
        <v>5409</v>
      </c>
      <c r="AC51" s="155">
        <v>5484</v>
      </c>
      <c r="AD51" s="155">
        <v>5915</v>
      </c>
      <c r="AE51" s="155">
        <v>5914</v>
      </c>
      <c r="AF51" s="160">
        <v>5790</v>
      </c>
      <c r="AG51" s="160">
        <v>5690</v>
      </c>
      <c r="AH51" s="160">
        <v>5738</v>
      </c>
      <c r="AI51" s="160">
        <v>5545</v>
      </c>
      <c r="AJ51" s="160">
        <v>5478</v>
      </c>
      <c r="AK51" s="155">
        <v>5413</v>
      </c>
      <c r="AL51" s="155">
        <v>5341</v>
      </c>
      <c r="AM51" s="159"/>
      <c r="AN51" s="155" t="s">
        <v>141</v>
      </c>
      <c r="AO51" s="219">
        <v>-1.1704719538557784E-3</v>
      </c>
      <c r="AP51" s="155">
        <v>97</v>
      </c>
      <c r="AR51" s="155" t="s">
        <v>141</v>
      </c>
      <c r="AS51" s="219">
        <v>-2.0962923965757163E-3</v>
      </c>
      <c r="AT51" s="155">
        <v>97</v>
      </c>
      <c r="AV51" s="155" t="s">
        <v>141</v>
      </c>
      <c r="AW51" s="219">
        <v>-2.0962923965757163E-3</v>
      </c>
      <c r="AX51" s="155">
        <v>96</v>
      </c>
      <c r="AZ51" s="155" t="s">
        <v>141</v>
      </c>
      <c r="BA51" s="219">
        <v>-3.6453654323471696E-3</v>
      </c>
      <c r="BB51" s="155">
        <v>98</v>
      </c>
      <c r="BD51" s="155" t="s">
        <v>141</v>
      </c>
      <c r="BE51" s="219">
        <v>-4.1954586595231991E-3</v>
      </c>
      <c r="BF51" s="155">
        <v>99</v>
      </c>
      <c r="BH51" s="155" t="s">
        <v>141</v>
      </c>
      <c r="BI51" s="219">
        <v>-7.5574843422610005E-4</v>
      </c>
      <c r="BJ51" s="155">
        <v>96</v>
      </c>
      <c r="BL51" s="155" t="s">
        <v>141</v>
      </c>
      <c r="BM51" s="219">
        <v>-1.3363141437164883E-2</v>
      </c>
      <c r="BN51" s="155">
        <v>100</v>
      </c>
      <c r="BP51" s="155" t="s">
        <v>141</v>
      </c>
      <c r="BQ51" s="159">
        <v>-4.1285227068748875E-2</v>
      </c>
      <c r="BR51" s="155">
        <v>97</v>
      </c>
      <c r="BT51" s="155" t="s">
        <v>141</v>
      </c>
      <c r="BU51" s="159">
        <v>-6.2982456140350876E-2</v>
      </c>
      <c r="BV51" s="155">
        <v>97</v>
      </c>
      <c r="BX51" s="155" t="s">
        <v>141</v>
      </c>
      <c r="BY51" s="159">
        <v>-9.0584028605482717E-2</v>
      </c>
      <c r="BZ51" s="155">
        <v>98</v>
      </c>
      <c r="CB51" s="155" t="s">
        <v>141</v>
      </c>
      <c r="CC51" s="159">
        <v>-8.4504628042509425E-2</v>
      </c>
      <c r="CD51" s="155">
        <v>99</v>
      </c>
      <c r="CF51" s="155" t="s">
        <v>141</v>
      </c>
      <c r="CG51" s="159">
        <v>-1.2023677395486496E-2</v>
      </c>
      <c r="CH51" s="155">
        <v>96</v>
      </c>
      <c r="CJ51" s="155" t="s">
        <v>141</v>
      </c>
      <c r="CK51" s="159">
        <v>-4.4734389561975766E-3</v>
      </c>
      <c r="CL51" s="155">
        <v>93</v>
      </c>
      <c r="CN51" s="155" t="s">
        <v>141</v>
      </c>
      <c r="CO51" s="159">
        <v>-7.7547495682210713E-2</v>
      </c>
      <c r="CP51" s="155">
        <v>100</v>
      </c>
    </row>
    <row r="52" spans="1:94" x14ac:dyDescent="0.2">
      <c r="A52" s="155" t="s">
        <v>142</v>
      </c>
      <c r="B52" s="155">
        <v>72197</v>
      </c>
      <c r="C52" s="155">
        <v>73900</v>
      </c>
      <c r="D52" s="155">
        <v>76100</v>
      </c>
      <c r="E52" s="155">
        <v>76900</v>
      </c>
      <c r="F52" s="155">
        <v>78000</v>
      </c>
      <c r="G52" s="155">
        <v>78400</v>
      </c>
      <c r="H52" s="155">
        <v>77900</v>
      </c>
      <c r="I52" s="155">
        <v>79000</v>
      </c>
      <c r="J52" s="155">
        <v>80400</v>
      </c>
      <c r="K52" s="155">
        <v>81800</v>
      </c>
      <c r="L52" s="155">
        <v>82538</v>
      </c>
      <c r="M52" s="155">
        <v>83819</v>
      </c>
      <c r="N52" s="155">
        <v>84487</v>
      </c>
      <c r="O52" s="155">
        <v>84787</v>
      </c>
      <c r="P52" s="155">
        <v>86309</v>
      </c>
      <c r="Q52" s="155">
        <v>87100</v>
      </c>
      <c r="R52" s="155">
        <v>87931</v>
      </c>
      <c r="S52" s="155">
        <v>89348</v>
      </c>
      <c r="T52" s="155">
        <v>90862</v>
      </c>
      <c r="U52" s="155">
        <v>91787</v>
      </c>
      <c r="V52" s="155">
        <v>93711</v>
      </c>
      <c r="W52" s="155">
        <v>95901</v>
      </c>
      <c r="X52" s="155">
        <v>97517</v>
      </c>
      <c r="Y52" s="155">
        <v>99474</v>
      </c>
      <c r="Z52" s="155">
        <v>101802</v>
      </c>
      <c r="AA52" s="155">
        <v>104653</v>
      </c>
      <c r="AB52" s="155">
        <v>107743</v>
      </c>
      <c r="AC52" s="155">
        <v>111061</v>
      </c>
      <c r="AD52" s="155">
        <v>115686</v>
      </c>
      <c r="AE52" s="155">
        <v>120031</v>
      </c>
      <c r="AF52" s="160">
        <v>123610</v>
      </c>
      <c r="AG52" s="160">
        <v>127299</v>
      </c>
      <c r="AH52" s="160">
        <v>130512</v>
      </c>
      <c r="AI52" s="160">
        <v>133356</v>
      </c>
      <c r="AJ52" s="160">
        <v>136828</v>
      </c>
      <c r="AK52" s="155">
        <v>140924</v>
      </c>
      <c r="AL52" s="155">
        <v>146206</v>
      </c>
      <c r="AM52" s="159"/>
      <c r="AN52" s="155" t="s">
        <v>142</v>
      </c>
      <c r="AO52" s="219">
        <v>1.9793853609001877E-2</v>
      </c>
      <c r="AP52" s="155">
        <v>21</v>
      </c>
      <c r="AR52" s="155" t="s">
        <v>142</v>
      </c>
      <c r="AS52" s="219">
        <v>2.0306414946303697E-2</v>
      </c>
      <c r="AT52" s="155">
        <v>16</v>
      </c>
      <c r="AV52" s="155" t="s">
        <v>142</v>
      </c>
      <c r="AW52" s="219">
        <v>2.0306414946303697E-2</v>
      </c>
      <c r="AX52" s="155">
        <v>16</v>
      </c>
      <c r="AZ52" s="155" t="s">
        <v>142</v>
      </c>
      <c r="BA52" s="219">
        <v>2.2234261637311681E-2</v>
      </c>
      <c r="BB52" s="155">
        <v>14</v>
      </c>
      <c r="BD52" s="155" t="s">
        <v>142</v>
      </c>
      <c r="BE52" s="219">
        <v>2.4971438913937716E-2</v>
      </c>
      <c r="BF52" s="155">
        <v>12</v>
      </c>
      <c r="BH52" s="155" t="s">
        <v>142</v>
      </c>
      <c r="BI52" s="219">
        <v>2.8190090617208341E-2</v>
      </c>
      <c r="BJ52" s="155">
        <v>12</v>
      </c>
      <c r="BL52" s="155" t="s">
        <v>142</v>
      </c>
      <c r="BM52" s="219">
        <v>2.8375997387765084E-2</v>
      </c>
      <c r="BN52" s="155">
        <v>9</v>
      </c>
      <c r="BP52" s="155" t="s">
        <v>142</v>
      </c>
      <c r="BQ52" s="159">
        <v>1.0250979957615967</v>
      </c>
      <c r="BR52" s="155">
        <v>21</v>
      </c>
      <c r="BT52" s="155" t="s">
        <v>142</v>
      </c>
      <c r="BU52" s="159">
        <v>0.86487244897959181</v>
      </c>
      <c r="BV52" s="155">
        <v>16</v>
      </c>
      <c r="BX52" s="155" t="s">
        <v>142</v>
      </c>
      <c r="BY52" s="159">
        <v>0.77137803193680488</v>
      </c>
      <c r="BZ52" s="155">
        <v>14</v>
      </c>
      <c r="CB52" s="155" t="s">
        <v>142</v>
      </c>
      <c r="CC52" s="159">
        <v>0.67859931113662453</v>
      </c>
      <c r="CD52" s="155">
        <v>12</v>
      </c>
      <c r="CF52" s="155" t="s">
        <v>142</v>
      </c>
      <c r="CG52" s="159">
        <v>0.56017970142245843</v>
      </c>
      <c r="CH52" s="155">
        <v>12</v>
      </c>
      <c r="CJ52" s="155" t="s">
        <v>142</v>
      </c>
      <c r="CK52" s="159">
        <v>0.3970550294783714</v>
      </c>
      <c r="CL52" s="155">
        <v>9</v>
      </c>
      <c r="CN52" s="155" t="s">
        <v>142</v>
      </c>
      <c r="CO52" s="159">
        <v>0.18280074427635304</v>
      </c>
      <c r="CP52" s="155">
        <v>9</v>
      </c>
    </row>
    <row r="53" spans="1:94" x14ac:dyDescent="0.2">
      <c r="A53" s="155" t="s">
        <v>143</v>
      </c>
      <c r="B53" s="155">
        <v>21593</v>
      </c>
      <c r="C53" s="155">
        <v>22400</v>
      </c>
      <c r="D53" s="155">
        <v>23300</v>
      </c>
      <c r="E53" s="155">
        <v>23900</v>
      </c>
      <c r="F53" s="155">
        <v>24400</v>
      </c>
      <c r="G53" s="155">
        <v>24300</v>
      </c>
      <c r="H53" s="155">
        <v>24600</v>
      </c>
      <c r="I53" s="155">
        <v>25000</v>
      </c>
      <c r="J53" s="155">
        <v>24600</v>
      </c>
      <c r="K53" s="155">
        <v>25100</v>
      </c>
      <c r="L53" s="155">
        <v>25811</v>
      </c>
      <c r="M53" s="155">
        <v>26239</v>
      </c>
      <c r="N53" s="155">
        <v>26400</v>
      </c>
      <c r="O53" s="155">
        <v>26558</v>
      </c>
      <c r="P53" s="155">
        <v>26742</v>
      </c>
      <c r="Q53" s="155">
        <v>26702</v>
      </c>
      <c r="R53" s="155">
        <v>26273</v>
      </c>
      <c r="S53" s="155">
        <v>26512</v>
      </c>
      <c r="T53" s="155">
        <v>26606</v>
      </c>
      <c r="U53" s="155">
        <v>26794</v>
      </c>
      <c r="V53" s="155">
        <v>26926</v>
      </c>
      <c r="W53" s="155">
        <v>27464</v>
      </c>
      <c r="X53" s="155">
        <v>28026</v>
      </c>
      <c r="Y53" s="155">
        <v>28407</v>
      </c>
      <c r="Z53" s="155">
        <v>29373</v>
      </c>
      <c r="AA53" s="155">
        <v>30148</v>
      </c>
      <c r="AB53" s="155">
        <v>30797</v>
      </c>
      <c r="AC53" s="155">
        <v>31301</v>
      </c>
      <c r="AD53" s="155">
        <v>31851</v>
      </c>
      <c r="AE53" s="155">
        <v>32420</v>
      </c>
      <c r="AF53" s="160">
        <v>33272</v>
      </c>
      <c r="AG53" s="160">
        <v>33508</v>
      </c>
      <c r="AH53" s="160">
        <v>33881</v>
      </c>
      <c r="AI53" s="160">
        <v>34664</v>
      </c>
      <c r="AJ53" s="160">
        <v>35187</v>
      </c>
      <c r="AK53" s="155">
        <v>35368</v>
      </c>
      <c r="AL53" s="155">
        <v>35562</v>
      </c>
      <c r="AM53" s="159"/>
      <c r="AN53" s="155" t="s">
        <v>143</v>
      </c>
      <c r="AO53" s="219">
        <v>1.3955043556267421E-2</v>
      </c>
      <c r="AP53" s="155">
        <v>34</v>
      </c>
      <c r="AR53" s="155" t="s">
        <v>143</v>
      </c>
      <c r="AS53" s="219">
        <v>1.2359670096665942E-2</v>
      </c>
      <c r="AT53" s="155">
        <v>37</v>
      </c>
      <c r="AV53" s="155" t="s">
        <v>143</v>
      </c>
      <c r="AW53" s="219">
        <v>1.2359670096665942E-2</v>
      </c>
      <c r="AX53" s="155">
        <v>37</v>
      </c>
      <c r="AZ53" s="155" t="s">
        <v>143</v>
      </c>
      <c r="BA53" s="219">
        <v>1.2402313043496038E-2</v>
      </c>
      <c r="BB53" s="155">
        <v>40</v>
      </c>
      <c r="BD53" s="155" t="s">
        <v>143</v>
      </c>
      <c r="BE53" s="219">
        <v>1.3738237076535764E-2</v>
      </c>
      <c r="BF53" s="155">
        <v>36</v>
      </c>
      <c r="BH53" s="155" t="s">
        <v>143</v>
      </c>
      <c r="BI53" s="219">
        <v>1.753860697960441E-2</v>
      </c>
      <c r="BJ53" s="155">
        <v>29</v>
      </c>
      <c r="BL53" s="155" t="s">
        <v>143</v>
      </c>
      <c r="BM53" s="219">
        <v>1.1155336809960614E-2</v>
      </c>
      <c r="BN53" s="155">
        <v>40</v>
      </c>
      <c r="BP53" s="155" t="s">
        <v>143</v>
      </c>
      <c r="BQ53" s="159">
        <v>0.64692261381003102</v>
      </c>
      <c r="BR53" s="155">
        <v>34</v>
      </c>
      <c r="BT53" s="155" t="s">
        <v>143</v>
      </c>
      <c r="BU53" s="159">
        <v>0.46345679012345681</v>
      </c>
      <c r="BV53" s="155">
        <v>37</v>
      </c>
      <c r="BX53" s="155" t="s">
        <v>143</v>
      </c>
      <c r="BY53" s="159">
        <v>0.37778466545271394</v>
      </c>
      <c r="BZ53" s="155">
        <v>40</v>
      </c>
      <c r="CB53" s="155" t="s">
        <v>143</v>
      </c>
      <c r="CC53" s="159">
        <v>0.331810351284548</v>
      </c>
      <c r="CD53" s="155">
        <v>36</v>
      </c>
      <c r="CF53" s="155" t="s">
        <v>143</v>
      </c>
      <c r="CG53" s="159">
        <v>0.32073089207457478</v>
      </c>
      <c r="CH53" s="155">
        <v>29</v>
      </c>
      <c r="CJ53" s="155" t="s">
        <v>143</v>
      </c>
      <c r="CK53" s="159">
        <v>0.17958073504046704</v>
      </c>
      <c r="CL53" s="155">
        <v>34</v>
      </c>
      <c r="CN53" s="155" t="s">
        <v>143</v>
      </c>
      <c r="CO53" s="159">
        <v>6.8826641019475832E-2</v>
      </c>
      <c r="CP53" s="155">
        <v>40</v>
      </c>
    </row>
    <row r="54" spans="1:94" x14ac:dyDescent="0.2">
      <c r="A54" s="155" t="s">
        <v>144</v>
      </c>
      <c r="B54" s="155">
        <v>61737</v>
      </c>
      <c r="C54" s="155">
        <v>62800</v>
      </c>
      <c r="D54" s="155">
        <v>64200</v>
      </c>
      <c r="E54" s="155">
        <v>64400</v>
      </c>
      <c r="F54" s="155">
        <v>65300</v>
      </c>
      <c r="G54" s="155">
        <v>66800</v>
      </c>
      <c r="H54" s="155">
        <v>67600</v>
      </c>
      <c r="I54" s="155">
        <v>68200</v>
      </c>
      <c r="J54" s="155">
        <v>69400</v>
      </c>
      <c r="K54" s="155">
        <v>70200</v>
      </c>
      <c r="L54" s="155">
        <v>70599</v>
      </c>
      <c r="M54" s="155">
        <v>71441</v>
      </c>
      <c r="N54" s="155">
        <v>72058</v>
      </c>
      <c r="O54" s="155">
        <v>72559</v>
      </c>
      <c r="P54" s="155">
        <v>74092</v>
      </c>
      <c r="Q54" s="155">
        <v>75858</v>
      </c>
      <c r="R54" s="155">
        <v>77029</v>
      </c>
      <c r="S54" s="155">
        <v>77911</v>
      </c>
      <c r="T54" s="155">
        <v>78926</v>
      </c>
      <c r="U54" s="155">
        <v>80004</v>
      </c>
      <c r="V54" s="155">
        <v>81925</v>
      </c>
      <c r="W54" s="155">
        <v>84521</v>
      </c>
      <c r="X54" s="155">
        <v>87353</v>
      </c>
      <c r="Y54" s="155">
        <v>90285</v>
      </c>
      <c r="Z54" s="155">
        <v>93384</v>
      </c>
      <c r="AA54" s="155">
        <v>97914</v>
      </c>
      <c r="AB54" s="155">
        <v>102352</v>
      </c>
      <c r="AC54" s="155">
        <v>106905</v>
      </c>
      <c r="AD54" s="155">
        <v>112394</v>
      </c>
      <c r="AE54" s="155">
        <v>117765</v>
      </c>
      <c r="AF54" s="160">
        <v>123293</v>
      </c>
      <c r="AG54" s="160">
        <v>127868</v>
      </c>
      <c r="AH54" s="160">
        <v>132904</v>
      </c>
      <c r="AI54" s="160">
        <v>136943</v>
      </c>
      <c r="AJ54" s="160">
        <v>141761</v>
      </c>
      <c r="AK54" s="155">
        <v>146437</v>
      </c>
      <c r="AL54" s="155">
        <v>152143</v>
      </c>
      <c r="AM54" s="159"/>
      <c r="AN54" s="155" t="s">
        <v>144</v>
      </c>
      <c r="AO54" s="219">
        <v>2.5370302219835494E-2</v>
      </c>
      <c r="AP54" s="155">
        <v>8</v>
      </c>
      <c r="AR54" s="155" t="s">
        <v>144</v>
      </c>
      <c r="AS54" s="219">
        <v>2.6907836788328421E-2</v>
      </c>
      <c r="AT54" s="155">
        <v>7</v>
      </c>
      <c r="AV54" s="155" t="s">
        <v>144</v>
      </c>
      <c r="AW54" s="219">
        <v>2.6907836788328421E-2</v>
      </c>
      <c r="AX54" s="155">
        <v>7</v>
      </c>
      <c r="AZ54" s="155" t="s">
        <v>144</v>
      </c>
      <c r="BA54" s="219">
        <v>2.9971320036694005E-2</v>
      </c>
      <c r="BB54" s="155">
        <v>6</v>
      </c>
      <c r="BD54" s="155" t="s">
        <v>144</v>
      </c>
      <c r="BE54" s="219">
        <v>3.3696117531430536E-2</v>
      </c>
      <c r="BF54" s="155">
        <v>4</v>
      </c>
      <c r="BH54" s="155" t="s">
        <v>144</v>
      </c>
      <c r="BI54" s="219">
        <v>3.9446689337159224E-2</v>
      </c>
      <c r="BJ54" s="155">
        <v>2</v>
      </c>
      <c r="BL54" s="155" t="s">
        <v>144</v>
      </c>
      <c r="BM54" s="219">
        <v>3.5664108769930092E-2</v>
      </c>
      <c r="BN54" s="155">
        <v>7</v>
      </c>
      <c r="BP54" s="155" t="s">
        <v>144</v>
      </c>
      <c r="BQ54" s="159">
        <v>1.4643730663945447</v>
      </c>
      <c r="BR54" s="155">
        <v>8</v>
      </c>
      <c r="BT54" s="155" t="s">
        <v>144</v>
      </c>
      <c r="BU54" s="159">
        <v>1.2775898203592815</v>
      </c>
      <c r="BV54" s="155">
        <v>7</v>
      </c>
      <c r="BX54" s="155" t="s">
        <v>144</v>
      </c>
      <c r="BY54" s="159">
        <v>1.1550305245116785</v>
      </c>
      <c r="BZ54" s="155">
        <v>6</v>
      </c>
      <c r="CB54" s="155" t="s">
        <v>144</v>
      </c>
      <c r="CC54" s="159">
        <v>1.0056289382794168</v>
      </c>
      <c r="CD54" s="155">
        <v>4</v>
      </c>
      <c r="CF54" s="155" t="s">
        <v>144</v>
      </c>
      <c r="CG54" s="159">
        <v>0.85710100701861458</v>
      </c>
      <c r="CH54" s="155">
        <v>2</v>
      </c>
      <c r="CJ54" s="155" t="s">
        <v>144</v>
      </c>
      <c r="CK54" s="159">
        <v>0.55384316849480153</v>
      </c>
      <c r="CL54" s="155">
        <v>3</v>
      </c>
      <c r="CN54" s="155" t="s">
        <v>144</v>
      </c>
      <c r="CO54" s="159">
        <v>0.23399544175257314</v>
      </c>
      <c r="CP54" s="155">
        <v>7</v>
      </c>
    </row>
    <row r="55" spans="1:94" x14ac:dyDescent="0.2">
      <c r="A55" s="155" t="s">
        <v>145</v>
      </c>
      <c r="B55" s="155">
        <v>9779</v>
      </c>
      <c r="C55" s="155">
        <v>9900</v>
      </c>
      <c r="D55" s="155">
        <v>10000</v>
      </c>
      <c r="E55" s="155">
        <v>9800</v>
      </c>
      <c r="F55" s="155">
        <v>9600</v>
      </c>
      <c r="G55" s="155">
        <v>9800</v>
      </c>
      <c r="H55" s="155">
        <v>9800</v>
      </c>
      <c r="I55" s="155">
        <v>9700</v>
      </c>
      <c r="J55" s="155">
        <v>9800</v>
      </c>
      <c r="K55" s="155">
        <v>9600</v>
      </c>
      <c r="L55" s="155">
        <v>9705</v>
      </c>
      <c r="M55" s="155">
        <v>9688</v>
      </c>
      <c r="N55" s="155">
        <v>9712</v>
      </c>
      <c r="O55" s="155">
        <v>9760</v>
      </c>
      <c r="P55" s="155">
        <v>9338</v>
      </c>
      <c r="Q55" s="155">
        <v>9384</v>
      </c>
      <c r="R55" s="155">
        <v>9384</v>
      </c>
      <c r="S55" s="155">
        <v>9320</v>
      </c>
      <c r="T55" s="155">
        <v>9349</v>
      </c>
      <c r="U55" s="155">
        <v>9376</v>
      </c>
      <c r="V55" s="155">
        <v>9392</v>
      </c>
      <c r="W55" s="155">
        <v>9479</v>
      </c>
      <c r="X55" s="155">
        <v>9623</v>
      </c>
      <c r="Y55" s="155">
        <v>9902</v>
      </c>
      <c r="Z55" s="155">
        <v>10059</v>
      </c>
      <c r="AA55" s="155">
        <v>10104</v>
      </c>
      <c r="AB55" s="155">
        <v>10065</v>
      </c>
      <c r="AC55" s="155">
        <v>10193</v>
      </c>
      <c r="AD55" s="155">
        <v>10224</v>
      </c>
      <c r="AE55" s="155">
        <v>10350</v>
      </c>
      <c r="AF55" s="160">
        <v>10394</v>
      </c>
      <c r="AG55" s="160">
        <v>10353</v>
      </c>
      <c r="AH55" s="160">
        <v>10264</v>
      </c>
      <c r="AI55" s="160">
        <v>10194</v>
      </c>
      <c r="AJ55" s="160">
        <v>10394</v>
      </c>
      <c r="AK55" s="155">
        <v>10311</v>
      </c>
      <c r="AL55" s="155">
        <v>10204</v>
      </c>
      <c r="AM55" s="159"/>
      <c r="AN55" s="155" t="s">
        <v>145</v>
      </c>
      <c r="AO55" s="219">
        <v>1.1824366095074534E-3</v>
      </c>
      <c r="AP55" s="155">
        <v>92</v>
      </c>
      <c r="AR55" s="155" t="s">
        <v>145</v>
      </c>
      <c r="AS55" s="219">
        <v>1.3039918655641802E-3</v>
      </c>
      <c r="AT55" s="155">
        <v>90</v>
      </c>
      <c r="AV55" s="155" t="s">
        <v>145</v>
      </c>
      <c r="AW55" s="219">
        <v>1.3039918655641802E-3</v>
      </c>
      <c r="AX55" s="155">
        <v>90</v>
      </c>
      <c r="AZ55" s="155" t="s">
        <v>145</v>
      </c>
      <c r="BA55" s="219">
        <v>1.9302676364820748E-3</v>
      </c>
      <c r="BB55" s="155">
        <v>89</v>
      </c>
      <c r="BD55" s="155" t="s">
        <v>145</v>
      </c>
      <c r="BE55" s="219">
        <v>3.9971908247480314E-3</v>
      </c>
      <c r="BF55" s="155">
        <v>87</v>
      </c>
      <c r="BH55" s="155" t="s">
        <v>145</v>
      </c>
      <c r="BI55" s="219">
        <v>5.1960489558930956E-3</v>
      </c>
      <c r="BJ55" s="155">
        <v>82</v>
      </c>
      <c r="BL55" s="155" t="s">
        <v>145</v>
      </c>
      <c r="BM55" s="219">
        <v>-3.0700969687558199E-3</v>
      </c>
      <c r="BN55" s="155">
        <v>92</v>
      </c>
      <c r="BP55" s="155" t="s">
        <v>145</v>
      </c>
      <c r="BQ55" s="159">
        <v>4.3460476531342676E-2</v>
      </c>
      <c r="BR55" s="155">
        <v>92</v>
      </c>
      <c r="BT55" s="155" t="s">
        <v>145</v>
      </c>
      <c r="BU55" s="159">
        <v>4.1224489795918369E-2</v>
      </c>
      <c r="BV55" s="155">
        <v>90</v>
      </c>
      <c r="BX55" s="155" t="s">
        <v>145</v>
      </c>
      <c r="BY55" s="159">
        <v>5.1416795466254508E-2</v>
      </c>
      <c r="BZ55" s="155">
        <v>89</v>
      </c>
      <c r="CB55" s="155" t="s">
        <v>145</v>
      </c>
      <c r="CC55" s="159">
        <v>8.7382779198635976E-2</v>
      </c>
      <c r="CD55" s="155">
        <v>87</v>
      </c>
      <c r="CF55" s="155" t="s">
        <v>145</v>
      </c>
      <c r="CG55" s="159">
        <v>8.6456558773424189E-2</v>
      </c>
      <c r="CH55" s="155">
        <v>82</v>
      </c>
      <c r="CJ55" s="155" t="s">
        <v>145</v>
      </c>
      <c r="CK55" s="159">
        <v>9.8970704671417255E-3</v>
      </c>
      <c r="CL55" s="155">
        <v>92</v>
      </c>
      <c r="CN55" s="155" t="s">
        <v>145</v>
      </c>
      <c r="CO55" s="159">
        <v>-1.8279776794304408E-2</v>
      </c>
      <c r="CP55" s="155">
        <v>92</v>
      </c>
    </row>
    <row r="56" spans="1:94" x14ac:dyDescent="0.2">
      <c r="A56" s="155" t="s">
        <v>146</v>
      </c>
      <c r="B56" s="155">
        <v>30467</v>
      </c>
      <c r="C56" s="155">
        <v>31200</v>
      </c>
      <c r="D56" s="155">
        <v>32200</v>
      </c>
      <c r="E56" s="155">
        <v>32700</v>
      </c>
      <c r="F56" s="155">
        <v>33200</v>
      </c>
      <c r="G56" s="155">
        <v>33600</v>
      </c>
      <c r="H56" s="155">
        <v>33900</v>
      </c>
      <c r="I56" s="155">
        <v>34800</v>
      </c>
      <c r="J56" s="155">
        <v>35600</v>
      </c>
      <c r="K56" s="155">
        <v>35800</v>
      </c>
      <c r="L56" s="155">
        <v>36718</v>
      </c>
      <c r="M56" s="155">
        <v>36999</v>
      </c>
      <c r="N56" s="155">
        <v>37405</v>
      </c>
      <c r="O56" s="155">
        <v>37862</v>
      </c>
      <c r="P56" s="155">
        <v>38627</v>
      </c>
      <c r="Q56" s="155">
        <v>39719</v>
      </c>
      <c r="R56" s="155">
        <v>40133</v>
      </c>
      <c r="S56" s="155">
        <v>39970</v>
      </c>
      <c r="T56" s="155">
        <v>40446</v>
      </c>
      <c r="U56" s="155">
        <v>40882</v>
      </c>
      <c r="V56" s="155">
        <v>41548</v>
      </c>
      <c r="W56" s="155">
        <v>42065</v>
      </c>
      <c r="X56" s="155">
        <v>42823</v>
      </c>
      <c r="Y56" s="155">
        <v>43806</v>
      </c>
      <c r="Z56" s="155">
        <v>44595</v>
      </c>
      <c r="AA56" s="155">
        <v>45698</v>
      </c>
      <c r="AB56" s="155">
        <v>46711</v>
      </c>
      <c r="AC56" s="155">
        <v>47611</v>
      </c>
      <c r="AD56" s="155">
        <v>48559</v>
      </c>
      <c r="AE56" s="155">
        <v>48766</v>
      </c>
      <c r="AF56" s="160">
        <v>49424</v>
      </c>
      <c r="AG56" s="160">
        <v>51111</v>
      </c>
      <c r="AH56" s="160">
        <v>52058</v>
      </c>
      <c r="AI56" s="160">
        <v>53241</v>
      </c>
      <c r="AJ56" s="160">
        <v>54417</v>
      </c>
      <c r="AK56" s="155">
        <v>55704</v>
      </c>
      <c r="AL56" s="155">
        <v>56908</v>
      </c>
      <c r="AM56" s="159"/>
      <c r="AN56" s="155" t="s">
        <v>146</v>
      </c>
      <c r="AO56" s="219">
        <v>1.7506806478551074E-2</v>
      </c>
      <c r="AP56" s="155">
        <v>26</v>
      </c>
      <c r="AR56" s="155" t="s">
        <v>146</v>
      </c>
      <c r="AS56" s="219">
        <v>1.7142364793140796E-2</v>
      </c>
      <c r="AT56" s="155">
        <v>26</v>
      </c>
      <c r="AV56" s="155" t="s">
        <v>146</v>
      </c>
      <c r="AW56" s="219">
        <v>1.7142364793140796E-2</v>
      </c>
      <c r="AX56" s="155">
        <v>26</v>
      </c>
      <c r="AZ56" s="155" t="s">
        <v>146</v>
      </c>
      <c r="BA56" s="219">
        <v>1.6995454294902013E-2</v>
      </c>
      <c r="BB56" s="155">
        <v>25</v>
      </c>
      <c r="BD56" s="155" t="s">
        <v>146</v>
      </c>
      <c r="BE56" s="219">
        <v>1.7271565941658018E-2</v>
      </c>
      <c r="BF56" s="155">
        <v>27</v>
      </c>
      <c r="BH56" s="155" t="s">
        <v>146</v>
      </c>
      <c r="BI56" s="219">
        <v>1.9856222435415516E-2</v>
      </c>
      <c r="BJ56" s="155">
        <v>23</v>
      </c>
      <c r="BL56" s="155" t="s">
        <v>146</v>
      </c>
      <c r="BM56" s="219">
        <v>2.3778265360192785E-2</v>
      </c>
      <c r="BN56" s="155">
        <v>15</v>
      </c>
      <c r="BP56" s="155" t="s">
        <v>146</v>
      </c>
      <c r="BQ56" s="159">
        <v>0.86785702563429279</v>
      </c>
      <c r="BR56" s="155">
        <v>26</v>
      </c>
      <c r="BT56" s="155" t="s">
        <v>146</v>
      </c>
      <c r="BU56" s="159">
        <v>0.69369047619047619</v>
      </c>
      <c r="BV56" s="155">
        <v>26</v>
      </c>
      <c r="BX56" s="155" t="s">
        <v>146</v>
      </c>
      <c r="BY56" s="159">
        <v>0.54986655046571165</v>
      </c>
      <c r="BZ56" s="155">
        <v>26</v>
      </c>
      <c r="CB56" s="155" t="s">
        <v>146</v>
      </c>
      <c r="CC56" s="159">
        <v>0.43276517535688208</v>
      </c>
      <c r="CD56" s="155">
        <v>26</v>
      </c>
      <c r="CF56" s="155" t="s">
        <v>146</v>
      </c>
      <c r="CG56" s="159">
        <v>0.36969288533744105</v>
      </c>
      <c r="CH56" s="155">
        <v>24</v>
      </c>
      <c r="CJ56" s="155" t="s">
        <v>146</v>
      </c>
      <c r="CK56" s="159">
        <v>0.24530614031248632</v>
      </c>
      <c r="CL56" s="155">
        <v>20</v>
      </c>
      <c r="CN56" s="155" t="s">
        <v>146</v>
      </c>
      <c r="CO56" s="159">
        <v>0.15142440919391389</v>
      </c>
      <c r="CP56" s="155">
        <v>15</v>
      </c>
    </row>
    <row r="57" spans="1:94" x14ac:dyDescent="0.2">
      <c r="A57" s="155" t="s">
        <v>147</v>
      </c>
      <c r="B57" s="155">
        <v>55204</v>
      </c>
      <c r="C57" s="155">
        <v>56600</v>
      </c>
      <c r="D57" s="155">
        <v>57700</v>
      </c>
      <c r="E57" s="155">
        <v>58100</v>
      </c>
      <c r="F57" s="155">
        <v>58500</v>
      </c>
      <c r="G57" s="155">
        <v>58500</v>
      </c>
      <c r="H57" s="155">
        <v>59200</v>
      </c>
      <c r="I57" s="155">
        <v>59400</v>
      </c>
      <c r="J57" s="155">
        <v>59200</v>
      </c>
      <c r="K57" s="155">
        <v>59300</v>
      </c>
      <c r="L57" s="155">
        <v>59819</v>
      </c>
      <c r="M57" s="155">
        <v>59787</v>
      </c>
      <c r="N57" s="155">
        <v>59428</v>
      </c>
      <c r="O57" s="155">
        <v>59537</v>
      </c>
      <c r="P57" s="155">
        <v>59368</v>
      </c>
      <c r="Q57" s="155">
        <v>58856</v>
      </c>
      <c r="R57" s="155">
        <v>58212</v>
      </c>
      <c r="S57" s="155">
        <v>58124</v>
      </c>
      <c r="T57" s="155">
        <v>57602</v>
      </c>
      <c r="U57" s="155">
        <v>57303</v>
      </c>
      <c r="V57" s="155">
        <v>57376</v>
      </c>
      <c r="W57" s="155">
        <v>57718</v>
      </c>
      <c r="X57" s="155">
        <v>58164</v>
      </c>
      <c r="Y57" s="155">
        <v>58716</v>
      </c>
      <c r="Z57" s="155">
        <v>59084</v>
      </c>
      <c r="AA57" s="155">
        <v>59666</v>
      </c>
      <c r="AB57" s="155">
        <v>59786</v>
      </c>
      <c r="AC57" s="155">
        <v>59846</v>
      </c>
      <c r="AD57" s="155">
        <v>59838</v>
      </c>
      <c r="AE57" s="155">
        <v>59863</v>
      </c>
      <c r="AF57" s="160">
        <v>59499</v>
      </c>
      <c r="AG57" s="160">
        <v>59158</v>
      </c>
      <c r="AH57" s="160">
        <v>58818</v>
      </c>
      <c r="AI57" s="160">
        <v>58434</v>
      </c>
      <c r="AJ57" s="160">
        <v>58155</v>
      </c>
      <c r="AK57" s="155">
        <v>57961</v>
      </c>
      <c r="AL57" s="155">
        <v>57662</v>
      </c>
      <c r="AM57" s="159"/>
      <c r="AN57" s="155" t="s">
        <v>147</v>
      </c>
      <c r="AO57" s="219">
        <v>1.2108147581730844E-3</v>
      </c>
      <c r="AP57" s="155">
        <v>91</v>
      </c>
      <c r="AR57" s="155" t="s">
        <v>147</v>
      </c>
      <c r="AS57" s="219">
        <v>-4.6532320479408806E-4</v>
      </c>
      <c r="AT57" s="155">
        <v>95</v>
      </c>
      <c r="AV57" s="155" t="s">
        <v>147</v>
      </c>
      <c r="AW57" s="219">
        <v>-4.6532320479408806E-4</v>
      </c>
      <c r="AX57" s="155">
        <v>95</v>
      </c>
      <c r="AZ57" s="155" t="s">
        <v>147</v>
      </c>
      <c r="BA57" s="219">
        <v>-1.4115012992439446E-3</v>
      </c>
      <c r="BB57" s="155">
        <v>94</v>
      </c>
      <c r="BD57" s="155" t="s">
        <v>147</v>
      </c>
      <c r="BE57" s="219">
        <v>-9.7549555790854559E-4</v>
      </c>
      <c r="BF57" s="155">
        <v>94</v>
      </c>
      <c r="BH57" s="155" t="s">
        <v>147</v>
      </c>
      <c r="BI57" s="219">
        <v>3.1081581053138407E-4</v>
      </c>
      <c r="BJ57" s="155">
        <v>93</v>
      </c>
      <c r="BL57" s="155" t="s">
        <v>147</v>
      </c>
      <c r="BM57" s="219">
        <v>-5.213218428389621E-3</v>
      </c>
      <c r="BN57" s="155">
        <v>94</v>
      </c>
      <c r="BP57" s="155" t="s">
        <v>147</v>
      </c>
      <c r="BQ57" s="159">
        <v>4.4525759002970802E-2</v>
      </c>
      <c r="BR57" s="155">
        <v>91</v>
      </c>
      <c r="BT57" s="155" t="s">
        <v>147</v>
      </c>
      <c r="BU57" s="159">
        <v>-1.4324786324786325E-2</v>
      </c>
      <c r="BV57" s="155">
        <v>95</v>
      </c>
      <c r="BX57" s="155" t="s">
        <v>147</v>
      </c>
      <c r="BY57" s="159">
        <v>-3.6058777311556531E-2</v>
      </c>
      <c r="BZ57" s="155">
        <v>94</v>
      </c>
      <c r="CB57" s="155" t="s">
        <v>147</v>
      </c>
      <c r="CC57" s="159">
        <v>-2.0286801685469622E-2</v>
      </c>
      <c r="CD57" s="155">
        <v>94</v>
      </c>
      <c r="CF57" s="155" t="s">
        <v>147</v>
      </c>
      <c r="CG57" s="159">
        <v>4.9846625766871164E-3</v>
      </c>
      <c r="CH57" s="155">
        <v>93</v>
      </c>
      <c r="CJ57" s="155" t="s">
        <v>147</v>
      </c>
      <c r="CK57" s="159">
        <v>-3.3586967452150306E-2</v>
      </c>
      <c r="CL57" s="155">
        <v>95</v>
      </c>
      <c r="CN57" s="155" t="s">
        <v>147</v>
      </c>
      <c r="CO57" s="159">
        <v>-3.0874468478461824E-2</v>
      </c>
      <c r="CP57" s="155">
        <v>94</v>
      </c>
    </row>
    <row r="58" spans="1:94" x14ac:dyDescent="0.2">
      <c r="A58" s="155" t="s">
        <v>148</v>
      </c>
      <c r="B58" s="155">
        <v>32682</v>
      </c>
      <c r="C58" s="155">
        <v>33900</v>
      </c>
      <c r="D58" s="155">
        <v>35300</v>
      </c>
      <c r="E58" s="155">
        <v>36700</v>
      </c>
      <c r="F58" s="155">
        <v>37300</v>
      </c>
      <c r="G58" s="155">
        <v>37900</v>
      </c>
      <c r="H58" s="155">
        <v>38300</v>
      </c>
      <c r="I58" s="155">
        <v>39000</v>
      </c>
      <c r="J58" s="155">
        <v>40200</v>
      </c>
      <c r="K58" s="155">
        <v>41100</v>
      </c>
      <c r="L58" s="155">
        <v>42372</v>
      </c>
      <c r="M58" s="155">
        <v>42894</v>
      </c>
      <c r="N58" s="155">
        <v>43361</v>
      </c>
      <c r="O58" s="155">
        <v>43629</v>
      </c>
      <c r="P58" s="155">
        <v>44533</v>
      </c>
      <c r="Q58" s="155">
        <v>45601</v>
      </c>
      <c r="R58" s="155">
        <v>46060</v>
      </c>
      <c r="S58" s="155">
        <v>47106</v>
      </c>
      <c r="T58" s="155">
        <v>48521</v>
      </c>
      <c r="U58" s="155">
        <v>49189</v>
      </c>
      <c r="V58" s="155">
        <v>50790</v>
      </c>
      <c r="W58" s="155">
        <v>51947</v>
      </c>
      <c r="X58" s="155">
        <v>53504</v>
      </c>
      <c r="Y58" s="155">
        <v>55356</v>
      </c>
      <c r="Z58" s="155">
        <v>56921</v>
      </c>
      <c r="AA58" s="155">
        <v>57757</v>
      </c>
      <c r="AB58" s="155">
        <v>58909</v>
      </c>
      <c r="AC58" s="155">
        <v>60343</v>
      </c>
      <c r="AD58" s="155">
        <v>61674</v>
      </c>
      <c r="AE58" s="155">
        <v>62955</v>
      </c>
      <c r="AF58" s="160">
        <v>64049</v>
      </c>
      <c r="AG58" s="160">
        <v>65089</v>
      </c>
      <c r="AH58" s="160">
        <v>66234</v>
      </c>
      <c r="AI58" s="160">
        <v>67304</v>
      </c>
      <c r="AJ58" s="160">
        <v>68089</v>
      </c>
      <c r="AK58" s="155">
        <v>69851</v>
      </c>
      <c r="AL58" s="155">
        <v>71894</v>
      </c>
      <c r="AM58" s="159"/>
      <c r="AN58" s="155" t="s">
        <v>148</v>
      </c>
      <c r="AO58" s="219">
        <v>2.2140666411082366E-2</v>
      </c>
      <c r="AP58" s="155">
        <v>12</v>
      </c>
      <c r="AR58" s="155" t="s">
        <v>148</v>
      </c>
      <c r="AS58" s="219">
        <v>2.0867706247495121E-2</v>
      </c>
      <c r="AT58" s="155">
        <v>15</v>
      </c>
      <c r="AV58" s="155" t="s">
        <v>148</v>
      </c>
      <c r="AW58" s="219">
        <v>2.0867706247495121E-2</v>
      </c>
      <c r="AX58" s="155">
        <v>15</v>
      </c>
      <c r="AZ58" s="155" t="s">
        <v>148</v>
      </c>
      <c r="BA58" s="219">
        <v>2.0542970246966386E-2</v>
      </c>
      <c r="BB58" s="155">
        <v>16</v>
      </c>
      <c r="BD58" s="155" t="s">
        <v>148</v>
      </c>
      <c r="BE58" s="219">
        <v>2.1915899600526201E-2</v>
      </c>
      <c r="BF58" s="155">
        <v>17</v>
      </c>
      <c r="BH58" s="155" t="s">
        <v>148</v>
      </c>
      <c r="BI58" s="219">
        <v>2.1955892625802553E-2</v>
      </c>
      <c r="BJ58" s="155">
        <v>19</v>
      </c>
      <c r="BL58" s="155" t="s">
        <v>148</v>
      </c>
      <c r="BM58" s="219">
        <v>1.944401916034888E-2</v>
      </c>
      <c r="BN58" s="155">
        <v>21</v>
      </c>
      <c r="BP58" s="155" t="s">
        <v>148</v>
      </c>
      <c r="BQ58" s="159">
        <v>1.1998041735511902</v>
      </c>
      <c r="BR58" s="155">
        <v>12</v>
      </c>
      <c r="BT58" s="155" t="s">
        <v>148</v>
      </c>
      <c r="BU58" s="159">
        <v>0.89693931398416882</v>
      </c>
      <c r="BV58" s="155">
        <v>15</v>
      </c>
      <c r="BX58" s="155" t="s">
        <v>148</v>
      </c>
      <c r="BY58" s="159">
        <v>0.69673369206079483</v>
      </c>
      <c r="BZ58" s="155">
        <v>16</v>
      </c>
      <c r="CB58" s="155" t="s">
        <v>148</v>
      </c>
      <c r="CC58" s="159">
        <v>0.5765882327141949</v>
      </c>
      <c r="CD58" s="155">
        <v>17</v>
      </c>
      <c r="CF58" s="155" t="s">
        <v>148</v>
      </c>
      <c r="CG58" s="159">
        <v>0.41551486513093128</v>
      </c>
      <c r="CH58" s="155">
        <v>19</v>
      </c>
      <c r="CJ58" s="155" t="s">
        <v>148</v>
      </c>
      <c r="CK58" s="159">
        <v>0.24476686808525375</v>
      </c>
      <c r="CL58" s="155">
        <v>21</v>
      </c>
      <c r="CN58" s="155" t="s">
        <v>148</v>
      </c>
      <c r="CO58" s="159">
        <v>0.12248434792112289</v>
      </c>
      <c r="CP58" s="155">
        <v>21</v>
      </c>
    </row>
    <row r="59" spans="1:94" x14ac:dyDescent="0.2">
      <c r="A59" s="155" t="s">
        <v>149</v>
      </c>
      <c r="B59" s="155">
        <v>15788</v>
      </c>
      <c r="C59" s="155">
        <v>16400</v>
      </c>
      <c r="D59" s="155">
        <v>17000</v>
      </c>
      <c r="E59" s="155">
        <v>17200</v>
      </c>
      <c r="F59" s="155">
        <v>17600</v>
      </c>
      <c r="G59" s="155">
        <v>18100</v>
      </c>
      <c r="H59" s="155">
        <v>18300</v>
      </c>
      <c r="I59" s="155">
        <v>19000</v>
      </c>
      <c r="J59" s="155">
        <v>19500</v>
      </c>
      <c r="K59" s="155">
        <v>20200</v>
      </c>
      <c r="L59" s="155">
        <v>20178</v>
      </c>
      <c r="M59" s="155">
        <v>21117</v>
      </c>
      <c r="N59" s="155">
        <v>21677</v>
      </c>
      <c r="O59" s="155">
        <v>22049</v>
      </c>
      <c r="P59" s="155">
        <v>22529</v>
      </c>
      <c r="Q59" s="155">
        <v>22756</v>
      </c>
      <c r="R59" s="155">
        <v>22642</v>
      </c>
      <c r="S59" s="155">
        <v>22721</v>
      </c>
      <c r="T59" s="155">
        <v>22853</v>
      </c>
      <c r="U59" s="155">
        <v>23218</v>
      </c>
      <c r="V59" s="155">
        <v>23623</v>
      </c>
      <c r="W59" s="155">
        <v>23986</v>
      </c>
      <c r="X59" s="155">
        <v>24441</v>
      </c>
      <c r="Y59" s="155">
        <v>24985</v>
      </c>
      <c r="Z59" s="155">
        <v>25459</v>
      </c>
      <c r="AA59" s="155">
        <v>26307</v>
      </c>
      <c r="AB59" s="155">
        <v>27208</v>
      </c>
      <c r="AC59" s="155">
        <v>27963</v>
      </c>
      <c r="AD59" s="155">
        <v>28554</v>
      </c>
      <c r="AE59" s="155">
        <v>29252</v>
      </c>
      <c r="AF59" s="160">
        <v>29969</v>
      </c>
      <c r="AG59" s="160">
        <v>30474</v>
      </c>
      <c r="AH59" s="160">
        <v>30851</v>
      </c>
      <c r="AI59" s="160">
        <v>31137</v>
      </c>
      <c r="AJ59" s="160">
        <v>31579</v>
      </c>
      <c r="AK59" s="155">
        <v>32148</v>
      </c>
      <c r="AL59" s="155">
        <v>32395</v>
      </c>
      <c r="AM59" s="159"/>
      <c r="AN59" s="155" t="s">
        <v>149</v>
      </c>
      <c r="AO59" s="219">
        <v>2.0166028411768622E-2</v>
      </c>
      <c r="AP59" s="155">
        <v>19</v>
      </c>
      <c r="AR59" s="155" t="s">
        <v>149</v>
      </c>
      <c r="AS59" s="219">
        <v>1.8954565780828547E-2</v>
      </c>
      <c r="AT59" s="155">
        <v>21</v>
      </c>
      <c r="AV59" s="155" t="s">
        <v>149</v>
      </c>
      <c r="AW59" s="219">
        <v>1.8374901180433501E-2</v>
      </c>
      <c r="AX59" s="155">
        <v>21</v>
      </c>
      <c r="AZ59" s="155" t="s">
        <v>149</v>
      </c>
      <c r="BA59" s="219">
        <v>1.6960085209831277E-2</v>
      </c>
      <c r="BB59" s="155">
        <v>26</v>
      </c>
      <c r="BD59" s="155" t="s">
        <v>149</v>
      </c>
      <c r="BE59" s="219">
        <v>1.9932506248169224E-2</v>
      </c>
      <c r="BF59" s="155">
        <v>22</v>
      </c>
      <c r="BH59" s="155" t="s">
        <v>149</v>
      </c>
      <c r="BI59" s="219">
        <v>1.910465943396078E-2</v>
      </c>
      <c r="BJ59" s="155">
        <v>24</v>
      </c>
      <c r="BL59" s="155" t="s">
        <v>149</v>
      </c>
      <c r="BM59" s="219">
        <v>1.3057949348416642E-2</v>
      </c>
      <c r="BN59" s="155">
        <v>31</v>
      </c>
      <c r="BP59" s="155" t="s">
        <v>149</v>
      </c>
      <c r="BQ59" s="219">
        <v>1.0518748416518875</v>
      </c>
      <c r="BR59" s="155">
        <v>19</v>
      </c>
      <c r="BT59" s="155" t="s">
        <v>149</v>
      </c>
      <c r="BU59" s="219">
        <v>0.78977900552486191</v>
      </c>
      <c r="BV59" s="155">
        <v>21</v>
      </c>
      <c r="BX59" s="155" t="s">
        <v>149</v>
      </c>
      <c r="BY59" s="219">
        <v>0.60546139359698681</v>
      </c>
      <c r="BZ59" s="155">
        <v>22</v>
      </c>
      <c r="CB59" s="155" t="s">
        <v>149</v>
      </c>
      <c r="CC59" s="219">
        <v>0.42358059412902094</v>
      </c>
      <c r="CD59" s="155">
        <v>28</v>
      </c>
      <c r="CF59" s="155" t="s">
        <v>149</v>
      </c>
      <c r="CG59" s="219">
        <v>0.37133302290140963</v>
      </c>
      <c r="CH59" s="155">
        <v>23</v>
      </c>
      <c r="CJ59" s="155" t="s">
        <v>149</v>
      </c>
      <c r="CK59" s="219">
        <v>0.23142129471243394</v>
      </c>
      <c r="CL59" s="155">
        <v>23</v>
      </c>
      <c r="CN59" s="155" t="s">
        <v>149</v>
      </c>
      <c r="CO59" s="219">
        <v>8.09503153258367E-2</v>
      </c>
      <c r="CP59" s="155">
        <v>31</v>
      </c>
    </row>
    <row r="60" spans="1:94" x14ac:dyDescent="0.2">
      <c r="A60" s="155" t="s">
        <v>150</v>
      </c>
      <c r="B60" s="155">
        <v>16003</v>
      </c>
      <c r="C60" s="155">
        <v>16100</v>
      </c>
      <c r="D60" s="155">
        <v>15900</v>
      </c>
      <c r="E60" s="155">
        <v>16000</v>
      </c>
      <c r="F60" s="155">
        <v>16200</v>
      </c>
      <c r="G60" s="155">
        <v>16500</v>
      </c>
      <c r="H60" s="155">
        <v>16500</v>
      </c>
      <c r="I60" s="155">
        <v>16500</v>
      </c>
      <c r="J60" s="155">
        <v>16600</v>
      </c>
      <c r="K60" s="155">
        <v>16500</v>
      </c>
      <c r="L60" s="155">
        <v>16827</v>
      </c>
      <c r="M60" s="155">
        <v>17113</v>
      </c>
      <c r="N60" s="155">
        <v>16919</v>
      </c>
      <c r="O60" s="155">
        <v>16810</v>
      </c>
      <c r="P60" s="155">
        <v>17018</v>
      </c>
      <c r="Q60" s="155">
        <v>17037</v>
      </c>
      <c r="R60" s="155">
        <v>17120</v>
      </c>
      <c r="S60" s="155">
        <v>17051</v>
      </c>
      <c r="T60" s="155">
        <v>16924</v>
      </c>
      <c r="U60" s="155">
        <v>16879</v>
      </c>
      <c r="V60" s="155">
        <v>17027</v>
      </c>
      <c r="W60" s="155">
        <v>17218</v>
      </c>
      <c r="X60" s="155">
        <v>17424</v>
      </c>
      <c r="Y60" s="155">
        <v>17476</v>
      </c>
      <c r="Z60" s="155">
        <v>17835</v>
      </c>
      <c r="AA60" s="155">
        <v>18199</v>
      </c>
      <c r="AB60" s="155">
        <v>18604</v>
      </c>
      <c r="AC60" s="155">
        <v>18807</v>
      </c>
      <c r="AD60" s="155">
        <v>19222</v>
      </c>
      <c r="AE60" s="155">
        <v>19392</v>
      </c>
      <c r="AF60" s="160">
        <v>19701</v>
      </c>
      <c r="AG60" s="160">
        <v>19843</v>
      </c>
      <c r="AH60" s="160">
        <v>19931</v>
      </c>
      <c r="AI60" s="160">
        <v>19924</v>
      </c>
      <c r="AJ60" s="160">
        <v>20047</v>
      </c>
      <c r="AK60" s="155">
        <v>20256</v>
      </c>
      <c r="AL60" s="155">
        <v>20355</v>
      </c>
      <c r="AM60" s="159"/>
      <c r="AN60" s="155" t="s">
        <v>150</v>
      </c>
      <c r="AO60" s="219">
        <v>6.704328991968822E-3</v>
      </c>
      <c r="AP60" s="155">
        <v>82</v>
      </c>
      <c r="AR60" s="155" t="s">
        <v>150</v>
      </c>
      <c r="AS60" s="219">
        <v>6.7960925972527786E-3</v>
      </c>
      <c r="AT60" s="155">
        <v>73</v>
      </c>
      <c r="AV60" s="155" t="s">
        <v>150</v>
      </c>
      <c r="AW60" s="219">
        <v>7.3477029690047768E-3</v>
      </c>
      <c r="AX60" s="155">
        <v>71</v>
      </c>
      <c r="AZ60" s="155" t="s">
        <v>150</v>
      </c>
      <c r="BA60" s="219">
        <v>8.5092919649767396E-3</v>
      </c>
      <c r="BB60" s="155">
        <v>58</v>
      </c>
      <c r="BD60" s="155" t="s">
        <v>150</v>
      </c>
      <c r="BE60" s="219">
        <v>1.122037284841082E-2</v>
      </c>
      <c r="BF60" s="155">
        <v>51</v>
      </c>
      <c r="BH60" s="155" t="s">
        <v>150</v>
      </c>
      <c r="BI60" s="219">
        <v>1.0230149672989297E-2</v>
      </c>
      <c r="BJ60" s="155">
        <v>58</v>
      </c>
      <c r="BL60" s="155" t="s">
        <v>150</v>
      </c>
      <c r="BM60" s="219">
        <v>5.4577036430230041E-3</v>
      </c>
      <c r="BN60" s="155">
        <v>58</v>
      </c>
      <c r="BP60" s="155" t="s">
        <v>150</v>
      </c>
      <c r="BQ60" s="219">
        <v>0.27194900956070739</v>
      </c>
      <c r="BR60" s="155">
        <v>82</v>
      </c>
      <c r="BT60" s="155" t="s">
        <v>150</v>
      </c>
      <c r="BU60" s="219">
        <v>0.23363636363636364</v>
      </c>
      <c r="BV60" s="155">
        <v>73</v>
      </c>
      <c r="BX60" s="155" t="s">
        <v>150</v>
      </c>
      <c r="BY60" s="219">
        <v>0.20966304154038154</v>
      </c>
      <c r="BZ60" s="155">
        <v>69</v>
      </c>
      <c r="CB60" s="155" t="s">
        <v>150</v>
      </c>
      <c r="CC60" s="219">
        <v>0.19475259728825497</v>
      </c>
      <c r="CD60" s="155">
        <v>59</v>
      </c>
      <c r="CF60" s="155" t="s">
        <v>150</v>
      </c>
      <c r="CG60" s="219">
        <v>0.19545427849885477</v>
      </c>
      <c r="CH60" s="155">
        <v>53</v>
      </c>
      <c r="CJ60" s="155" t="s">
        <v>150</v>
      </c>
      <c r="CK60" s="219">
        <v>0.11846804769492829</v>
      </c>
      <c r="CL60" s="155">
        <v>52</v>
      </c>
      <c r="CN60" s="155" t="s">
        <v>150</v>
      </c>
      <c r="CO60" s="219">
        <v>3.3196284452565859E-2</v>
      </c>
      <c r="CP60" s="155">
        <v>58</v>
      </c>
    </row>
    <row r="61" spans="1:94" x14ac:dyDescent="0.2">
      <c r="A61" s="155" t="s">
        <v>151</v>
      </c>
      <c r="B61" s="155">
        <v>24730</v>
      </c>
      <c r="C61" s="155">
        <v>24600</v>
      </c>
      <c r="D61" s="155">
        <v>24700</v>
      </c>
      <c r="E61" s="155">
        <v>24900</v>
      </c>
      <c r="F61" s="155">
        <v>25000</v>
      </c>
      <c r="G61" s="155">
        <v>25300</v>
      </c>
      <c r="H61" s="155">
        <v>25500</v>
      </c>
      <c r="I61" s="155">
        <v>25800</v>
      </c>
      <c r="J61" s="155">
        <v>25900</v>
      </c>
      <c r="K61" s="155">
        <v>25900</v>
      </c>
      <c r="L61" s="155">
        <v>25948</v>
      </c>
      <c r="M61" s="155">
        <v>26187</v>
      </c>
      <c r="N61" s="155">
        <v>26089</v>
      </c>
      <c r="O61" s="155">
        <v>26088</v>
      </c>
      <c r="P61" s="155">
        <v>26090</v>
      </c>
      <c r="Q61" s="155">
        <v>25858</v>
      </c>
      <c r="R61" s="155">
        <v>25694</v>
      </c>
      <c r="S61" s="155">
        <v>25693</v>
      </c>
      <c r="T61" s="155">
        <v>25542</v>
      </c>
      <c r="U61" s="155">
        <v>25302</v>
      </c>
      <c r="V61" s="155">
        <v>25049</v>
      </c>
      <c r="W61" s="155">
        <v>25143</v>
      </c>
      <c r="X61" s="155">
        <v>25126</v>
      </c>
      <c r="Y61" s="155">
        <v>25567</v>
      </c>
      <c r="Z61" s="155">
        <v>26073</v>
      </c>
      <c r="AA61" s="155">
        <v>26017</v>
      </c>
      <c r="AB61" s="155">
        <v>25988</v>
      </c>
      <c r="AC61" s="155">
        <v>25981</v>
      </c>
      <c r="AD61" s="155">
        <v>25752</v>
      </c>
      <c r="AE61" s="155">
        <v>25623</v>
      </c>
      <c r="AF61" s="160">
        <v>25517</v>
      </c>
      <c r="AG61" s="160">
        <v>25244</v>
      </c>
      <c r="AH61" s="160">
        <v>25153</v>
      </c>
      <c r="AI61" s="160">
        <v>25071</v>
      </c>
      <c r="AJ61" s="160">
        <v>24849</v>
      </c>
      <c r="AK61" s="155">
        <v>24643</v>
      </c>
      <c r="AL61" s="155">
        <v>24342</v>
      </c>
      <c r="AM61" s="159"/>
      <c r="AN61" s="155" t="s">
        <v>151</v>
      </c>
      <c r="AO61" s="219">
        <v>-4.3917653598912754E-4</v>
      </c>
      <c r="AP61" s="155">
        <v>95</v>
      </c>
      <c r="AR61" s="155" t="s">
        <v>151</v>
      </c>
      <c r="AS61" s="219">
        <v>-1.2444232005823785E-3</v>
      </c>
      <c r="AT61" s="155">
        <v>96</v>
      </c>
      <c r="AV61" s="155" t="s">
        <v>151</v>
      </c>
      <c r="AW61" s="219">
        <v>-2.4543401660396258E-3</v>
      </c>
      <c r="AX61" s="155">
        <v>98</v>
      </c>
      <c r="AZ61" s="155" t="s">
        <v>151</v>
      </c>
      <c r="BA61" s="219">
        <v>-2.8728548310328339E-3</v>
      </c>
      <c r="BB61" s="155">
        <v>97</v>
      </c>
      <c r="BD61" s="155" t="s">
        <v>151</v>
      </c>
      <c r="BE61" s="219">
        <v>-1.7878157701634034E-3</v>
      </c>
      <c r="BF61" s="155">
        <v>96</v>
      </c>
      <c r="BH61" s="155" t="s">
        <v>151</v>
      </c>
      <c r="BI61" s="219">
        <v>-6.0314570248343191E-3</v>
      </c>
      <c r="BJ61" s="155">
        <v>100</v>
      </c>
      <c r="BL61" s="155" t="s">
        <v>151</v>
      </c>
      <c r="BM61" s="219">
        <v>-7.8261554634583286E-3</v>
      </c>
      <c r="BN61" s="155">
        <v>99</v>
      </c>
      <c r="BP61" s="155" t="s">
        <v>151</v>
      </c>
      <c r="BQ61" s="219">
        <v>-1.5689446016983421E-2</v>
      </c>
      <c r="BR61" s="155">
        <v>95</v>
      </c>
      <c r="BT61" s="155" t="s">
        <v>151</v>
      </c>
      <c r="BU61" s="219">
        <v>-3.7865612648221345E-2</v>
      </c>
      <c r="BV61" s="155">
        <v>96</v>
      </c>
      <c r="BX61" s="155" t="s">
        <v>151</v>
      </c>
      <c r="BY61" s="219">
        <v>-6.1893016802836445E-2</v>
      </c>
      <c r="BZ61" s="155">
        <v>97</v>
      </c>
      <c r="CB61" s="155" t="s">
        <v>151</v>
      </c>
      <c r="CC61" s="219">
        <v>-5.8627890788150672E-2</v>
      </c>
      <c r="CD61" s="155">
        <v>96</v>
      </c>
      <c r="CF61" s="155" t="s">
        <v>151</v>
      </c>
      <c r="CG61" s="219">
        <v>-2.822467962792926E-2</v>
      </c>
      <c r="CH61" s="155">
        <v>97</v>
      </c>
      <c r="CJ61" s="155" t="s">
        <v>151</v>
      </c>
      <c r="CK61" s="219">
        <v>-6.4380981665833878E-2</v>
      </c>
      <c r="CL61" s="155">
        <v>98</v>
      </c>
      <c r="CN61" s="155" t="s">
        <v>151</v>
      </c>
      <c r="CO61" s="219">
        <v>-4.6047732883959712E-2</v>
      </c>
      <c r="CP61" s="155">
        <v>99</v>
      </c>
    </row>
    <row r="62" spans="1:94" x14ac:dyDescent="0.2">
      <c r="A62" s="155" t="s">
        <v>152</v>
      </c>
      <c r="B62" s="155">
        <v>30648</v>
      </c>
      <c r="C62" s="155">
        <v>30900</v>
      </c>
      <c r="D62" s="155">
        <v>31500</v>
      </c>
      <c r="E62" s="155">
        <v>32200</v>
      </c>
      <c r="F62" s="155">
        <v>32500</v>
      </c>
      <c r="G62" s="155">
        <v>33200</v>
      </c>
      <c r="H62" s="155">
        <v>33400</v>
      </c>
      <c r="I62" s="155">
        <v>33500</v>
      </c>
      <c r="J62" s="155">
        <v>33900</v>
      </c>
      <c r="K62" s="155">
        <v>34200</v>
      </c>
      <c r="L62" s="155">
        <v>35135</v>
      </c>
      <c r="M62" s="155">
        <v>35675</v>
      </c>
      <c r="N62" s="155">
        <v>35838</v>
      </c>
      <c r="O62" s="155">
        <v>35745</v>
      </c>
      <c r="P62" s="155">
        <v>35899</v>
      </c>
      <c r="Q62" s="155">
        <v>35824</v>
      </c>
      <c r="R62" s="155">
        <v>35612</v>
      </c>
      <c r="S62" s="155">
        <v>35618</v>
      </c>
      <c r="T62" s="155">
        <v>35553</v>
      </c>
      <c r="U62" s="155">
        <v>35661</v>
      </c>
      <c r="V62" s="155">
        <v>35770</v>
      </c>
      <c r="W62" s="155">
        <v>36188</v>
      </c>
      <c r="X62" s="155">
        <v>36473</v>
      </c>
      <c r="Y62" s="155">
        <v>36982</v>
      </c>
      <c r="Z62" s="155">
        <v>37620</v>
      </c>
      <c r="AA62" s="155">
        <v>38171</v>
      </c>
      <c r="AB62" s="155">
        <v>39384</v>
      </c>
      <c r="AC62" s="155">
        <v>40480</v>
      </c>
      <c r="AD62" s="155">
        <v>41229</v>
      </c>
      <c r="AE62" s="155">
        <v>41874</v>
      </c>
      <c r="AF62" s="160">
        <v>42224</v>
      </c>
      <c r="AG62" s="160">
        <v>42717</v>
      </c>
      <c r="AH62" s="160">
        <v>42760</v>
      </c>
      <c r="AI62" s="160">
        <v>42955</v>
      </c>
      <c r="AJ62" s="160">
        <v>43067</v>
      </c>
      <c r="AK62" s="155">
        <v>43201</v>
      </c>
      <c r="AL62" s="155">
        <v>43414</v>
      </c>
      <c r="AM62" s="159"/>
      <c r="AN62" s="155" t="s">
        <v>152</v>
      </c>
      <c r="AO62" s="219">
        <v>9.7195577789321863E-3</v>
      </c>
      <c r="AP62" s="155">
        <v>56</v>
      </c>
      <c r="AR62" s="155" t="s">
        <v>152</v>
      </c>
      <c r="AS62" s="219">
        <v>8.690190549947685E-3</v>
      </c>
      <c r="AT62" s="155">
        <v>60</v>
      </c>
      <c r="AV62" s="155" t="s">
        <v>152</v>
      </c>
      <c r="AW62" s="219">
        <v>8.1710556047376315E-3</v>
      </c>
      <c r="AX62" s="155">
        <v>65</v>
      </c>
      <c r="AZ62" s="155" t="s">
        <v>152</v>
      </c>
      <c r="BA62" s="219">
        <v>9.1926576832781492E-3</v>
      </c>
      <c r="BB62" s="155">
        <v>56</v>
      </c>
      <c r="BD62" s="155" t="s">
        <v>152</v>
      </c>
      <c r="BE62" s="219">
        <v>1.2178082292395143E-2</v>
      </c>
      <c r="BF62" s="155">
        <v>47</v>
      </c>
      <c r="BH62" s="155" t="s">
        <v>152</v>
      </c>
      <c r="BI62" s="219">
        <v>1.1769255829667591E-2</v>
      </c>
      <c r="BJ62" s="155">
        <v>50</v>
      </c>
      <c r="BL62" s="155" t="s">
        <v>152</v>
      </c>
      <c r="BM62" s="219">
        <v>4.6429435443622324E-3</v>
      </c>
      <c r="BN62" s="155">
        <v>64</v>
      </c>
      <c r="BP62" s="155" t="s">
        <v>152</v>
      </c>
      <c r="BQ62" s="219">
        <v>0.41653615244061604</v>
      </c>
      <c r="BR62" s="155">
        <v>56</v>
      </c>
      <c r="BT62" s="155" t="s">
        <v>152</v>
      </c>
      <c r="BU62" s="219">
        <v>0.30765060240963854</v>
      </c>
      <c r="BV62" s="155">
        <v>60</v>
      </c>
      <c r="BX62" s="155" t="s">
        <v>152</v>
      </c>
      <c r="BY62" s="219">
        <v>0.23563398320762771</v>
      </c>
      <c r="BZ62" s="155">
        <v>58</v>
      </c>
      <c r="CB62" s="155" t="s">
        <v>152</v>
      </c>
      <c r="CC62" s="219">
        <v>0.2118691380080393</v>
      </c>
      <c r="CD62" s="155">
        <v>54</v>
      </c>
      <c r="CF62" s="155" t="s">
        <v>152</v>
      </c>
      <c r="CG62" s="219">
        <v>0.21369863013698631</v>
      </c>
      <c r="CH62" s="155">
        <v>49</v>
      </c>
      <c r="CJ62" s="155" t="s">
        <v>152</v>
      </c>
      <c r="CK62" s="219">
        <v>0.13735558408215662</v>
      </c>
      <c r="CL62" s="155">
        <v>44</v>
      </c>
      <c r="CN62" s="155" t="s">
        <v>152</v>
      </c>
      <c r="CO62" s="219">
        <v>2.8183023872679045E-2</v>
      </c>
      <c r="CP62" s="155">
        <v>64</v>
      </c>
    </row>
    <row r="63" spans="1:94" x14ac:dyDescent="0.2">
      <c r="A63" s="155" t="s">
        <v>153</v>
      </c>
      <c r="B63" s="155">
        <v>354656</v>
      </c>
      <c r="C63" s="155">
        <v>360100</v>
      </c>
      <c r="D63" s="155">
        <v>368000</v>
      </c>
      <c r="E63" s="155">
        <v>374000</v>
      </c>
      <c r="F63" s="155">
        <v>377100</v>
      </c>
      <c r="G63" s="155">
        <v>377400</v>
      </c>
      <c r="H63" s="155">
        <v>380300</v>
      </c>
      <c r="I63" s="155">
        <v>383800</v>
      </c>
      <c r="J63" s="155">
        <v>388700</v>
      </c>
      <c r="K63" s="155">
        <v>395700</v>
      </c>
      <c r="L63" s="155">
        <v>404270</v>
      </c>
      <c r="M63" s="155">
        <v>413915</v>
      </c>
      <c r="N63" s="155">
        <v>422435</v>
      </c>
      <c r="O63" s="155">
        <v>428247</v>
      </c>
      <c r="P63" s="155">
        <v>438304</v>
      </c>
      <c r="Q63" s="155">
        <v>448881</v>
      </c>
      <c r="R63" s="155">
        <v>459459</v>
      </c>
      <c r="S63" s="155">
        <v>473760</v>
      </c>
      <c r="T63" s="155">
        <v>486215</v>
      </c>
      <c r="U63" s="155">
        <v>499677</v>
      </c>
      <c r="V63" s="155">
        <v>515605</v>
      </c>
      <c r="W63" s="155">
        <v>530897</v>
      </c>
      <c r="X63" s="155">
        <v>542185</v>
      </c>
      <c r="Y63" s="155">
        <v>558031</v>
      </c>
      <c r="Z63" s="155">
        <v>576276</v>
      </c>
      <c r="AA63" s="155">
        <v>596036</v>
      </c>
      <c r="AB63" s="155">
        <v>617328</v>
      </c>
      <c r="AC63" s="155">
        <v>639479</v>
      </c>
      <c r="AD63" s="155">
        <v>660552</v>
      </c>
      <c r="AE63" s="155">
        <v>682071</v>
      </c>
      <c r="AF63" s="160">
        <v>700311</v>
      </c>
      <c r="AG63" s="160">
        <v>719269</v>
      </c>
      <c r="AH63" s="160">
        <v>734927</v>
      </c>
      <c r="AI63" s="160">
        <v>752744</v>
      </c>
      <c r="AJ63" s="160">
        <v>771573</v>
      </c>
      <c r="AK63" s="155">
        <v>796372</v>
      </c>
      <c r="AL63" s="155">
        <v>827445</v>
      </c>
      <c r="AM63" s="159"/>
      <c r="AN63" s="155" t="s">
        <v>153</v>
      </c>
      <c r="AO63" s="219">
        <v>2.3812266127539727E-2</v>
      </c>
      <c r="AP63" s="155">
        <v>9</v>
      </c>
      <c r="AR63" s="155" t="s">
        <v>153</v>
      </c>
      <c r="AS63" s="219">
        <v>2.5647145074932931E-2</v>
      </c>
      <c r="AT63" s="155">
        <v>9</v>
      </c>
      <c r="AV63" s="155" t="s">
        <v>153</v>
      </c>
      <c r="AW63" s="219">
        <v>2.5647145074932931E-2</v>
      </c>
      <c r="AX63" s="155">
        <v>9</v>
      </c>
      <c r="AZ63" s="155" t="s">
        <v>153</v>
      </c>
      <c r="BA63" s="219">
        <v>2.793141592137971E-2</v>
      </c>
      <c r="BB63" s="155">
        <v>9</v>
      </c>
      <c r="BD63" s="155" t="s">
        <v>153</v>
      </c>
      <c r="BE63" s="219">
        <v>2.9551310743785475E-2</v>
      </c>
      <c r="BF63" s="155">
        <v>9</v>
      </c>
      <c r="BH63" s="155" t="s">
        <v>153</v>
      </c>
      <c r="BI63" s="219">
        <v>3.0003916290370025E-2</v>
      </c>
      <c r="BJ63" s="155">
        <v>8</v>
      </c>
      <c r="BL63" s="155" t="s">
        <v>153</v>
      </c>
      <c r="BM63" s="219">
        <v>2.8193130594394322E-2</v>
      </c>
      <c r="BN63" s="155">
        <v>11</v>
      </c>
      <c r="BP63" s="155" t="s">
        <v>153</v>
      </c>
      <c r="BQ63" s="159">
        <v>1.3330917847153299</v>
      </c>
      <c r="BR63" s="155">
        <v>9</v>
      </c>
      <c r="BT63" s="155" t="s">
        <v>153</v>
      </c>
      <c r="BU63" s="159">
        <v>1.1924880763116057</v>
      </c>
      <c r="BV63" s="155">
        <v>9</v>
      </c>
      <c r="BX63" s="155" t="s">
        <v>153</v>
      </c>
      <c r="BY63" s="159">
        <v>1.0467633017537785</v>
      </c>
      <c r="BZ63" s="155">
        <v>9</v>
      </c>
      <c r="CB63" s="155" t="s">
        <v>153</v>
      </c>
      <c r="CC63" s="159">
        <v>0.84335046482252529</v>
      </c>
      <c r="CD63" s="155">
        <v>9</v>
      </c>
      <c r="CF63" s="155" t="s">
        <v>153</v>
      </c>
      <c r="CG63" s="159">
        <v>0.60480406512737461</v>
      </c>
      <c r="CH63" s="155">
        <v>8</v>
      </c>
      <c r="CJ63" s="155" t="s">
        <v>153</v>
      </c>
      <c r="CK63" s="159">
        <v>0.38824668308625654</v>
      </c>
      <c r="CL63" s="155">
        <v>10</v>
      </c>
      <c r="CN63" s="155" t="s">
        <v>153</v>
      </c>
      <c r="CO63" s="159">
        <v>0.18153934466258562</v>
      </c>
      <c r="CP63" s="155">
        <v>11</v>
      </c>
    </row>
    <row r="64" spans="1:94" x14ac:dyDescent="0.2">
      <c r="A64" s="155" t="s">
        <v>154</v>
      </c>
      <c r="B64" s="155">
        <v>13447</v>
      </c>
      <c r="C64" s="155">
        <v>13800</v>
      </c>
      <c r="D64" s="155">
        <v>13800</v>
      </c>
      <c r="E64" s="155">
        <v>13900</v>
      </c>
      <c r="F64" s="155">
        <v>13900</v>
      </c>
      <c r="G64" s="155">
        <v>14100</v>
      </c>
      <c r="H64" s="155">
        <v>14300</v>
      </c>
      <c r="I64" s="155">
        <v>14400</v>
      </c>
      <c r="J64" s="155">
        <v>14600</v>
      </c>
      <c r="K64" s="155">
        <v>14400</v>
      </c>
      <c r="L64" s="155">
        <v>14428</v>
      </c>
      <c r="M64" s="155">
        <v>14383</v>
      </c>
      <c r="N64" s="155">
        <v>14316</v>
      </c>
      <c r="O64" s="155">
        <v>14185</v>
      </c>
      <c r="P64" s="155">
        <v>14302</v>
      </c>
      <c r="Q64" s="155">
        <v>14395</v>
      </c>
      <c r="R64" s="155">
        <v>14315</v>
      </c>
      <c r="S64" s="155">
        <v>14309</v>
      </c>
      <c r="T64" s="155">
        <v>14431</v>
      </c>
      <c r="U64" s="155">
        <v>14392</v>
      </c>
      <c r="V64" s="155">
        <v>14469</v>
      </c>
      <c r="W64" s="155">
        <v>14564</v>
      </c>
      <c r="X64" s="155">
        <v>14671</v>
      </c>
      <c r="Y64" s="155">
        <v>14802</v>
      </c>
      <c r="Z64" s="155">
        <v>14865</v>
      </c>
      <c r="AA64" s="155">
        <v>15075</v>
      </c>
      <c r="AB64" s="155">
        <v>15175</v>
      </c>
      <c r="AC64" s="155">
        <v>15235</v>
      </c>
      <c r="AD64" s="155">
        <v>15367</v>
      </c>
      <c r="AE64" s="155">
        <v>15498</v>
      </c>
      <c r="AF64" s="160">
        <v>15724</v>
      </c>
      <c r="AG64" s="160">
        <v>15829</v>
      </c>
      <c r="AH64" s="160">
        <v>15844</v>
      </c>
      <c r="AI64" s="160">
        <v>15785</v>
      </c>
      <c r="AJ64" s="160">
        <v>15843</v>
      </c>
      <c r="AK64" s="155">
        <v>15784</v>
      </c>
      <c r="AL64" s="155">
        <v>15681</v>
      </c>
      <c r="AM64" s="159"/>
      <c r="AN64" s="155" t="s">
        <v>154</v>
      </c>
      <c r="AO64" s="219">
        <v>4.278397308038473E-3</v>
      </c>
      <c r="AP64" s="155">
        <v>87</v>
      </c>
      <c r="AR64" s="155" t="s">
        <v>154</v>
      </c>
      <c r="AS64" s="219">
        <v>3.4341086026292711E-3</v>
      </c>
      <c r="AT64" s="155">
        <v>86</v>
      </c>
      <c r="AV64" s="155" t="s">
        <v>154</v>
      </c>
      <c r="AW64" s="219">
        <v>3.4341086026292711E-3</v>
      </c>
      <c r="AX64" s="155">
        <v>86</v>
      </c>
      <c r="AZ64" s="155" t="s">
        <v>154</v>
      </c>
      <c r="BA64" s="219">
        <v>3.2081746489462937E-3</v>
      </c>
      <c r="BB64" s="155">
        <v>85</v>
      </c>
      <c r="BD64" s="155" t="s">
        <v>154</v>
      </c>
      <c r="BE64" s="219">
        <v>4.0830207344528802E-3</v>
      </c>
      <c r="BF64" s="155">
        <v>86</v>
      </c>
      <c r="BH64" s="155" t="s">
        <v>154</v>
      </c>
      <c r="BI64" s="219">
        <v>5.040244426985474E-3</v>
      </c>
      <c r="BJ64" s="155">
        <v>88</v>
      </c>
      <c r="BL64" s="155" t="s">
        <v>154</v>
      </c>
      <c r="BM64" s="219">
        <v>-4.5629905735899978E-4</v>
      </c>
      <c r="BN64" s="155">
        <v>88</v>
      </c>
      <c r="BP64" s="155" t="s">
        <v>154</v>
      </c>
      <c r="BQ64" s="159">
        <v>0.16613371012121664</v>
      </c>
      <c r="BR64" s="155">
        <v>87</v>
      </c>
      <c r="BT64" s="155" t="s">
        <v>154</v>
      </c>
      <c r="BU64" s="159">
        <v>0.11212765957446809</v>
      </c>
      <c r="BV64" s="155">
        <v>86</v>
      </c>
      <c r="BX64" s="155" t="s">
        <v>154</v>
      </c>
      <c r="BY64" s="159">
        <v>8.6845023565289711E-2</v>
      </c>
      <c r="BZ64" s="155">
        <v>85</v>
      </c>
      <c r="CB64" s="155" t="s">
        <v>154</v>
      </c>
      <c r="CC64" s="159">
        <v>8.9336575199722129E-2</v>
      </c>
      <c r="CD64" s="155">
        <v>86</v>
      </c>
      <c r="CF64" s="155" t="s">
        <v>154</v>
      </c>
      <c r="CG64" s="159">
        <v>8.3765291312461118E-2</v>
      </c>
      <c r="CH64" s="155">
        <v>88</v>
      </c>
      <c r="CJ64" s="155" t="s">
        <v>154</v>
      </c>
      <c r="CK64" s="159">
        <v>4.0199004975124381E-2</v>
      </c>
      <c r="CL64" s="155">
        <v>84</v>
      </c>
      <c r="CN64" s="155" t="s">
        <v>154</v>
      </c>
      <c r="CO64" s="159">
        <v>-2.7346731111676419E-3</v>
      </c>
      <c r="CP64" s="155">
        <v>88</v>
      </c>
    </row>
    <row r="65" spans="1:94" x14ac:dyDescent="0.2">
      <c r="A65" s="155" t="s">
        <v>155</v>
      </c>
      <c r="B65" s="155">
        <v>19267</v>
      </c>
      <c r="C65" s="155">
        <v>19700</v>
      </c>
      <c r="D65" s="155">
        <v>19900</v>
      </c>
      <c r="E65" s="155">
        <v>20100</v>
      </c>
      <c r="F65" s="155">
        <v>20400</v>
      </c>
      <c r="G65" s="155">
        <v>20600</v>
      </c>
      <c r="H65" s="155">
        <v>20700</v>
      </c>
      <c r="I65" s="155">
        <v>20800</v>
      </c>
      <c r="J65" s="155">
        <v>21200</v>
      </c>
      <c r="K65" s="155">
        <v>21700</v>
      </c>
      <c r="L65" s="155">
        <v>22469</v>
      </c>
      <c r="M65" s="155">
        <v>22538</v>
      </c>
      <c r="N65" s="155">
        <v>22495</v>
      </c>
      <c r="O65" s="155">
        <v>22863</v>
      </c>
      <c r="P65" s="155">
        <v>23164</v>
      </c>
      <c r="Q65" s="155">
        <v>23169</v>
      </c>
      <c r="R65" s="155">
        <v>23078</v>
      </c>
      <c r="S65" s="155">
        <v>23327</v>
      </c>
      <c r="T65" s="155">
        <v>23135</v>
      </c>
      <c r="U65" s="155">
        <v>23281</v>
      </c>
      <c r="V65" s="155">
        <v>23489</v>
      </c>
      <c r="W65" s="155">
        <v>23477</v>
      </c>
      <c r="X65" s="155">
        <v>23946</v>
      </c>
      <c r="Y65" s="155">
        <v>24175</v>
      </c>
      <c r="Z65" s="155">
        <v>24379</v>
      </c>
      <c r="AA65" s="155">
        <v>24932</v>
      </c>
      <c r="AB65" s="155">
        <v>25281</v>
      </c>
      <c r="AC65" s="155">
        <v>25482</v>
      </c>
      <c r="AD65" s="155">
        <v>25937</v>
      </c>
      <c r="AE65" s="155">
        <v>26430</v>
      </c>
      <c r="AF65" s="160">
        <v>26936</v>
      </c>
      <c r="AG65" s="160">
        <v>26963</v>
      </c>
      <c r="AH65" s="160">
        <v>27034</v>
      </c>
      <c r="AI65" s="160">
        <v>27297</v>
      </c>
      <c r="AJ65" s="160">
        <v>27261</v>
      </c>
      <c r="AK65" s="155">
        <v>27322</v>
      </c>
      <c r="AL65" s="155">
        <v>27638</v>
      </c>
      <c r="AM65" s="159"/>
      <c r="AN65" s="155" t="s">
        <v>155</v>
      </c>
      <c r="AO65" s="219">
        <v>1.0072552554539316E-2</v>
      </c>
      <c r="AP65" s="155">
        <v>55</v>
      </c>
      <c r="AR65" s="155" t="s">
        <v>155</v>
      </c>
      <c r="AS65" s="219">
        <v>9.525747127346218E-3</v>
      </c>
      <c r="AT65" s="155">
        <v>54</v>
      </c>
      <c r="AV65" s="155" t="s">
        <v>155</v>
      </c>
      <c r="AW65" s="219">
        <v>9.525747127346218E-3</v>
      </c>
      <c r="AX65" s="155">
        <v>54</v>
      </c>
      <c r="AZ65" s="155" t="s">
        <v>155</v>
      </c>
      <c r="BA65" s="219">
        <v>7.9954502502384006E-3</v>
      </c>
      <c r="BB65" s="155">
        <v>61</v>
      </c>
      <c r="BD65" s="155" t="s">
        <v>155</v>
      </c>
      <c r="BE65" s="219">
        <v>8.4342485424224733E-3</v>
      </c>
      <c r="BF65" s="155">
        <v>62</v>
      </c>
      <c r="BH65" s="155" t="s">
        <v>155</v>
      </c>
      <c r="BI65" s="219">
        <v>1.0218064690161954E-2</v>
      </c>
      <c r="BJ65" s="155">
        <v>59</v>
      </c>
      <c r="BL65" s="155" t="s">
        <v>155</v>
      </c>
      <c r="BM65" s="219">
        <v>4.2971991818665511E-3</v>
      </c>
      <c r="BN65" s="155">
        <v>67</v>
      </c>
      <c r="BP65" s="155" t="s">
        <v>155</v>
      </c>
      <c r="BQ65" s="159">
        <v>0.43447345201640108</v>
      </c>
      <c r="BR65" s="155">
        <v>55</v>
      </c>
      <c r="BT65" s="155" t="s">
        <v>155</v>
      </c>
      <c r="BU65" s="159">
        <v>0.34165048543689319</v>
      </c>
      <c r="BV65" s="155">
        <v>54</v>
      </c>
      <c r="BX65" s="155" t="s">
        <v>155</v>
      </c>
      <c r="BY65" s="159">
        <v>0.23005029151275089</v>
      </c>
      <c r="BZ65" s="155">
        <v>60</v>
      </c>
      <c r="CB65" s="155" t="s">
        <v>155</v>
      </c>
      <c r="CC65" s="159">
        <v>0.19288704734774914</v>
      </c>
      <c r="CD65" s="155">
        <v>62</v>
      </c>
      <c r="CF65" s="155" t="s">
        <v>155</v>
      </c>
      <c r="CG65" s="159">
        <v>0.17663587211034953</v>
      </c>
      <c r="CH65" s="155">
        <v>59</v>
      </c>
      <c r="CJ65" s="155" t="s">
        <v>155</v>
      </c>
      <c r="CK65" s="159">
        <v>0.10853521578694048</v>
      </c>
      <c r="CL65" s="155">
        <v>56</v>
      </c>
      <c r="CN65" s="155" t="s">
        <v>155</v>
      </c>
      <c r="CO65" s="159">
        <v>2.6061776061776062E-2</v>
      </c>
      <c r="CP65" s="155">
        <v>67</v>
      </c>
    </row>
    <row r="66" spans="1:94" x14ac:dyDescent="0.2">
      <c r="A66" s="155" t="s">
        <v>156</v>
      </c>
      <c r="B66" s="155">
        <v>39048</v>
      </c>
      <c r="C66" s="155">
        <v>40700</v>
      </c>
      <c r="D66" s="155">
        <v>41700</v>
      </c>
      <c r="E66" s="155">
        <v>43000</v>
      </c>
      <c r="F66" s="155">
        <v>43600</v>
      </c>
      <c r="G66" s="155">
        <v>44700</v>
      </c>
      <c r="H66" s="155">
        <v>45600</v>
      </c>
      <c r="I66" s="155">
        <v>46900</v>
      </c>
      <c r="J66" s="155">
        <v>48100</v>
      </c>
      <c r="K66" s="155">
        <v>49300</v>
      </c>
      <c r="L66" s="155">
        <v>50505</v>
      </c>
      <c r="M66" s="155">
        <v>50905</v>
      </c>
      <c r="N66" s="155">
        <v>51394</v>
      </c>
      <c r="O66" s="155">
        <v>52276</v>
      </c>
      <c r="P66" s="155">
        <v>53331</v>
      </c>
      <c r="Q66" s="155">
        <v>53954</v>
      </c>
      <c r="R66" s="155">
        <v>54904</v>
      </c>
      <c r="S66" s="155">
        <v>55985</v>
      </c>
      <c r="T66" s="155">
        <v>57469</v>
      </c>
      <c r="U66" s="155">
        <v>58215</v>
      </c>
      <c r="V66" s="155">
        <v>59347</v>
      </c>
      <c r="W66" s="155">
        <v>60426</v>
      </c>
      <c r="X66" s="155">
        <v>62020</v>
      </c>
      <c r="Y66" s="155">
        <v>63717</v>
      </c>
      <c r="Z66" s="155">
        <v>66041</v>
      </c>
      <c r="AA66" s="155">
        <v>67692</v>
      </c>
      <c r="AB66" s="155">
        <v>69188</v>
      </c>
      <c r="AC66" s="155">
        <v>70839</v>
      </c>
      <c r="AD66" s="155">
        <v>72185</v>
      </c>
      <c r="AE66" s="155">
        <v>73799</v>
      </c>
      <c r="AF66" s="160">
        <v>75155</v>
      </c>
      <c r="AG66" s="160">
        <v>76426</v>
      </c>
      <c r="AH66" s="160">
        <v>77919</v>
      </c>
      <c r="AI66" s="160">
        <v>78934</v>
      </c>
      <c r="AJ66" s="160">
        <v>80066</v>
      </c>
      <c r="AK66" s="155">
        <v>81685</v>
      </c>
      <c r="AL66" s="155">
        <v>83162</v>
      </c>
      <c r="AM66" s="159"/>
      <c r="AN66" s="155" t="s">
        <v>156</v>
      </c>
      <c r="AO66" s="219">
        <v>2.1222019132593362E-2</v>
      </c>
      <c r="AP66" s="155">
        <v>14</v>
      </c>
      <c r="AR66" s="155" t="s">
        <v>156</v>
      </c>
      <c r="AS66" s="219">
        <v>2.0228227988307923E-2</v>
      </c>
      <c r="AT66" s="155">
        <v>17</v>
      </c>
      <c r="AV66" s="155" t="s">
        <v>156</v>
      </c>
      <c r="AW66" s="219">
        <v>2.0228227988307923E-2</v>
      </c>
      <c r="AX66" s="155">
        <v>17</v>
      </c>
      <c r="AZ66" s="155" t="s">
        <v>156</v>
      </c>
      <c r="BA66" s="219">
        <v>1.9366614389991765E-2</v>
      </c>
      <c r="BB66" s="155">
        <v>18</v>
      </c>
      <c r="BD66" s="155" t="s">
        <v>156</v>
      </c>
      <c r="BE66" s="219">
        <v>2.0816497003474321E-2</v>
      </c>
      <c r="BF66" s="155">
        <v>18</v>
      </c>
      <c r="BH66" s="155" t="s">
        <v>156</v>
      </c>
      <c r="BI66" s="219">
        <v>2.1310706530080159E-2</v>
      </c>
      <c r="BJ66" s="155">
        <v>21</v>
      </c>
      <c r="BL66" s="155" t="s">
        <v>156</v>
      </c>
      <c r="BM66" s="219">
        <v>1.7016130212504921E-2</v>
      </c>
      <c r="BN66" s="155">
        <v>23</v>
      </c>
      <c r="BP66" s="155" t="s">
        <v>156</v>
      </c>
      <c r="BQ66" s="159">
        <v>1.1297377586560131</v>
      </c>
      <c r="BR66" s="155">
        <v>14</v>
      </c>
      <c r="BT66" s="155" t="s">
        <v>156</v>
      </c>
      <c r="BU66" s="159">
        <v>0.86044742729306489</v>
      </c>
      <c r="BV66" s="155">
        <v>17</v>
      </c>
      <c r="BX66" s="155" t="s">
        <v>156</v>
      </c>
      <c r="BY66" s="159">
        <v>0.64660924660924657</v>
      </c>
      <c r="BZ66" s="155">
        <v>18</v>
      </c>
      <c r="CB66" s="155" t="s">
        <v>156</v>
      </c>
      <c r="CC66" s="159">
        <v>0.5413500389220447</v>
      </c>
      <c r="CD66" s="155">
        <v>18</v>
      </c>
      <c r="CF66" s="155" t="s">
        <v>156</v>
      </c>
      <c r="CG66" s="159">
        <v>0.40128397391612042</v>
      </c>
      <c r="CH66" s="155">
        <v>21</v>
      </c>
      <c r="CJ66" s="155" t="s">
        <v>156</v>
      </c>
      <c r="CK66" s="159">
        <v>0.22853512970513501</v>
      </c>
      <c r="CL66" s="155">
        <v>24</v>
      </c>
      <c r="CN66" s="155" t="s">
        <v>156</v>
      </c>
      <c r="CO66" s="159">
        <v>0.10653981771006586</v>
      </c>
      <c r="CP66" s="155">
        <v>23</v>
      </c>
    </row>
    <row r="67" spans="1:94" x14ac:dyDescent="0.2">
      <c r="A67" s="155" t="s">
        <v>157</v>
      </c>
      <c r="B67" s="155">
        <v>59122</v>
      </c>
      <c r="C67" s="155">
        <v>60200</v>
      </c>
      <c r="D67" s="155">
        <v>60800</v>
      </c>
      <c r="E67" s="155">
        <v>62200</v>
      </c>
      <c r="F67" s="155">
        <v>63200</v>
      </c>
      <c r="G67" s="155">
        <v>64200</v>
      </c>
      <c r="H67" s="155">
        <v>64900</v>
      </c>
      <c r="I67" s="155">
        <v>66200</v>
      </c>
      <c r="J67" s="155">
        <v>66800</v>
      </c>
      <c r="K67" s="155">
        <v>67000</v>
      </c>
      <c r="L67" s="155">
        <v>67153</v>
      </c>
      <c r="M67" s="155">
        <v>68074</v>
      </c>
      <c r="N67" s="155">
        <v>68784</v>
      </c>
      <c r="O67" s="155">
        <v>69573</v>
      </c>
      <c r="P67" s="155">
        <v>70149</v>
      </c>
      <c r="Q67" s="155">
        <v>71102</v>
      </c>
      <c r="R67" s="155">
        <v>71639</v>
      </c>
      <c r="S67" s="155">
        <v>72659</v>
      </c>
      <c r="T67" s="155">
        <v>73056</v>
      </c>
      <c r="U67" s="155">
        <v>74958</v>
      </c>
      <c r="V67" s="155">
        <v>77060</v>
      </c>
      <c r="W67" s="155">
        <v>78235</v>
      </c>
      <c r="X67" s="155">
        <v>79292</v>
      </c>
      <c r="Y67" s="155">
        <v>80681</v>
      </c>
      <c r="Z67" s="155">
        <v>82378</v>
      </c>
      <c r="AA67" s="155">
        <v>83507</v>
      </c>
      <c r="AB67" s="155">
        <v>84531</v>
      </c>
      <c r="AC67" s="155">
        <v>85922</v>
      </c>
      <c r="AD67" s="155">
        <v>86493</v>
      </c>
      <c r="AE67" s="155">
        <v>87042</v>
      </c>
      <c r="AF67" s="160">
        <v>87735</v>
      </c>
      <c r="AG67" s="160">
        <v>88243</v>
      </c>
      <c r="AH67" s="160">
        <v>88892</v>
      </c>
      <c r="AI67" s="160">
        <v>89694</v>
      </c>
      <c r="AJ67" s="160">
        <v>90683</v>
      </c>
      <c r="AK67" s="155">
        <v>91378</v>
      </c>
      <c r="AL67" s="155">
        <v>92312</v>
      </c>
      <c r="AM67" s="159"/>
      <c r="AN67" s="155" t="s">
        <v>157</v>
      </c>
      <c r="AO67" s="219">
        <v>1.2453885004561238E-2</v>
      </c>
      <c r="AP67" s="155">
        <v>39</v>
      </c>
      <c r="AR67" s="155" t="s">
        <v>157</v>
      </c>
      <c r="AS67" s="219">
        <v>1.1784083011443736E-2</v>
      </c>
      <c r="AT67" s="155">
        <v>43</v>
      </c>
      <c r="AV67" s="155" t="s">
        <v>157</v>
      </c>
      <c r="AW67" s="219">
        <v>1.1784083011443736E-2</v>
      </c>
      <c r="AX67" s="155">
        <v>43</v>
      </c>
      <c r="AZ67" s="155" t="s">
        <v>157</v>
      </c>
      <c r="BA67" s="219">
        <v>1.2313679210280704E-2</v>
      </c>
      <c r="BB67" s="155">
        <v>41</v>
      </c>
      <c r="BD67" s="155" t="s">
        <v>157</v>
      </c>
      <c r="BE67" s="219">
        <v>1.2508956234387858E-2</v>
      </c>
      <c r="BF67" s="155">
        <v>44</v>
      </c>
      <c r="BH67" s="155" t="s">
        <v>157</v>
      </c>
      <c r="BI67" s="219">
        <v>1.1350799752058327E-2</v>
      </c>
      <c r="BJ67" s="155">
        <v>52</v>
      </c>
      <c r="BL67" s="155" t="s">
        <v>157</v>
      </c>
      <c r="BM67" s="219">
        <v>8.5115584606141326E-3</v>
      </c>
      <c r="BN67" s="155">
        <v>44</v>
      </c>
      <c r="BP67" s="155" t="s">
        <v>157</v>
      </c>
      <c r="BQ67" s="159">
        <v>0.56138155001522272</v>
      </c>
      <c r="BR67" s="155">
        <v>39</v>
      </c>
      <c r="BT67" s="155" t="s">
        <v>157</v>
      </c>
      <c r="BU67" s="159">
        <v>0.4378816199376947</v>
      </c>
      <c r="BV67" s="155">
        <v>43</v>
      </c>
      <c r="BX67" s="155" t="s">
        <v>157</v>
      </c>
      <c r="BY67" s="159">
        <v>0.37465191428528882</v>
      </c>
      <c r="BZ67" s="155">
        <v>41</v>
      </c>
      <c r="CB67" s="155" t="s">
        <v>157</v>
      </c>
      <c r="CC67" s="159">
        <v>0.29830384518016373</v>
      </c>
      <c r="CD67" s="155">
        <v>44</v>
      </c>
      <c r="CF67" s="155" t="s">
        <v>157</v>
      </c>
      <c r="CG67" s="159">
        <v>0.19792369582143785</v>
      </c>
      <c r="CH67" s="155">
        <v>52</v>
      </c>
      <c r="CJ67" s="155" t="s">
        <v>157</v>
      </c>
      <c r="CK67" s="159">
        <v>0.10544026249296466</v>
      </c>
      <c r="CL67" s="155">
        <v>58</v>
      </c>
      <c r="CN67" s="155" t="s">
        <v>157</v>
      </c>
      <c r="CO67" s="159">
        <v>5.2168461845329687E-2</v>
      </c>
      <c r="CP67" s="155">
        <v>44</v>
      </c>
    </row>
    <row r="68" spans="1:94" x14ac:dyDescent="0.2">
      <c r="A68" s="155" t="s">
        <v>158</v>
      </c>
      <c r="B68" s="155">
        <v>82996</v>
      </c>
      <c r="C68" s="155">
        <v>87400</v>
      </c>
      <c r="D68" s="155">
        <v>91400</v>
      </c>
      <c r="E68" s="155">
        <v>94400</v>
      </c>
      <c r="F68" s="155">
        <v>96700</v>
      </c>
      <c r="G68" s="155">
        <v>98600</v>
      </c>
      <c r="H68" s="155">
        <v>99800</v>
      </c>
      <c r="I68" s="155">
        <v>101500</v>
      </c>
      <c r="J68" s="155">
        <v>100700</v>
      </c>
      <c r="K68" s="155">
        <v>101600</v>
      </c>
      <c r="L68" s="155">
        <v>103471</v>
      </c>
      <c r="M68" s="155">
        <v>105368</v>
      </c>
      <c r="N68" s="155">
        <v>107489</v>
      </c>
      <c r="O68" s="155">
        <v>108586</v>
      </c>
      <c r="P68" s="155">
        <v>110154</v>
      </c>
      <c r="Q68" s="155">
        <v>112014</v>
      </c>
      <c r="R68" s="155">
        <v>114273</v>
      </c>
      <c r="S68" s="155">
        <v>115934</v>
      </c>
      <c r="T68" s="155">
        <v>116958</v>
      </c>
      <c r="U68" s="155">
        <v>118238</v>
      </c>
      <c r="V68" s="155">
        <v>121140</v>
      </c>
      <c r="W68" s="155">
        <v>125530</v>
      </c>
      <c r="X68" s="155">
        <v>128946</v>
      </c>
      <c r="Y68" s="155">
        <v>133358</v>
      </c>
      <c r="Z68" s="155">
        <v>138365</v>
      </c>
      <c r="AA68" s="155">
        <v>143950</v>
      </c>
      <c r="AB68" s="155">
        <v>148892</v>
      </c>
      <c r="AC68" s="155">
        <v>153079</v>
      </c>
      <c r="AD68" s="155">
        <v>156948</v>
      </c>
      <c r="AE68" s="155">
        <v>158774</v>
      </c>
      <c r="AF68" s="160">
        <v>160670</v>
      </c>
      <c r="AG68" s="160">
        <v>163087</v>
      </c>
      <c r="AH68" s="160">
        <v>165697</v>
      </c>
      <c r="AI68" s="160">
        <v>168448</v>
      </c>
      <c r="AJ68" s="160">
        <v>173627</v>
      </c>
      <c r="AK68" s="155">
        <v>179553</v>
      </c>
      <c r="AL68" s="155">
        <v>182591</v>
      </c>
      <c r="AM68" s="159"/>
      <c r="AN68" s="155" t="s">
        <v>158</v>
      </c>
      <c r="AO68" s="219">
        <v>2.2143162726961929E-2</v>
      </c>
      <c r="AP68" s="155">
        <v>11</v>
      </c>
      <c r="AR68" s="155" t="s">
        <v>158</v>
      </c>
      <c r="AS68" s="219">
        <v>2.0075547653003678E-2</v>
      </c>
      <c r="AT68" s="155">
        <v>18</v>
      </c>
      <c r="AV68" s="155" t="s">
        <v>158</v>
      </c>
      <c r="AW68" s="219">
        <v>2.0075547653003678E-2</v>
      </c>
      <c r="AX68" s="155">
        <v>18</v>
      </c>
      <c r="AZ68" s="155" t="s">
        <v>158</v>
      </c>
      <c r="BA68" s="219">
        <v>2.2084849661669015E-2</v>
      </c>
      <c r="BB68" s="155">
        <v>15</v>
      </c>
      <c r="BD68" s="155" t="s">
        <v>158</v>
      </c>
      <c r="BE68" s="219">
        <v>2.3540656513209246E-2</v>
      </c>
      <c r="BF68" s="155">
        <v>16</v>
      </c>
      <c r="BH68" s="155" t="s">
        <v>158</v>
      </c>
      <c r="BI68" s="219">
        <v>2.5975493600052912E-2</v>
      </c>
      <c r="BJ68" s="155">
        <v>15</v>
      </c>
      <c r="BL68" s="155" t="s">
        <v>158</v>
      </c>
      <c r="BM68" s="219">
        <v>2.1544826987327736E-2</v>
      </c>
      <c r="BN68" s="155">
        <v>17</v>
      </c>
      <c r="BP68" s="155" t="s">
        <v>158</v>
      </c>
      <c r="BQ68" s="159">
        <v>1.1999975902453131</v>
      </c>
      <c r="BR68" s="155">
        <v>11</v>
      </c>
      <c r="BT68" s="155" t="s">
        <v>158</v>
      </c>
      <c r="BU68" s="159">
        <v>0.85183569979716023</v>
      </c>
      <c r="BV68" s="155">
        <v>18</v>
      </c>
      <c r="BX68" s="155" t="s">
        <v>158</v>
      </c>
      <c r="BY68" s="159">
        <v>0.76465869663963815</v>
      </c>
      <c r="BZ68" s="155">
        <v>15</v>
      </c>
      <c r="CB68" s="155" t="s">
        <v>158</v>
      </c>
      <c r="CC68" s="159">
        <v>0.63007302658596243</v>
      </c>
      <c r="CD68" s="155">
        <v>16</v>
      </c>
      <c r="CF68" s="155" t="s">
        <v>158</v>
      </c>
      <c r="CG68" s="159">
        <v>0.50727257718342411</v>
      </c>
      <c r="CH68" s="155">
        <v>15</v>
      </c>
      <c r="CJ68" s="155" t="s">
        <v>158</v>
      </c>
      <c r="CK68" s="159">
        <v>0.26843348384855853</v>
      </c>
      <c r="CL68" s="155">
        <v>19</v>
      </c>
      <c r="CN68" s="155" t="s">
        <v>158</v>
      </c>
      <c r="CO68" s="159">
        <v>0.13643492873591834</v>
      </c>
      <c r="CP68" s="155">
        <v>17</v>
      </c>
    </row>
    <row r="69" spans="1:94" x14ac:dyDescent="0.2">
      <c r="A69" s="155" t="s">
        <v>159</v>
      </c>
      <c r="B69" s="155">
        <v>23099</v>
      </c>
      <c r="C69" s="155">
        <v>23900</v>
      </c>
      <c r="D69" s="155">
        <v>23900</v>
      </c>
      <c r="E69" s="155">
        <v>23000</v>
      </c>
      <c r="F69" s="155">
        <v>22800</v>
      </c>
      <c r="G69" s="155">
        <v>22900</v>
      </c>
      <c r="H69" s="155">
        <v>23000</v>
      </c>
      <c r="I69" s="155">
        <v>23000</v>
      </c>
      <c r="J69" s="155">
        <v>23000</v>
      </c>
      <c r="K69" s="155">
        <v>22800</v>
      </c>
      <c r="L69" s="155">
        <v>22195</v>
      </c>
      <c r="M69" s="155">
        <v>22084</v>
      </c>
      <c r="N69" s="155">
        <v>21941</v>
      </c>
      <c r="O69" s="155">
        <v>21863</v>
      </c>
      <c r="P69" s="155">
        <v>21897</v>
      </c>
      <c r="Q69" s="155">
        <v>21912</v>
      </c>
      <c r="R69" s="155">
        <v>21957</v>
      </c>
      <c r="S69" s="155">
        <v>21547</v>
      </c>
      <c r="T69" s="155">
        <v>21184</v>
      </c>
      <c r="U69" s="155">
        <v>20939</v>
      </c>
      <c r="V69" s="155">
        <v>21032</v>
      </c>
      <c r="W69" s="155">
        <v>21051</v>
      </c>
      <c r="X69" s="155">
        <v>20983</v>
      </c>
      <c r="Y69" s="155">
        <v>21027</v>
      </c>
      <c r="Z69" s="155">
        <v>21202</v>
      </c>
      <c r="AA69" s="155">
        <v>21507</v>
      </c>
      <c r="AB69" s="155">
        <v>21744</v>
      </c>
      <c r="AC69" s="155">
        <v>21884</v>
      </c>
      <c r="AD69" s="155">
        <v>21986</v>
      </c>
      <c r="AE69" s="155">
        <v>21981</v>
      </c>
      <c r="AF69" s="160">
        <v>22090</v>
      </c>
      <c r="AG69" s="160">
        <v>21991</v>
      </c>
      <c r="AH69" s="160">
        <v>21859</v>
      </c>
      <c r="AI69" s="160">
        <v>21728</v>
      </c>
      <c r="AJ69" s="160">
        <v>21504</v>
      </c>
      <c r="AK69" s="155">
        <v>21483</v>
      </c>
      <c r="AL69" s="155">
        <v>21247</v>
      </c>
      <c r="AM69" s="159"/>
      <c r="AN69" s="155" t="s">
        <v>159</v>
      </c>
      <c r="AO69" s="219">
        <v>-2.3187968056936903E-3</v>
      </c>
      <c r="AP69" s="155">
        <v>100</v>
      </c>
      <c r="AR69" s="155" t="s">
        <v>159</v>
      </c>
      <c r="AS69" s="219">
        <v>-2.4138948146087413E-3</v>
      </c>
      <c r="AT69" s="155">
        <v>98</v>
      </c>
      <c r="AV69" s="155" t="s">
        <v>159</v>
      </c>
      <c r="AW69" s="219">
        <v>-2.4138948146087413E-3</v>
      </c>
      <c r="AX69" s="155">
        <v>97</v>
      </c>
      <c r="AZ69" s="155" t="s">
        <v>159</v>
      </c>
      <c r="BA69" s="219">
        <v>-1.6774887231312263E-3</v>
      </c>
      <c r="BB69" s="155">
        <v>96</v>
      </c>
      <c r="BD69" s="155" t="s">
        <v>159</v>
      </c>
      <c r="BE69" s="219">
        <v>-1.4664819023945119E-3</v>
      </c>
      <c r="BF69" s="155">
        <v>95</v>
      </c>
      <c r="BH69" s="155" t="s">
        <v>159</v>
      </c>
      <c r="BI69" s="219">
        <v>6.3586592119690977E-4</v>
      </c>
      <c r="BJ69" s="155">
        <v>92</v>
      </c>
      <c r="BL69" s="155" t="s">
        <v>159</v>
      </c>
      <c r="BM69" s="219">
        <v>-6.4639032633181381E-3</v>
      </c>
      <c r="BN69" s="155">
        <v>98</v>
      </c>
      <c r="BP69" s="155" t="s">
        <v>159</v>
      </c>
      <c r="BQ69" s="159">
        <v>-8.0176631022988012E-2</v>
      </c>
      <c r="BR69" s="155">
        <v>100</v>
      </c>
      <c r="BT69" s="155" t="s">
        <v>159</v>
      </c>
      <c r="BU69" s="159">
        <v>-7.2183406113537116E-2</v>
      </c>
      <c r="BV69" s="155">
        <v>98</v>
      </c>
      <c r="BX69" s="155" t="s">
        <v>159</v>
      </c>
      <c r="BY69" s="159">
        <v>-4.2712322595179097E-2</v>
      </c>
      <c r="BZ69" s="155">
        <v>96</v>
      </c>
      <c r="CB69" s="155" t="s">
        <v>159</v>
      </c>
      <c r="CC69" s="159">
        <v>-3.0348667396860169E-2</v>
      </c>
      <c r="CD69" s="155">
        <v>95</v>
      </c>
      <c r="CF69" s="155" t="s">
        <v>159</v>
      </c>
      <c r="CG69" s="159">
        <v>1.0222518067706353E-2</v>
      </c>
      <c r="CH69" s="155">
        <v>92</v>
      </c>
      <c r="CJ69" s="155" t="s">
        <v>159</v>
      </c>
      <c r="CK69" s="159">
        <v>-1.2089087273910819E-2</v>
      </c>
      <c r="CL69" s="155">
        <v>94</v>
      </c>
      <c r="CN69" s="155" t="s">
        <v>159</v>
      </c>
      <c r="CO69" s="159">
        <v>-3.8162064282480763E-2</v>
      </c>
      <c r="CP69" s="155">
        <v>98</v>
      </c>
    </row>
    <row r="70" spans="1:94" x14ac:dyDescent="0.2">
      <c r="A70" s="155" t="s">
        <v>160</v>
      </c>
      <c r="B70" s="155">
        <v>103126</v>
      </c>
      <c r="C70" s="155">
        <v>100800</v>
      </c>
      <c r="D70" s="155">
        <v>94700</v>
      </c>
      <c r="E70" s="155">
        <v>93200</v>
      </c>
      <c r="F70" s="155">
        <v>96400</v>
      </c>
      <c r="G70" s="155">
        <v>112700</v>
      </c>
      <c r="H70" s="155">
        <v>115300</v>
      </c>
      <c r="I70" s="155">
        <v>116400</v>
      </c>
      <c r="J70" s="155">
        <v>118500</v>
      </c>
      <c r="K70" s="155">
        <v>113200</v>
      </c>
      <c r="L70" s="155">
        <v>112784</v>
      </c>
      <c r="M70" s="155">
        <v>116100</v>
      </c>
      <c r="N70" s="155">
        <v>118881</v>
      </c>
      <c r="O70" s="155">
        <v>124216</v>
      </c>
      <c r="P70" s="155">
        <v>128297</v>
      </c>
      <c r="Q70" s="155">
        <v>133240</v>
      </c>
      <c r="R70" s="155">
        <v>138143</v>
      </c>
      <c r="S70" s="155">
        <v>141166</v>
      </c>
      <c r="T70" s="155">
        <v>142695</v>
      </c>
      <c r="U70" s="155">
        <v>149174</v>
      </c>
      <c r="V70" s="155">
        <v>150098</v>
      </c>
      <c r="W70" s="155">
        <v>151342</v>
      </c>
      <c r="X70" s="155">
        <v>146370</v>
      </c>
      <c r="Y70" s="155">
        <v>147789</v>
      </c>
      <c r="Z70" s="155">
        <v>146760</v>
      </c>
      <c r="AA70" s="155">
        <v>147258</v>
      </c>
      <c r="AB70" s="155">
        <v>148658</v>
      </c>
      <c r="AC70" s="155">
        <v>147955</v>
      </c>
      <c r="AD70" s="155">
        <v>150773</v>
      </c>
      <c r="AE70" s="155">
        <v>149628</v>
      </c>
      <c r="AF70" s="160">
        <v>150099</v>
      </c>
      <c r="AG70" s="160">
        <v>148083</v>
      </c>
      <c r="AH70" s="160">
        <v>149743</v>
      </c>
      <c r="AI70" s="160">
        <v>151460</v>
      </c>
      <c r="AJ70" s="160">
        <v>154587</v>
      </c>
      <c r="AK70" s="155">
        <v>152440</v>
      </c>
      <c r="AL70" s="155">
        <v>150673</v>
      </c>
      <c r="AM70" s="159"/>
      <c r="AN70" s="155" t="s">
        <v>160</v>
      </c>
      <c r="AO70" s="219">
        <v>1.0587892090135886E-2</v>
      </c>
      <c r="AP70" s="155">
        <v>52</v>
      </c>
      <c r="AR70" s="155" t="s">
        <v>160</v>
      </c>
      <c r="AS70" s="219">
        <v>9.4111868836375123E-3</v>
      </c>
      <c r="AT70" s="155">
        <v>55</v>
      </c>
      <c r="AV70" s="155" t="s">
        <v>160</v>
      </c>
      <c r="AW70" s="219">
        <v>9.4111868836375123E-3</v>
      </c>
      <c r="AX70" s="155">
        <v>55</v>
      </c>
      <c r="AZ70" s="155" t="s">
        <v>160</v>
      </c>
      <c r="BA70" s="219">
        <v>1.1202181315369764E-2</v>
      </c>
      <c r="BB70" s="155">
        <v>46</v>
      </c>
      <c r="BD70" s="155" t="s">
        <v>160</v>
      </c>
      <c r="BE70" s="219">
        <v>5.8724093093371899E-3</v>
      </c>
      <c r="BF70" s="155">
        <v>75</v>
      </c>
      <c r="BH70" s="155" t="s">
        <v>160</v>
      </c>
      <c r="BI70" s="219">
        <v>2.3899802914240098E-4</v>
      </c>
      <c r="BJ70" s="155">
        <v>94</v>
      </c>
      <c r="BL70" s="155" t="s">
        <v>160</v>
      </c>
      <c r="BM70" s="219">
        <v>6.3634392875466794E-4</v>
      </c>
      <c r="BN70" s="155">
        <v>82</v>
      </c>
      <c r="BP70" s="155" t="s">
        <v>160</v>
      </c>
      <c r="BQ70" s="159">
        <v>0.4610573473226926</v>
      </c>
      <c r="BR70" s="155">
        <v>52</v>
      </c>
      <c r="BT70" s="155" t="s">
        <v>160</v>
      </c>
      <c r="BU70" s="159">
        <v>0.33693877551020407</v>
      </c>
      <c r="BV70" s="155">
        <v>55</v>
      </c>
      <c r="BX70" s="155" t="s">
        <v>160</v>
      </c>
      <c r="BY70" s="159">
        <v>0.3359430415661796</v>
      </c>
      <c r="BZ70" s="155">
        <v>46</v>
      </c>
      <c r="CB70" s="155" t="s">
        <v>160</v>
      </c>
      <c r="CC70" s="159">
        <v>0.13083908736115279</v>
      </c>
      <c r="CD70" s="155">
        <v>75</v>
      </c>
      <c r="CF70" s="155" t="s">
        <v>160</v>
      </c>
      <c r="CG70" s="159">
        <v>3.8308305240576158E-3</v>
      </c>
      <c r="CH70" s="155">
        <v>94</v>
      </c>
      <c r="CJ70" s="155" t="s">
        <v>160</v>
      </c>
      <c r="CK70" s="159">
        <v>2.3190590664004671E-2</v>
      </c>
      <c r="CL70" s="155">
        <v>88</v>
      </c>
      <c r="CN70" s="155" t="s">
        <v>160</v>
      </c>
      <c r="CO70" s="159">
        <v>3.8241427324632411E-3</v>
      </c>
      <c r="CP70" s="155">
        <v>82</v>
      </c>
    </row>
    <row r="71" spans="1:94" x14ac:dyDescent="0.2">
      <c r="A71" s="155" t="s">
        <v>161</v>
      </c>
      <c r="B71" s="155">
        <v>57567</v>
      </c>
      <c r="C71" s="155">
        <v>61400</v>
      </c>
      <c r="D71" s="155">
        <v>65800</v>
      </c>
      <c r="E71" s="155">
        <v>67500</v>
      </c>
      <c r="F71" s="155">
        <v>71100</v>
      </c>
      <c r="G71" s="155">
        <v>69300</v>
      </c>
      <c r="H71" s="155">
        <v>70800</v>
      </c>
      <c r="I71" s="155">
        <v>73200</v>
      </c>
      <c r="J71" s="155">
        <v>74100</v>
      </c>
      <c r="K71" s="155">
        <v>75900</v>
      </c>
      <c r="L71" s="155">
        <v>77055</v>
      </c>
      <c r="M71" s="155">
        <v>77880</v>
      </c>
      <c r="N71" s="155">
        <v>78644</v>
      </c>
      <c r="O71" s="155">
        <v>80078</v>
      </c>
      <c r="P71" s="155">
        <v>81299</v>
      </c>
      <c r="Q71" s="155">
        <v>83604</v>
      </c>
      <c r="R71" s="155">
        <v>86149</v>
      </c>
      <c r="S71" s="155">
        <v>88002</v>
      </c>
      <c r="T71" s="155">
        <v>90396</v>
      </c>
      <c r="U71" s="155">
        <v>92547</v>
      </c>
      <c r="V71" s="155">
        <v>94232</v>
      </c>
      <c r="W71" s="155">
        <v>96118</v>
      </c>
      <c r="X71" s="155">
        <v>98745</v>
      </c>
      <c r="Y71" s="155">
        <v>102516</v>
      </c>
      <c r="Z71" s="155">
        <v>105940</v>
      </c>
      <c r="AA71" s="155">
        <v>108479</v>
      </c>
      <c r="AB71" s="155">
        <v>110365</v>
      </c>
      <c r="AC71" s="155">
        <v>112831</v>
      </c>
      <c r="AD71" s="155">
        <v>114896</v>
      </c>
      <c r="AE71" s="155">
        <v>116862</v>
      </c>
      <c r="AF71" s="160">
        <v>115912</v>
      </c>
      <c r="AG71" s="160">
        <v>117438</v>
      </c>
      <c r="AH71" s="160">
        <v>117074</v>
      </c>
      <c r="AI71" s="160">
        <v>117222</v>
      </c>
      <c r="AJ71" s="160">
        <v>117141</v>
      </c>
      <c r="AK71" s="155">
        <v>118386</v>
      </c>
      <c r="AL71" s="155">
        <v>120100</v>
      </c>
      <c r="AM71" s="159"/>
      <c r="AN71" s="155" t="s">
        <v>161</v>
      </c>
      <c r="AO71" s="219">
        <v>2.0637150938900062E-2</v>
      </c>
      <c r="AP71" s="155">
        <v>17</v>
      </c>
      <c r="AR71" s="155" t="s">
        <v>161</v>
      </c>
      <c r="AS71" s="219">
        <v>1.7896312487576838E-2</v>
      </c>
      <c r="AT71" s="155">
        <v>22</v>
      </c>
      <c r="AV71" s="155" t="s">
        <v>161</v>
      </c>
      <c r="AW71" s="219">
        <v>1.7896312487576838E-2</v>
      </c>
      <c r="AX71" s="155">
        <v>22</v>
      </c>
      <c r="AZ71" s="155" t="s">
        <v>161</v>
      </c>
      <c r="BA71" s="219">
        <v>1.7215948951994964E-2</v>
      </c>
      <c r="BB71" s="155">
        <v>24</v>
      </c>
      <c r="BD71" s="155" t="s">
        <v>161</v>
      </c>
      <c r="BE71" s="219">
        <v>1.7398834433938193E-2</v>
      </c>
      <c r="BF71" s="155">
        <v>26</v>
      </c>
      <c r="BH71" s="155" t="s">
        <v>161</v>
      </c>
      <c r="BI71" s="219">
        <v>1.5275806782526269E-2</v>
      </c>
      <c r="BJ71" s="155">
        <v>38</v>
      </c>
      <c r="BL71" s="155" t="s">
        <v>161</v>
      </c>
      <c r="BM71" s="219">
        <v>5.9331059910325834E-3</v>
      </c>
      <c r="BN71" s="155">
        <v>55</v>
      </c>
      <c r="BP71" s="155" t="s">
        <v>161</v>
      </c>
      <c r="BQ71" s="159">
        <v>1.0862647002623032</v>
      </c>
      <c r="BR71" s="155">
        <v>17</v>
      </c>
      <c r="BT71" s="155" t="s">
        <v>161</v>
      </c>
      <c r="BU71" s="159">
        <v>0.73304473304473305</v>
      </c>
      <c r="BV71" s="155">
        <v>22</v>
      </c>
      <c r="BX71" s="155" t="s">
        <v>161</v>
      </c>
      <c r="BY71" s="159">
        <v>0.55862695477256508</v>
      </c>
      <c r="BZ71" s="155">
        <v>25</v>
      </c>
      <c r="CB71" s="155" t="s">
        <v>161</v>
      </c>
      <c r="CC71" s="159">
        <v>0.43653413712262573</v>
      </c>
      <c r="CD71" s="155">
        <v>25</v>
      </c>
      <c r="CF71" s="155" t="s">
        <v>161</v>
      </c>
      <c r="CG71" s="159">
        <v>0.27451396553187879</v>
      </c>
      <c r="CH71" s="155">
        <v>38</v>
      </c>
      <c r="CJ71" s="155" t="s">
        <v>161</v>
      </c>
      <c r="CK71" s="159">
        <v>0.10712672498824657</v>
      </c>
      <c r="CL71" s="155">
        <v>57</v>
      </c>
      <c r="CN71" s="155" t="s">
        <v>161</v>
      </c>
      <c r="CO71" s="159">
        <v>3.6130857892194078E-2</v>
      </c>
      <c r="CP71" s="155">
        <v>55</v>
      </c>
    </row>
    <row r="72" spans="1:94" x14ac:dyDescent="0.2">
      <c r="A72" s="155" t="s">
        <v>162</v>
      </c>
      <c r="B72" s="155">
        <v>9467</v>
      </c>
      <c r="C72" s="155">
        <v>9500</v>
      </c>
      <c r="D72" s="155">
        <v>9500</v>
      </c>
      <c r="E72" s="155">
        <v>9500</v>
      </c>
      <c r="F72" s="155">
        <v>9400</v>
      </c>
      <c r="G72" s="155">
        <v>9500</v>
      </c>
      <c r="H72" s="155">
        <v>9700</v>
      </c>
      <c r="I72" s="155">
        <v>9900</v>
      </c>
      <c r="J72" s="155">
        <v>10100</v>
      </c>
      <c r="K72" s="155">
        <v>10100</v>
      </c>
      <c r="L72" s="155">
        <v>10398</v>
      </c>
      <c r="M72" s="155">
        <v>10441</v>
      </c>
      <c r="N72" s="155">
        <v>10636</v>
      </c>
      <c r="O72" s="155">
        <v>10720</v>
      </c>
      <c r="P72" s="155">
        <v>10920</v>
      </c>
      <c r="Q72" s="155">
        <v>11037</v>
      </c>
      <c r="R72" s="155">
        <v>11113</v>
      </c>
      <c r="S72" s="155">
        <v>11090</v>
      </c>
      <c r="T72" s="155">
        <v>11185</v>
      </c>
      <c r="U72" s="155">
        <v>11283</v>
      </c>
      <c r="V72" s="155">
        <v>11395</v>
      </c>
      <c r="W72" s="155">
        <v>11475</v>
      </c>
      <c r="X72" s="155">
        <v>11603</v>
      </c>
      <c r="Y72" s="155">
        <v>11758</v>
      </c>
      <c r="Z72" s="155">
        <v>11926</v>
      </c>
      <c r="AA72" s="155">
        <v>12045</v>
      </c>
      <c r="AB72" s="155">
        <v>12165</v>
      </c>
      <c r="AC72" s="155">
        <v>12163</v>
      </c>
      <c r="AD72" s="155">
        <v>12326</v>
      </c>
      <c r="AE72" s="155">
        <v>12898</v>
      </c>
      <c r="AF72" s="160">
        <v>12945</v>
      </c>
      <c r="AG72" s="160">
        <v>12836</v>
      </c>
      <c r="AH72" s="160">
        <v>12872</v>
      </c>
      <c r="AI72" s="160">
        <v>12827</v>
      </c>
      <c r="AJ72" s="160">
        <v>12722</v>
      </c>
      <c r="AK72" s="155">
        <v>12735</v>
      </c>
      <c r="AL72" s="155">
        <v>12785</v>
      </c>
      <c r="AM72" s="159"/>
      <c r="AN72" s="155" t="s">
        <v>162</v>
      </c>
      <c r="AO72" s="219">
        <v>8.3810521643650215E-3</v>
      </c>
      <c r="AP72" s="155">
        <v>70</v>
      </c>
      <c r="AR72" s="155" t="s">
        <v>162</v>
      </c>
      <c r="AS72" s="219">
        <v>9.6260614729488658E-3</v>
      </c>
      <c r="AT72" s="155">
        <v>53</v>
      </c>
      <c r="AV72" s="155" t="s">
        <v>162</v>
      </c>
      <c r="AW72" s="219">
        <v>9.6260614729488658E-3</v>
      </c>
      <c r="AX72" s="155">
        <v>53</v>
      </c>
      <c r="AZ72" s="155" t="s">
        <v>162</v>
      </c>
      <c r="BA72" s="219">
        <v>7.9801006443560585E-3</v>
      </c>
      <c r="BB72" s="155">
        <v>62</v>
      </c>
      <c r="BD72" s="155" t="s">
        <v>162</v>
      </c>
      <c r="BE72" s="219">
        <v>7.0254848784712109E-3</v>
      </c>
      <c r="BF72" s="155">
        <v>69</v>
      </c>
      <c r="BH72" s="155" t="s">
        <v>162</v>
      </c>
      <c r="BI72" s="219">
        <v>7.2195578784641778E-3</v>
      </c>
      <c r="BJ72" s="155">
        <v>76</v>
      </c>
      <c r="BL72" s="155" t="s">
        <v>162</v>
      </c>
      <c r="BM72" s="219">
        <v>-2.0706872397721066E-3</v>
      </c>
      <c r="BN72" s="155">
        <v>89</v>
      </c>
      <c r="BP72" s="155" t="s">
        <v>162</v>
      </c>
      <c r="BQ72" s="159">
        <v>0.35048061687968735</v>
      </c>
      <c r="BR72" s="155">
        <v>70</v>
      </c>
      <c r="BT72" s="155" t="s">
        <v>162</v>
      </c>
      <c r="BU72" s="159">
        <v>0.34578947368421054</v>
      </c>
      <c r="BV72" s="155">
        <v>53</v>
      </c>
      <c r="BX72" s="155" t="s">
        <v>162</v>
      </c>
      <c r="BY72" s="159">
        <v>0.22956337757261011</v>
      </c>
      <c r="BZ72" s="155">
        <v>61</v>
      </c>
      <c r="CB72" s="155" t="s">
        <v>162</v>
      </c>
      <c r="CC72" s="159">
        <v>0.15837637039050467</v>
      </c>
      <c r="CD72" s="155">
        <v>69</v>
      </c>
      <c r="CF72" s="155" t="s">
        <v>162</v>
      </c>
      <c r="CG72" s="159">
        <v>0.12198332602018429</v>
      </c>
      <c r="CH72" s="155">
        <v>76</v>
      </c>
      <c r="CJ72" s="155" t="s">
        <v>162</v>
      </c>
      <c r="CK72" s="159">
        <v>6.1436280614362807E-2</v>
      </c>
      <c r="CL72" s="155">
        <v>76</v>
      </c>
      <c r="CN72" s="155" t="s">
        <v>162</v>
      </c>
      <c r="CO72" s="159">
        <v>-1.2359984550019312E-2</v>
      </c>
      <c r="CP72" s="155">
        <v>89</v>
      </c>
    </row>
    <row r="73" spans="1:94" x14ac:dyDescent="0.2">
      <c r="A73" s="155" t="s">
        <v>163</v>
      </c>
      <c r="B73" s="155">
        <v>26824</v>
      </c>
      <c r="C73" s="155">
        <v>27300</v>
      </c>
      <c r="D73" s="155">
        <v>27300</v>
      </c>
      <c r="E73" s="155">
        <v>27200</v>
      </c>
      <c r="F73" s="155">
        <v>27600</v>
      </c>
      <c r="G73" s="155">
        <v>27500</v>
      </c>
      <c r="H73" s="155">
        <v>28000</v>
      </c>
      <c r="I73" s="155">
        <v>28200</v>
      </c>
      <c r="J73" s="155">
        <v>28000</v>
      </c>
      <c r="K73" s="155">
        <v>28200</v>
      </c>
      <c r="L73" s="155">
        <v>28462</v>
      </c>
      <c r="M73" s="155">
        <v>28535</v>
      </c>
      <c r="N73" s="155">
        <v>28781</v>
      </c>
      <c r="O73" s="155">
        <v>28767</v>
      </c>
      <c r="P73" s="155">
        <v>29116</v>
      </c>
      <c r="Q73" s="155">
        <v>29493</v>
      </c>
      <c r="R73" s="155">
        <v>30071</v>
      </c>
      <c r="S73" s="155">
        <v>30371</v>
      </c>
      <c r="T73" s="155">
        <v>30649</v>
      </c>
      <c r="U73" s="155">
        <v>31011</v>
      </c>
      <c r="V73" s="155">
        <v>31403</v>
      </c>
      <c r="W73" s="155">
        <v>31636</v>
      </c>
      <c r="X73" s="155">
        <v>32317</v>
      </c>
      <c r="Y73" s="155">
        <v>32966</v>
      </c>
      <c r="Z73" s="155">
        <v>33147</v>
      </c>
      <c r="AA73" s="155">
        <v>33315</v>
      </c>
      <c r="AB73" s="155">
        <v>33947</v>
      </c>
      <c r="AC73" s="155">
        <v>34757</v>
      </c>
      <c r="AD73" s="155">
        <v>35059</v>
      </c>
      <c r="AE73" s="155">
        <v>34913</v>
      </c>
      <c r="AF73" s="160">
        <v>34879</v>
      </c>
      <c r="AG73" s="160">
        <v>34886</v>
      </c>
      <c r="AH73" s="160">
        <v>35593</v>
      </c>
      <c r="AI73" s="160">
        <v>36085</v>
      </c>
      <c r="AJ73" s="160">
        <v>37057</v>
      </c>
      <c r="AK73" s="155">
        <v>38270</v>
      </c>
      <c r="AL73" s="155">
        <v>39591</v>
      </c>
      <c r="AM73" s="159"/>
      <c r="AN73" s="155" t="s">
        <v>163</v>
      </c>
      <c r="AO73" s="219">
        <v>1.0872705398355942E-2</v>
      </c>
      <c r="AP73" s="155">
        <v>51</v>
      </c>
      <c r="AR73" s="155" t="s">
        <v>163</v>
      </c>
      <c r="AS73" s="219">
        <v>1.1824714524838686E-2</v>
      </c>
      <c r="AT73" s="155">
        <v>42</v>
      </c>
      <c r="AV73" s="155" t="s">
        <v>163</v>
      </c>
      <c r="AW73" s="219">
        <v>1.1824714524838686E-2</v>
      </c>
      <c r="AX73" s="155">
        <v>42</v>
      </c>
      <c r="AZ73" s="155" t="s">
        <v>163</v>
      </c>
      <c r="BA73" s="219">
        <v>1.2774441646012935E-2</v>
      </c>
      <c r="BB73" s="155">
        <v>36</v>
      </c>
      <c r="BD73" s="155" t="s">
        <v>163</v>
      </c>
      <c r="BE73" s="219">
        <v>1.4120135411230361E-2</v>
      </c>
      <c r="BF73" s="155">
        <v>34</v>
      </c>
      <c r="BH73" s="155" t="s">
        <v>163</v>
      </c>
      <c r="BI73" s="219">
        <v>1.4586509178218021E-2</v>
      </c>
      <c r="BJ73" s="155">
        <v>40</v>
      </c>
      <c r="BL73" s="155" t="s">
        <v>163</v>
      </c>
      <c r="BM73" s="219">
        <v>2.1344076375802379E-2</v>
      </c>
      <c r="BN73" s="155">
        <v>18</v>
      </c>
      <c r="BP73" s="155" t="s">
        <v>163</v>
      </c>
      <c r="BQ73" s="159">
        <v>0.47595436922159262</v>
      </c>
      <c r="BR73" s="155">
        <v>51</v>
      </c>
      <c r="BT73" s="155" t="s">
        <v>163</v>
      </c>
      <c r="BU73" s="159">
        <v>0.43967272727272727</v>
      </c>
      <c r="BV73" s="155">
        <v>42</v>
      </c>
      <c r="BX73" s="155" t="s">
        <v>163</v>
      </c>
      <c r="BY73" s="159">
        <v>0.39101257817440799</v>
      </c>
      <c r="BZ73" s="155">
        <v>36</v>
      </c>
      <c r="CB73" s="155" t="s">
        <v>163</v>
      </c>
      <c r="CC73" s="159">
        <v>0.34238632895941412</v>
      </c>
      <c r="CD73" s="155">
        <v>34</v>
      </c>
      <c r="CF73" s="155" t="s">
        <v>163</v>
      </c>
      <c r="CG73" s="159">
        <v>0.26073941980065601</v>
      </c>
      <c r="CH73" s="155">
        <v>40</v>
      </c>
      <c r="CJ73" s="155" t="s">
        <v>163</v>
      </c>
      <c r="CK73" s="159">
        <v>0.18838361098604231</v>
      </c>
      <c r="CL73" s="155">
        <v>31</v>
      </c>
      <c r="CN73" s="155" t="s">
        <v>163</v>
      </c>
      <c r="CO73" s="159">
        <v>0.13509561627340233</v>
      </c>
      <c r="CP73" s="155">
        <v>18</v>
      </c>
    </row>
    <row r="74" spans="1:94" x14ac:dyDescent="0.2">
      <c r="A74" s="155" t="s">
        <v>164</v>
      </c>
      <c r="B74" s="155">
        <v>18149</v>
      </c>
      <c r="C74" s="155">
        <v>18200</v>
      </c>
      <c r="D74" s="155">
        <v>18600</v>
      </c>
      <c r="E74" s="155">
        <v>19300</v>
      </c>
      <c r="F74" s="155">
        <v>19800</v>
      </c>
      <c r="G74" s="155">
        <v>20200</v>
      </c>
      <c r="H74" s="155">
        <v>20700</v>
      </c>
      <c r="I74" s="155">
        <v>21100</v>
      </c>
      <c r="J74" s="155">
        <v>21400</v>
      </c>
      <c r="K74" s="155">
        <v>21700</v>
      </c>
      <c r="L74" s="155">
        <v>22262</v>
      </c>
      <c r="M74" s="155">
        <v>22550</v>
      </c>
      <c r="N74" s="155">
        <v>22903</v>
      </c>
      <c r="O74" s="155">
        <v>23241</v>
      </c>
      <c r="P74" s="155">
        <v>23757</v>
      </c>
      <c r="Q74" s="155">
        <v>24390</v>
      </c>
      <c r="R74" s="155">
        <v>25198</v>
      </c>
      <c r="S74" s="155">
        <v>26226</v>
      </c>
      <c r="T74" s="155">
        <v>27011</v>
      </c>
      <c r="U74" s="155">
        <v>27985</v>
      </c>
      <c r="V74" s="155">
        <v>29086</v>
      </c>
      <c r="W74" s="155">
        <v>30040</v>
      </c>
      <c r="X74" s="155">
        <v>30958</v>
      </c>
      <c r="Y74" s="155">
        <v>32537</v>
      </c>
      <c r="Z74" s="155">
        <v>33868</v>
      </c>
      <c r="AA74" s="155">
        <v>35194</v>
      </c>
      <c r="AB74" s="155">
        <v>36604</v>
      </c>
      <c r="AC74" s="155">
        <v>38069</v>
      </c>
      <c r="AD74" s="155">
        <v>39585</v>
      </c>
      <c r="AE74" s="155">
        <v>40538</v>
      </c>
      <c r="AF74" s="160">
        <v>41273</v>
      </c>
      <c r="AG74" s="160">
        <v>41889</v>
      </c>
      <c r="AH74" s="160">
        <v>42862</v>
      </c>
      <c r="AI74" s="160">
        <v>43610</v>
      </c>
      <c r="AJ74" s="160">
        <v>45041</v>
      </c>
      <c r="AK74" s="155">
        <v>46429</v>
      </c>
      <c r="AL74" s="155">
        <v>48630</v>
      </c>
      <c r="AM74" s="159"/>
      <c r="AN74" s="155" t="s">
        <v>164</v>
      </c>
      <c r="AO74" s="219">
        <v>2.775671114350331E-2</v>
      </c>
      <c r="AP74" s="155">
        <v>6</v>
      </c>
      <c r="AR74" s="155" t="s">
        <v>164</v>
      </c>
      <c r="AS74" s="219">
        <v>2.874599640233777E-2</v>
      </c>
      <c r="AT74" s="155">
        <v>5</v>
      </c>
      <c r="AV74" s="155" t="s">
        <v>164</v>
      </c>
      <c r="AW74" s="219">
        <v>2.874599640233777E-2</v>
      </c>
      <c r="AX74" s="155">
        <v>5</v>
      </c>
      <c r="AZ74" s="155" t="s">
        <v>164</v>
      </c>
      <c r="BA74" s="219">
        <v>3.0508413681870961E-2</v>
      </c>
      <c r="BB74" s="155">
        <v>5</v>
      </c>
      <c r="BD74" s="155" t="s">
        <v>164</v>
      </c>
      <c r="BE74" s="219">
        <v>3.3406217046499487E-2</v>
      </c>
      <c r="BF74" s="155">
        <v>5</v>
      </c>
      <c r="BH74" s="155" t="s">
        <v>164</v>
      </c>
      <c r="BI74" s="219">
        <v>3.2645523835691082E-2</v>
      </c>
      <c r="BJ74" s="155">
        <v>7</v>
      </c>
      <c r="BL74" s="155" t="s">
        <v>164</v>
      </c>
      <c r="BM74" s="219">
        <v>2.7715812548795293E-2</v>
      </c>
      <c r="BN74" s="155">
        <v>12</v>
      </c>
      <c r="BP74" s="155" t="s">
        <v>164</v>
      </c>
      <c r="BQ74" s="159">
        <v>1.6794864730839165</v>
      </c>
      <c r="BR74" s="155">
        <v>6</v>
      </c>
      <c r="BT74" s="155" t="s">
        <v>164</v>
      </c>
      <c r="BU74" s="159">
        <v>1.4074257425742573</v>
      </c>
      <c r="BV74" s="155">
        <v>5</v>
      </c>
      <c r="BX74" s="155" t="s">
        <v>164</v>
      </c>
      <c r="BY74" s="159">
        <v>1.1844398526637319</v>
      </c>
      <c r="BZ74" s="155">
        <v>5</v>
      </c>
      <c r="CB74" s="155" t="s">
        <v>164</v>
      </c>
      <c r="CC74" s="159">
        <v>0.99384993849938497</v>
      </c>
      <c r="CD74" s="155">
        <v>5</v>
      </c>
      <c r="CF74" s="155" t="s">
        <v>164</v>
      </c>
      <c r="CG74" s="159">
        <v>0.67193838960324559</v>
      </c>
      <c r="CH74" s="155">
        <v>7</v>
      </c>
      <c r="CJ74" s="155" t="s">
        <v>164</v>
      </c>
      <c r="CK74" s="159">
        <v>0.38176961982156049</v>
      </c>
      <c r="CL74" s="155">
        <v>11</v>
      </c>
      <c r="CN74" s="155" t="s">
        <v>164</v>
      </c>
      <c r="CO74" s="159">
        <v>0.17825212608727256</v>
      </c>
      <c r="CP74" s="155">
        <v>12</v>
      </c>
    </row>
    <row r="75" spans="1:94" x14ac:dyDescent="0.2">
      <c r="A75" s="155" t="s">
        <v>165</v>
      </c>
      <c r="B75" s="155">
        <v>8351</v>
      </c>
      <c r="C75" s="155">
        <v>8500</v>
      </c>
      <c r="D75" s="155">
        <v>8500</v>
      </c>
      <c r="E75" s="155">
        <v>8600</v>
      </c>
      <c r="F75" s="155">
        <v>8500</v>
      </c>
      <c r="G75" s="155">
        <v>9100</v>
      </c>
      <c r="H75" s="155">
        <v>8800</v>
      </c>
      <c r="I75" s="155">
        <v>8900</v>
      </c>
      <c r="J75" s="155">
        <v>9100</v>
      </c>
      <c r="K75" s="155">
        <v>9500</v>
      </c>
      <c r="L75" s="155">
        <v>9486</v>
      </c>
      <c r="M75" s="155">
        <v>9498</v>
      </c>
      <c r="N75" s="155">
        <v>9420</v>
      </c>
      <c r="O75" s="155">
        <v>9472</v>
      </c>
      <c r="P75" s="155">
        <v>9643</v>
      </c>
      <c r="Q75" s="155">
        <v>9944</v>
      </c>
      <c r="R75" s="155">
        <v>10039</v>
      </c>
      <c r="S75" s="155">
        <v>10178</v>
      </c>
      <c r="T75" s="155">
        <v>10391</v>
      </c>
      <c r="U75" s="155">
        <v>10449</v>
      </c>
      <c r="V75" s="155">
        <v>10477</v>
      </c>
      <c r="W75" s="155">
        <v>10484</v>
      </c>
      <c r="X75" s="155">
        <v>10501</v>
      </c>
      <c r="Y75" s="155">
        <v>10599</v>
      </c>
      <c r="Z75" s="155">
        <v>10633</v>
      </c>
      <c r="AA75" s="155">
        <v>10661</v>
      </c>
      <c r="AB75" s="155">
        <v>10900</v>
      </c>
      <c r="AC75" s="155">
        <v>11000</v>
      </c>
      <c r="AD75" s="155">
        <v>11125</v>
      </c>
      <c r="AE75" s="155">
        <v>11234</v>
      </c>
      <c r="AF75" s="160">
        <v>11413</v>
      </c>
      <c r="AG75" s="160">
        <v>11521</v>
      </c>
      <c r="AH75" s="160">
        <v>11617</v>
      </c>
      <c r="AI75" s="160">
        <v>11654</v>
      </c>
      <c r="AJ75" s="160">
        <v>11742</v>
      </c>
      <c r="AK75" s="155">
        <v>12080</v>
      </c>
      <c r="AL75" s="155">
        <v>12337</v>
      </c>
      <c r="AM75" s="159"/>
      <c r="AN75" s="155" t="s">
        <v>165</v>
      </c>
      <c r="AO75" s="219">
        <v>1.0898448564950147E-2</v>
      </c>
      <c r="AP75" s="155">
        <v>50</v>
      </c>
      <c r="AR75" s="155" t="s">
        <v>165</v>
      </c>
      <c r="AS75" s="219">
        <v>9.8653924929303916E-3</v>
      </c>
      <c r="AT75" s="155">
        <v>50</v>
      </c>
      <c r="AV75" s="155" t="s">
        <v>165</v>
      </c>
      <c r="AW75" s="219">
        <v>9.8653924929303916E-3</v>
      </c>
      <c r="AX75" s="155">
        <v>50</v>
      </c>
      <c r="AZ75" s="155" t="s">
        <v>165</v>
      </c>
      <c r="BA75" s="219">
        <v>1.0158397801198316E-2</v>
      </c>
      <c r="BB75" s="155">
        <v>49</v>
      </c>
      <c r="BD75" s="155" t="s">
        <v>165</v>
      </c>
      <c r="BE75" s="219">
        <v>1.0321162513810433E-2</v>
      </c>
      <c r="BF75" s="155">
        <v>52</v>
      </c>
      <c r="BH75" s="155" t="s">
        <v>165</v>
      </c>
      <c r="BI75" s="219">
        <v>1.0266119873048707E-2</v>
      </c>
      <c r="BJ75" s="155">
        <v>57</v>
      </c>
      <c r="BL75" s="155" t="s">
        <v>165</v>
      </c>
      <c r="BM75" s="219">
        <v>1.3059510250363671E-2</v>
      </c>
      <c r="BN75" s="155">
        <v>30</v>
      </c>
      <c r="BP75" s="155" t="s">
        <v>165</v>
      </c>
      <c r="BQ75" s="159">
        <v>0.47730810681355529</v>
      </c>
      <c r="BR75" s="155">
        <v>50</v>
      </c>
      <c r="BT75" s="155" t="s">
        <v>165</v>
      </c>
      <c r="BU75" s="159">
        <v>0.35571428571428571</v>
      </c>
      <c r="BV75" s="155">
        <v>50</v>
      </c>
      <c r="BX75" s="155" t="s">
        <v>165</v>
      </c>
      <c r="BY75" s="159">
        <v>0.30054817625975122</v>
      </c>
      <c r="BZ75" s="155">
        <v>49</v>
      </c>
      <c r="CB75" s="155" t="s">
        <v>165</v>
      </c>
      <c r="CC75" s="159">
        <v>0.24064762670957363</v>
      </c>
      <c r="CD75" s="155">
        <v>50</v>
      </c>
      <c r="CF75" s="155" t="s">
        <v>165</v>
      </c>
      <c r="CG75" s="159">
        <v>0.17753173618402215</v>
      </c>
      <c r="CH75" s="155">
        <v>58</v>
      </c>
      <c r="CJ75" s="155" t="s">
        <v>165</v>
      </c>
      <c r="CK75" s="159">
        <v>0.15720851702466934</v>
      </c>
      <c r="CL75" s="155">
        <v>40</v>
      </c>
      <c r="CN75" s="155" t="s">
        <v>165</v>
      </c>
      <c r="CO75" s="159">
        <v>8.096030842022256E-2</v>
      </c>
      <c r="CP75" s="155">
        <v>30</v>
      </c>
    </row>
    <row r="76" spans="1:94" x14ac:dyDescent="0.2">
      <c r="A76" s="155" t="s">
        <v>166</v>
      </c>
      <c r="B76" s="155">
        <v>25914</v>
      </c>
      <c r="C76" s="155">
        <v>26400</v>
      </c>
      <c r="D76" s="155">
        <v>27200</v>
      </c>
      <c r="E76" s="155">
        <v>27500</v>
      </c>
      <c r="F76" s="155">
        <v>27600</v>
      </c>
      <c r="G76" s="155">
        <v>27400</v>
      </c>
      <c r="H76" s="155">
        <v>27700</v>
      </c>
      <c r="I76" s="155">
        <v>28000</v>
      </c>
      <c r="J76" s="155">
        <v>28300</v>
      </c>
      <c r="K76" s="155">
        <v>28800</v>
      </c>
      <c r="L76" s="155">
        <v>29164</v>
      </c>
      <c r="M76" s="155">
        <v>29158</v>
      </c>
      <c r="N76" s="155">
        <v>29356</v>
      </c>
      <c r="O76" s="155">
        <v>29312</v>
      </c>
      <c r="P76" s="155">
        <v>29397</v>
      </c>
      <c r="Q76" s="155">
        <v>29468</v>
      </c>
      <c r="R76" s="155">
        <v>29700</v>
      </c>
      <c r="S76" s="155">
        <v>29876</v>
      </c>
      <c r="T76" s="155">
        <v>30143</v>
      </c>
      <c r="U76" s="155">
        <v>30071</v>
      </c>
      <c r="V76" s="155">
        <v>30314</v>
      </c>
      <c r="W76" s="155">
        <v>30846</v>
      </c>
      <c r="X76" s="155">
        <v>31211</v>
      </c>
      <c r="Y76" s="155">
        <v>31734</v>
      </c>
      <c r="Z76" s="155">
        <v>32091</v>
      </c>
      <c r="AA76" s="155">
        <v>32950</v>
      </c>
      <c r="AB76" s="155">
        <v>33533</v>
      </c>
      <c r="AC76" s="155">
        <v>34159</v>
      </c>
      <c r="AD76" s="155">
        <v>34772</v>
      </c>
      <c r="AE76" s="155">
        <v>35155</v>
      </c>
      <c r="AF76" s="160">
        <v>35756</v>
      </c>
      <c r="AG76" s="160">
        <v>35977</v>
      </c>
      <c r="AH76" s="160">
        <v>36593</v>
      </c>
      <c r="AI76" s="160">
        <v>36768</v>
      </c>
      <c r="AJ76" s="160">
        <v>36790</v>
      </c>
      <c r="AK76" s="155">
        <v>37217</v>
      </c>
      <c r="AL76" s="155">
        <v>37341</v>
      </c>
      <c r="AM76" s="159"/>
      <c r="AN76" s="155" t="s">
        <v>166</v>
      </c>
      <c r="AO76" s="219">
        <v>1.0199119937012835E-2</v>
      </c>
      <c r="AP76" s="155">
        <v>54</v>
      </c>
      <c r="AR76" s="155" t="s">
        <v>166</v>
      </c>
      <c r="AS76" s="219">
        <v>1.003546950451506E-2</v>
      </c>
      <c r="AT76" s="155">
        <v>48</v>
      </c>
      <c r="AV76" s="155" t="s">
        <v>166</v>
      </c>
      <c r="AW76" s="219">
        <v>1.003546950451506E-2</v>
      </c>
      <c r="AX76" s="155">
        <v>48</v>
      </c>
      <c r="AZ76" s="155" t="s">
        <v>166</v>
      </c>
      <c r="BA76" s="219">
        <v>9.5513584037263399E-3</v>
      </c>
      <c r="BB76" s="155">
        <v>52</v>
      </c>
      <c r="BD76" s="155" t="s">
        <v>166</v>
      </c>
      <c r="BE76" s="219">
        <v>1.1339379797657312E-2</v>
      </c>
      <c r="BF76" s="155">
        <v>48</v>
      </c>
      <c r="BH76" s="155" t="s">
        <v>166</v>
      </c>
      <c r="BI76" s="219">
        <v>1.3115403887079768E-2</v>
      </c>
      <c r="BJ76" s="155">
        <v>45</v>
      </c>
      <c r="BL76" s="155" t="s">
        <v>166</v>
      </c>
      <c r="BM76" s="219">
        <v>7.255164003593384E-3</v>
      </c>
      <c r="BN76" s="155">
        <v>47</v>
      </c>
      <c r="BP76" s="155" t="s">
        <v>166</v>
      </c>
      <c r="BQ76" s="159">
        <v>0.44095855522111599</v>
      </c>
      <c r="BR76" s="155">
        <v>54</v>
      </c>
      <c r="BT76" s="155" t="s">
        <v>166</v>
      </c>
      <c r="BU76" s="159">
        <v>0.36281021897810217</v>
      </c>
      <c r="BV76" s="155">
        <v>48</v>
      </c>
      <c r="BX76" s="155" t="s">
        <v>166</v>
      </c>
      <c r="BY76" s="159">
        <v>0.2803799204498697</v>
      </c>
      <c r="BZ76" s="155">
        <v>52</v>
      </c>
      <c r="CB76" s="155" t="s">
        <v>166</v>
      </c>
      <c r="CC76" s="159">
        <v>0.26717116872539703</v>
      </c>
      <c r="CD76" s="155">
        <v>47</v>
      </c>
      <c r="CF76" s="155" t="s">
        <v>166</v>
      </c>
      <c r="CG76" s="159">
        <v>0.23180708583492776</v>
      </c>
      <c r="CH76" s="155">
        <v>45</v>
      </c>
      <c r="CJ76" s="155" t="s">
        <v>166</v>
      </c>
      <c r="CK76" s="159">
        <v>0.13326251896813354</v>
      </c>
      <c r="CL76" s="155">
        <v>46</v>
      </c>
      <c r="CN76" s="155" t="s">
        <v>166</v>
      </c>
      <c r="CO76" s="159">
        <v>4.432822463362792E-2</v>
      </c>
      <c r="CP76" s="155">
        <v>47</v>
      </c>
    </row>
    <row r="77" spans="1:94" x14ac:dyDescent="0.2">
      <c r="A77" s="155" t="s">
        <v>167</v>
      </c>
      <c r="B77" s="155">
        <v>73900</v>
      </c>
      <c r="C77" s="155">
        <v>75300</v>
      </c>
      <c r="D77" s="155">
        <v>75000</v>
      </c>
      <c r="E77" s="155">
        <v>75800</v>
      </c>
      <c r="F77" s="155">
        <v>76000</v>
      </c>
      <c r="G77" s="155">
        <v>78900</v>
      </c>
      <c r="H77" s="155">
        <v>80100</v>
      </c>
      <c r="I77" s="155">
        <v>80900</v>
      </c>
      <c r="J77" s="155">
        <v>82000</v>
      </c>
      <c r="K77" s="155">
        <v>82800</v>
      </c>
      <c r="L77" s="155">
        <v>90146</v>
      </c>
      <c r="M77" s="155">
        <v>92047</v>
      </c>
      <c r="N77" s="155">
        <v>93400</v>
      </c>
      <c r="O77" s="155">
        <v>94750</v>
      </c>
      <c r="P77" s="155">
        <v>96164</v>
      </c>
      <c r="Q77" s="155">
        <v>97730</v>
      </c>
      <c r="R77" s="155">
        <v>99626</v>
      </c>
      <c r="S77" s="155">
        <v>102001</v>
      </c>
      <c r="T77" s="155">
        <v>104306</v>
      </c>
      <c r="U77" s="155">
        <v>106474</v>
      </c>
      <c r="V77" s="155">
        <v>109054</v>
      </c>
      <c r="W77" s="155">
        <v>111965</v>
      </c>
      <c r="X77" s="155">
        <v>114318</v>
      </c>
      <c r="Y77" s="155">
        <v>116728</v>
      </c>
      <c r="Z77" s="155">
        <v>119694</v>
      </c>
      <c r="AA77" s="155">
        <v>122525</v>
      </c>
      <c r="AB77" s="155">
        <v>124861</v>
      </c>
      <c r="AC77" s="155">
        <v>127812</v>
      </c>
      <c r="AD77" s="155">
        <v>130519</v>
      </c>
      <c r="AE77" s="155">
        <v>132554</v>
      </c>
      <c r="AF77" s="160">
        <v>134111</v>
      </c>
      <c r="AG77" s="160">
        <v>135101</v>
      </c>
      <c r="AH77" s="160">
        <v>136930</v>
      </c>
      <c r="AI77" s="160">
        <v>138520</v>
      </c>
      <c r="AJ77" s="160">
        <v>140247</v>
      </c>
      <c r="AK77" s="155">
        <v>142570</v>
      </c>
      <c r="AL77" s="155">
        <v>145619</v>
      </c>
      <c r="AM77" s="159"/>
      <c r="AN77" s="155" t="s">
        <v>167</v>
      </c>
      <c r="AO77" s="219">
        <v>1.9019747311360691E-2</v>
      </c>
      <c r="AP77" s="155">
        <v>23</v>
      </c>
      <c r="AR77" s="155" t="s">
        <v>167</v>
      </c>
      <c r="AS77" s="219">
        <v>1.9964825337978054E-2</v>
      </c>
      <c r="AT77" s="155">
        <v>19</v>
      </c>
      <c r="AV77" s="155" t="s">
        <v>167</v>
      </c>
      <c r="AW77" s="219">
        <v>1.9964825337978054E-2</v>
      </c>
      <c r="AX77" s="155">
        <v>19</v>
      </c>
      <c r="AZ77" s="155" t="s">
        <v>167</v>
      </c>
      <c r="BA77" s="219">
        <v>1.8615887204807668E-2</v>
      </c>
      <c r="BB77" s="155">
        <v>21</v>
      </c>
      <c r="BD77" s="155" t="s">
        <v>167</v>
      </c>
      <c r="BE77" s="219">
        <v>1.9171216492632093E-2</v>
      </c>
      <c r="BF77" s="155">
        <v>24</v>
      </c>
      <c r="BH77" s="155" t="s">
        <v>167</v>
      </c>
      <c r="BI77" s="219">
        <v>1.8236188080721805E-2</v>
      </c>
      <c r="BJ77" s="155">
        <v>27</v>
      </c>
      <c r="BL77" s="155" t="s">
        <v>167</v>
      </c>
      <c r="BM77" s="219">
        <v>1.3815532237408057E-2</v>
      </c>
      <c r="BN77" s="155">
        <v>27</v>
      </c>
      <c r="BP77" s="155" t="s">
        <v>167</v>
      </c>
      <c r="BQ77" s="159">
        <v>0.97048714479025711</v>
      </c>
      <c r="BR77" s="155">
        <v>23</v>
      </c>
      <c r="BT77" s="155" t="s">
        <v>167</v>
      </c>
      <c r="BU77" s="159">
        <v>0.84561470215462609</v>
      </c>
      <c r="BV77" s="155">
        <v>19</v>
      </c>
      <c r="BX77" s="155" t="s">
        <v>167</v>
      </c>
      <c r="BY77" s="159">
        <v>0.61536840236948953</v>
      </c>
      <c r="BZ77" s="155">
        <v>21</v>
      </c>
      <c r="CB77" s="155" t="s">
        <v>167</v>
      </c>
      <c r="CC77" s="159">
        <v>0.49001330195436404</v>
      </c>
      <c r="CD77" s="155">
        <v>23</v>
      </c>
      <c r="CF77" s="155" t="s">
        <v>167</v>
      </c>
      <c r="CG77" s="159">
        <v>0.33529260733214739</v>
      </c>
      <c r="CH77" s="155">
        <v>27</v>
      </c>
      <c r="CJ77" s="155" t="s">
        <v>167</v>
      </c>
      <c r="CK77" s="159">
        <v>0.18848398286064069</v>
      </c>
      <c r="CL77" s="155">
        <v>30</v>
      </c>
      <c r="CN77" s="155" t="s">
        <v>167</v>
      </c>
      <c r="CO77" s="159">
        <v>8.580951599794201E-2</v>
      </c>
      <c r="CP77" s="155">
        <v>27</v>
      </c>
    </row>
    <row r="78" spans="1:94" x14ac:dyDescent="0.2">
      <c r="A78" s="155" t="s">
        <v>168</v>
      </c>
      <c r="B78" s="155">
        <v>11735</v>
      </c>
      <c r="C78" s="155">
        <v>12000</v>
      </c>
      <c r="D78" s="155">
        <v>12300</v>
      </c>
      <c r="E78" s="155">
        <v>12500</v>
      </c>
      <c r="F78" s="155">
        <v>12600</v>
      </c>
      <c r="G78" s="155">
        <v>12600</v>
      </c>
      <c r="H78" s="155">
        <v>12500</v>
      </c>
      <c r="I78" s="155">
        <v>12700</v>
      </c>
      <c r="J78" s="155">
        <v>12500</v>
      </c>
      <c r="K78" s="155">
        <v>12700</v>
      </c>
      <c r="L78" s="155">
        <v>12984</v>
      </c>
      <c r="M78" s="155">
        <v>13509</v>
      </c>
      <c r="N78" s="155">
        <v>13799</v>
      </c>
      <c r="O78" s="155">
        <v>13734</v>
      </c>
      <c r="P78" s="155">
        <v>14019</v>
      </c>
      <c r="Q78" s="155">
        <v>14025</v>
      </c>
      <c r="R78" s="155">
        <v>13997</v>
      </c>
      <c r="S78" s="155">
        <v>14062</v>
      </c>
      <c r="T78" s="155">
        <v>14118</v>
      </c>
      <c r="U78" s="155">
        <v>14290</v>
      </c>
      <c r="V78" s="155">
        <v>14544</v>
      </c>
      <c r="W78" s="155">
        <v>14764</v>
      </c>
      <c r="X78" s="155">
        <v>15290</v>
      </c>
      <c r="Y78" s="155">
        <v>15652</v>
      </c>
      <c r="Z78" s="155">
        <v>16014</v>
      </c>
      <c r="AA78" s="155">
        <v>16544</v>
      </c>
      <c r="AB78" s="155">
        <v>17070</v>
      </c>
      <c r="AC78" s="155">
        <v>17570</v>
      </c>
      <c r="AD78" s="155">
        <v>17726</v>
      </c>
      <c r="AE78" s="155">
        <v>18024</v>
      </c>
      <c r="AF78" s="160">
        <v>18411</v>
      </c>
      <c r="AG78" s="160">
        <v>18645</v>
      </c>
      <c r="AH78" s="160">
        <v>18810</v>
      </c>
      <c r="AI78" s="160">
        <v>18788</v>
      </c>
      <c r="AJ78" s="160">
        <v>18955</v>
      </c>
      <c r="AK78" s="155">
        <v>19134</v>
      </c>
      <c r="AL78" s="155">
        <v>19226</v>
      </c>
      <c r="AM78" s="159"/>
      <c r="AN78" s="155" t="s">
        <v>168</v>
      </c>
      <c r="AO78" s="219">
        <v>1.3808009229632434E-2</v>
      </c>
      <c r="AP78" s="155">
        <v>35</v>
      </c>
      <c r="AR78" s="155" t="s">
        <v>168</v>
      </c>
      <c r="AS78" s="219">
        <v>1.3724512546423817E-2</v>
      </c>
      <c r="AT78" s="155">
        <v>33</v>
      </c>
      <c r="AV78" s="155" t="s">
        <v>168</v>
      </c>
      <c r="AW78" s="219">
        <v>1.3724512546423817E-2</v>
      </c>
      <c r="AX78" s="155">
        <v>33</v>
      </c>
      <c r="AZ78" s="155" t="s">
        <v>168</v>
      </c>
      <c r="BA78" s="219">
        <v>1.5212460741318878E-2</v>
      </c>
      <c r="BB78" s="155">
        <v>30</v>
      </c>
      <c r="BD78" s="155" t="s">
        <v>168</v>
      </c>
      <c r="BE78" s="219">
        <v>1.5133467541257106E-2</v>
      </c>
      <c r="BF78" s="155">
        <v>33</v>
      </c>
      <c r="BH78" s="155" t="s">
        <v>168</v>
      </c>
      <c r="BI78" s="219">
        <v>1.7595826229874101E-2</v>
      </c>
      <c r="BJ78" s="155">
        <v>28</v>
      </c>
      <c r="BL78" s="155" t="s">
        <v>168</v>
      </c>
      <c r="BM78" s="219">
        <v>7.245324193956959E-3</v>
      </c>
      <c r="BN78" s="155">
        <v>48</v>
      </c>
      <c r="BP78" s="155" t="s">
        <v>168</v>
      </c>
      <c r="BQ78" s="159">
        <v>0.63834682573498081</v>
      </c>
      <c r="BR78" s="155">
        <v>35</v>
      </c>
      <c r="BT78" s="155" t="s">
        <v>168</v>
      </c>
      <c r="BU78" s="159">
        <v>0.52587301587301583</v>
      </c>
      <c r="BV78" s="155">
        <v>33</v>
      </c>
      <c r="BX78" s="155" t="s">
        <v>168</v>
      </c>
      <c r="BY78" s="159">
        <v>0.48074553296364758</v>
      </c>
      <c r="BZ78" s="155">
        <v>30</v>
      </c>
      <c r="CB78" s="155" t="s">
        <v>168</v>
      </c>
      <c r="CC78" s="159">
        <v>0.37083778966131908</v>
      </c>
      <c r="CD78" s="155">
        <v>33</v>
      </c>
      <c r="CF78" s="155" t="s">
        <v>168</v>
      </c>
      <c r="CG78" s="159">
        <v>0.3219196919691969</v>
      </c>
      <c r="CH78" s="155">
        <v>28</v>
      </c>
      <c r="CJ78" s="155" t="s">
        <v>168</v>
      </c>
      <c r="CK78" s="159">
        <v>0.16211315280464217</v>
      </c>
      <c r="CL78" s="155">
        <v>38</v>
      </c>
      <c r="CN78" s="155" t="s">
        <v>168</v>
      </c>
      <c r="CO78" s="159">
        <v>4.4267014284938351E-2</v>
      </c>
      <c r="CP78" s="155">
        <v>48</v>
      </c>
    </row>
    <row r="79" spans="1:94" x14ac:dyDescent="0.2">
      <c r="A79" s="155" t="s">
        <v>169</v>
      </c>
      <c r="B79" s="155">
        <v>76358</v>
      </c>
      <c r="C79" s="155">
        <v>79000</v>
      </c>
      <c r="D79" s="155">
        <v>80400</v>
      </c>
      <c r="E79" s="155">
        <v>82400</v>
      </c>
      <c r="F79" s="155">
        <v>84400</v>
      </c>
      <c r="G79" s="155">
        <v>84700</v>
      </c>
      <c r="H79" s="155">
        <v>85500</v>
      </c>
      <c r="I79" s="155">
        <v>86800</v>
      </c>
      <c r="J79" s="155">
        <v>88500</v>
      </c>
      <c r="K79" s="155">
        <v>89800</v>
      </c>
      <c r="L79" s="155">
        <v>91300</v>
      </c>
      <c r="M79" s="155">
        <v>92666</v>
      </c>
      <c r="N79" s="155">
        <v>93626</v>
      </c>
      <c r="O79" s="155">
        <v>94802</v>
      </c>
      <c r="P79" s="155">
        <v>96392</v>
      </c>
      <c r="Q79" s="155">
        <v>97590</v>
      </c>
      <c r="R79" s="155">
        <v>99143</v>
      </c>
      <c r="S79" s="155">
        <v>100987</v>
      </c>
      <c r="T79" s="155">
        <v>103329</v>
      </c>
      <c r="U79" s="155">
        <v>105067</v>
      </c>
      <c r="V79" s="155">
        <v>107194</v>
      </c>
      <c r="W79" s="155">
        <v>109464</v>
      </c>
      <c r="X79" s="155">
        <v>111512</v>
      </c>
      <c r="Y79" s="155">
        <v>113108</v>
      </c>
      <c r="Z79" s="155">
        <v>115093</v>
      </c>
      <c r="AA79" s="155">
        <v>117474</v>
      </c>
      <c r="AB79" s="155">
        <v>120566</v>
      </c>
      <c r="AC79" s="155">
        <v>123419</v>
      </c>
      <c r="AD79" s="155">
        <v>126022</v>
      </c>
      <c r="AE79" s="155">
        <v>128722</v>
      </c>
      <c r="AF79" s="160">
        <v>131090</v>
      </c>
      <c r="AG79" s="160">
        <v>132343</v>
      </c>
      <c r="AH79" s="160">
        <v>133622</v>
      </c>
      <c r="AI79" s="160">
        <v>135084</v>
      </c>
      <c r="AJ79" s="160">
        <v>136295</v>
      </c>
      <c r="AK79" s="155">
        <v>138367</v>
      </c>
      <c r="AL79" s="155">
        <v>140410</v>
      </c>
      <c r="AM79" s="159"/>
      <c r="AN79" s="155" t="s">
        <v>169</v>
      </c>
      <c r="AO79" s="219">
        <v>1.7064346861241031E-2</v>
      </c>
      <c r="AP79" s="155">
        <v>29</v>
      </c>
      <c r="AR79" s="155" t="s">
        <v>169</v>
      </c>
      <c r="AS79" s="219">
        <v>1.6438524456925396E-2</v>
      </c>
      <c r="AT79" s="155">
        <v>27</v>
      </c>
      <c r="AV79" s="155" t="s">
        <v>169</v>
      </c>
      <c r="AW79" s="219">
        <v>1.6438524456925396E-2</v>
      </c>
      <c r="AX79" s="155">
        <v>27</v>
      </c>
      <c r="AZ79" s="155" t="s">
        <v>169</v>
      </c>
      <c r="BA79" s="219">
        <v>1.6692243029043263E-2</v>
      </c>
      <c r="BB79" s="155">
        <v>28</v>
      </c>
      <c r="BD79" s="155" t="s">
        <v>169</v>
      </c>
      <c r="BE79" s="219">
        <v>1.7474334125869628E-2</v>
      </c>
      <c r="BF79" s="155">
        <v>25</v>
      </c>
      <c r="BH79" s="155" t="s">
        <v>169</v>
      </c>
      <c r="BI79" s="219">
        <v>1.7013511198071596E-2</v>
      </c>
      <c r="BJ79" s="155">
        <v>32</v>
      </c>
      <c r="BL79" s="155" t="s">
        <v>169</v>
      </c>
      <c r="BM79" s="219">
        <v>1.1512869423823346E-2</v>
      </c>
      <c r="BN79" s="155">
        <v>37</v>
      </c>
      <c r="BP79" s="155" t="s">
        <v>169</v>
      </c>
      <c r="BQ79" s="159">
        <v>0.83883810471725295</v>
      </c>
      <c r="BR79" s="155">
        <v>29</v>
      </c>
      <c r="BT79" s="155" t="s">
        <v>169</v>
      </c>
      <c r="BU79" s="159">
        <v>0.65773317591499414</v>
      </c>
      <c r="BV79" s="155">
        <v>27</v>
      </c>
      <c r="BX79" s="155" t="s">
        <v>169</v>
      </c>
      <c r="BY79" s="159">
        <v>0.53789704271631977</v>
      </c>
      <c r="BZ79" s="155">
        <v>28</v>
      </c>
      <c r="CB79" s="155" t="s">
        <v>169</v>
      </c>
      <c r="CC79" s="159">
        <v>0.43877446459678243</v>
      </c>
      <c r="CD79" s="155">
        <v>24</v>
      </c>
      <c r="CF79" s="155" t="s">
        <v>169</v>
      </c>
      <c r="CG79" s="159">
        <v>0.30986808963188239</v>
      </c>
      <c r="CH79" s="155">
        <v>32</v>
      </c>
      <c r="CJ79" s="155" t="s">
        <v>169</v>
      </c>
      <c r="CK79" s="159">
        <v>0.1952432027512471</v>
      </c>
      <c r="CL79" s="155">
        <v>28</v>
      </c>
      <c r="CN79" s="155" t="s">
        <v>169</v>
      </c>
      <c r="CO79" s="159">
        <v>7.1096193454878331E-2</v>
      </c>
      <c r="CP79" s="155">
        <v>37</v>
      </c>
    </row>
    <row r="80" spans="1:94" x14ac:dyDescent="0.2">
      <c r="A80" s="155" t="s">
        <v>170</v>
      </c>
      <c r="B80" s="155">
        <v>39889</v>
      </c>
      <c r="C80" s="155">
        <v>40500</v>
      </c>
      <c r="D80" s="155">
        <v>41300</v>
      </c>
      <c r="E80" s="155">
        <v>41100</v>
      </c>
      <c r="F80" s="155">
        <v>41400</v>
      </c>
      <c r="G80" s="155">
        <v>42000</v>
      </c>
      <c r="H80" s="155">
        <v>42700</v>
      </c>
      <c r="I80" s="155">
        <v>43400</v>
      </c>
      <c r="J80" s="155">
        <v>44300</v>
      </c>
      <c r="K80" s="155">
        <v>44800</v>
      </c>
      <c r="L80" s="155">
        <v>45161</v>
      </c>
      <c r="M80" s="155">
        <v>45005</v>
      </c>
      <c r="N80" s="155">
        <v>44468</v>
      </c>
      <c r="O80" s="155">
        <v>44490</v>
      </c>
      <c r="P80" s="155">
        <v>44642</v>
      </c>
      <c r="Q80" s="155">
        <v>45103</v>
      </c>
      <c r="R80" s="155">
        <v>44970</v>
      </c>
      <c r="S80" s="155">
        <v>44538</v>
      </c>
      <c r="T80" s="155">
        <v>44625</v>
      </c>
      <c r="U80" s="155">
        <v>44602</v>
      </c>
      <c r="V80" s="155">
        <v>44608</v>
      </c>
      <c r="W80" s="155">
        <v>45037</v>
      </c>
      <c r="X80" s="155">
        <v>45057</v>
      </c>
      <c r="Y80" s="155">
        <v>45507</v>
      </c>
      <c r="Z80" s="155">
        <v>45459</v>
      </c>
      <c r="AA80" s="155">
        <v>45731</v>
      </c>
      <c r="AB80" s="155">
        <v>46226</v>
      </c>
      <c r="AC80" s="155">
        <v>46365</v>
      </c>
      <c r="AD80" s="155">
        <v>46558</v>
      </c>
      <c r="AE80" s="155">
        <v>46449</v>
      </c>
      <c r="AF80" s="160">
        <v>46583</v>
      </c>
      <c r="AG80" s="160">
        <v>46650</v>
      </c>
      <c r="AH80" s="160">
        <v>46851</v>
      </c>
      <c r="AI80" s="160">
        <v>46667</v>
      </c>
      <c r="AJ80" s="160">
        <v>46658</v>
      </c>
      <c r="AK80" s="155">
        <v>46781</v>
      </c>
      <c r="AL80" s="155">
        <v>46555</v>
      </c>
      <c r="AM80" s="159"/>
      <c r="AN80" s="155" t="s">
        <v>170</v>
      </c>
      <c r="AO80" s="219">
        <v>4.3018323375187961E-3</v>
      </c>
      <c r="AP80" s="155">
        <v>86</v>
      </c>
      <c r="AR80" s="155" t="s">
        <v>170</v>
      </c>
      <c r="AS80" s="219">
        <v>3.3269669829343318E-3</v>
      </c>
      <c r="AT80" s="155">
        <v>87</v>
      </c>
      <c r="AV80" s="155" t="s">
        <v>170</v>
      </c>
      <c r="AW80" s="219">
        <v>3.3269669829343318E-3</v>
      </c>
      <c r="AX80" s="155">
        <v>87</v>
      </c>
      <c r="AZ80" s="155" t="s">
        <v>170</v>
      </c>
      <c r="BA80" s="219">
        <v>1.1699348718106073E-3</v>
      </c>
      <c r="BB80" s="155">
        <v>90</v>
      </c>
      <c r="BD80" s="155" t="s">
        <v>170</v>
      </c>
      <c r="BE80" s="219">
        <v>1.5099791673398588E-3</v>
      </c>
      <c r="BF80" s="155">
        <v>90</v>
      </c>
      <c r="BH80" s="155" t="s">
        <v>170</v>
      </c>
      <c r="BI80" s="219">
        <v>2.6736424616828902E-3</v>
      </c>
      <c r="BJ80" s="155">
        <v>91</v>
      </c>
      <c r="BL80" s="155" t="s">
        <v>170</v>
      </c>
      <c r="BM80" s="219">
        <v>-1.0020470682980953E-4</v>
      </c>
      <c r="BN80" s="155">
        <v>85</v>
      </c>
      <c r="BP80" s="155" t="s">
        <v>170</v>
      </c>
      <c r="BQ80" s="159">
        <v>0.16711374063024895</v>
      </c>
      <c r="BR80" s="155">
        <v>86</v>
      </c>
      <c r="BT80" s="155" t="s">
        <v>170</v>
      </c>
      <c r="BU80" s="159">
        <v>0.10845238095238095</v>
      </c>
      <c r="BV80" s="155">
        <v>87</v>
      </c>
      <c r="BX80" s="155" t="s">
        <v>170</v>
      </c>
      <c r="BY80" s="159">
        <v>3.0867341290051149E-2</v>
      </c>
      <c r="BZ80" s="155">
        <v>90</v>
      </c>
      <c r="CB80" s="155" t="s">
        <v>170</v>
      </c>
      <c r="CC80" s="159">
        <v>3.2192980511274193E-2</v>
      </c>
      <c r="CD80" s="155">
        <v>90</v>
      </c>
      <c r="CF80" s="155" t="s">
        <v>170</v>
      </c>
      <c r="CG80" s="159">
        <v>4.3646879483500718E-2</v>
      </c>
      <c r="CH80" s="155">
        <v>91</v>
      </c>
      <c r="CJ80" s="155" t="s">
        <v>170</v>
      </c>
      <c r="CK80" s="159">
        <v>1.8018412018105879E-2</v>
      </c>
      <c r="CL80" s="155">
        <v>90</v>
      </c>
      <c r="CN80" s="155" t="s">
        <v>170</v>
      </c>
      <c r="CO80" s="159">
        <v>-6.0107764635167335E-4</v>
      </c>
      <c r="CP80" s="155">
        <v>85</v>
      </c>
    </row>
    <row r="81" spans="1:94" x14ac:dyDescent="0.2">
      <c r="A81" s="155" t="s">
        <v>171</v>
      </c>
      <c r="B81" s="155">
        <v>84842</v>
      </c>
      <c r="C81" s="155">
        <v>86900</v>
      </c>
      <c r="D81" s="155">
        <v>89800</v>
      </c>
      <c r="E81" s="155">
        <v>91500</v>
      </c>
      <c r="F81" s="155">
        <v>93200</v>
      </c>
      <c r="G81" s="155">
        <v>95500</v>
      </c>
      <c r="H81" s="155">
        <v>97300</v>
      </c>
      <c r="I81" s="155">
        <v>98600</v>
      </c>
      <c r="J81" s="155">
        <v>99700</v>
      </c>
      <c r="K81" s="155">
        <v>100500</v>
      </c>
      <c r="L81" s="155">
        <v>101610</v>
      </c>
      <c r="M81" s="155">
        <v>102406</v>
      </c>
      <c r="N81" s="155">
        <v>103114</v>
      </c>
      <c r="O81" s="155">
        <v>103629</v>
      </c>
      <c r="P81" s="155">
        <v>104114</v>
      </c>
      <c r="Q81" s="155">
        <v>104472</v>
      </c>
      <c r="R81" s="155">
        <v>104108</v>
      </c>
      <c r="S81" s="155">
        <v>104908</v>
      </c>
      <c r="T81" s="155">
        <v>105216</v>
      </c>
      <c r="U81" s="155">
        <v>105116</v>
      </c>
      <c r="V81" s="155">
        <v>105543</v>
      </c>
      <c r="W81" s="155">
        <v>106908</v>
      </c>
      <c r="X81" s="155">
        <v>108918</v>
      </c>
      <c r="Y81" s="155">
        <v>111050</v>
      </c>
      <c r="Z81" s="155">
        <v>112947</v>
      </c>
      <c r="AA81" s="155">
        <v>114936</v>
      </c>
      <c r="AB81" s="155">
        <v>116858</v>
      </c>
      <c r="AC81" s="155">
        <v>118864</v>
      </c>
      <c r="AD81" s="155">
        <v>120876</v>
      </c>
      <c r="AE81" s="155">
        <v>122514</v>
      </c>
      <c r="AF81" s="160">
        <v>123399</v>
      </c>
      <c r="AG81" s="160">
        <v>123985</v>
      </c>
      <c r="AH81" s="160">
        <v>124752</v>
      </c>
      <c r="AI81" s="160">
        <v>125795</v>
      </c>
      <c r="AJ81" s="160">
        <v>126263</v>
      </c>
      <c r="AK81" s="155">
        <v>127586</v>
      </c>
      <c r="AL81" s="155">
        <v>129021</v>
      </c>
      <c r="AM81" s="159"/>
      <c r="AN81" s="155" t="s">
        <v>171</v>
      </c>
      <c r="AO81" s="219">
        <v>1.1712068706941414E-2</v>
      </c>
      <c r="AP81" s="155">
        <v>44</v>
      </c>
      <c r="AR81" s="155" t="s">
        <v>171</v>
      </c>
      <c r="AS81" s="219">
        <v>9.7520486552138408E-3</v>
      </c>
      <c r="AT81" s="155">
        <v>52</v>
      </c>
      <c r="AV81" s="155" t="s">
        <v>171</v>
      </c>
      <c r="AW81" s="219">
        <v>9.7520486552138408E-3</v>
      </c>
      <c r="AX81" s="155">
        <v>52</v>
      </c>
      <c r="AZ81" s="155" t="s">
        <v>171</v>
      </c>
      <c r="BA81" s="219">
        <v>9.2282131202254813E-3</v>
      </c>
      <c r="BB81" s="155">
        <v>55</v>
      </c>
      <c r="BD81" s="155" t="s">
        <v>171</v>
      </c>
      <c r="BE81" s="219">
        <v>1.0100963731061396E-2</v>
      </c>
      <c r="BF81" s="155">
        <v>54</v>
      </c>
      <c r="BH81" s="155" t="s">
        <v>171</v>
      </c>
      <c r="BI81" s="219">
        <v>1.2632672074717188E-2</v>
      </c>
      <c r="BJ81" s="155">
        <v>48</v>
      </c>
      <c r="BL81" s="155" t="s">
        <v>171</v>
      </c>
      <c r="BM81" s="219">
        <v>7.4529987139455578E-3</v>
      </c>
      <c r="BN81" s="155">
        <v>46</v>
      </c>
      <c r="BP81" s="155" t="s">
        <v>171</v>
      </c>
      <c r="BQ81" s="159">
        <v>0.52072086938073125</v>
      </c>
      <c r="BR81" s="155">
        <v>44</v>
      </c>
      <c r="BT81" s="155" t="s">
        <v>171</v>
      </c>
      <c r="BU81" s="159">
        <v>0.35100523560209423</v>
      </c>
      <c r="BV81" s="155">
        <v>52</v>
      </c>
      <c r="BX81" s="155" t="s">
        <v>171</v>
      </c>
      <c r="BY81" s="159">
        <v>0.26976675524062593</v>
      </c>
      <c r="BZ81" s="155">
        <v>55</v>
      </c>
      <c r="CB81" s="155" t="s">
        <v>171</v>
      </c>
      <c r="CC81" s="159">
        <v>0.23498162186997473</v>
      </c>
      <c r="CD81" s="155">
        <v>52</v>
      </c>
      <c r="CF81" s="155" t="s">
        <v>171</v>
      </c>
      <c r="CG81" s="159">
        <v>0.22244961769136751</v>
      </c>
      <c r="CH81" s="155">
        <v>48</v>
      </c>
      <c r="CJ81" s="155" t="s">
        <v>171</v>
      </c>
      <c r="CK81" s="159">
        <v>0.12254646063896429</v>
      </c>
      <c r="CL81" s="155">
        <v>49</v>
      </c>
      <c r="CN81" s="155" t="s">
        <v>171</v>
      </c>
      <c r="CO81" s="159">
        <v>4.5559526414314544E-2</v>
      </c>
      <c r="CP81" s="155">
        <v>46</v>
      </c>
    </row>
    <row r="82" spans="1:94" x14ac:dyDescent="0.2">
      <c r="A82" s="155" t="s">
        <v>172</v>
      </c>
      <c r="B82" s="155">
        <v>72402</v>
      </c>
      <c r="C82" s="155">
        <v>74500</v>
      </c>
      <c r="D82" s="155">
        <v>76300</v>
      </c>
      <c r="E82" s="155">
        <v>77700</v>
      </c>
      <c r="F82" s="155">
        <v>79100</v>
      </c>
      <c r="G82" s="155">
        <v>79800</v>
      </c>
      <c r="H82" s="155">
        <v>80500</v>
      </c>
      <c r="I82" s="155">
        <v>80400</v>
      </c>
      <c r="J82" s="155">
        <v>81500</v>
      </c>
      <c r="K82" s="155">
        <v>82500</v>
      </c>
      <c r="L82" s="155">
        <v>83426</v>
      </c>
      <c r="M82" s="155">
        <v>84280</v>
      </c>
      <c r="N82" s="155">
        <v>84428</v>
      </c>
      <c r="O82" s="155">
        <v>84666</v>
      </c>
      <c r="P82" s="155">
        <v>84735</v>
      </c>
      <c r="Q82" s="155">
        <v>85010</v>
      </c>
      <c r="R82" s="155">
        <v>84934</v>
      </c>
      <c r="S82" s="155">
        <v>85325</v>
      </c>
      <c r="T82" s="155">
        <v>85774</v>
      </c>
      <c r="U82" s="155">
        <v>85746</v>
      </c>
      <c r="V82" s="155">
        <v>86283</v>
      </c>
      <c r="W82" s="155">
        <v>86890</v>
      </c>
      <c r="X82" s="155">
        <v>87195</v>
      </c>
      <c r="Y82" s="155">
        <v>87605</v>
      </c>
      <c r="Z82" s="155">
        <v>88229</v>
      </c>
      <c r="AA82" s="155">
        <v>89251</v>
      </c>
      <c r="AB82" s="155">
        <v>90251</v>
      </c>
      <c r="AC82" s="155">
        <v>90994</v>
      </c>
      <c r="AD82" s="155">
        <v>91429</v>
      </c>
      <c r="AE82" s="155">
        <v>91845</v>
      </c>
      <c r="AF82" s="160">
        <v>91968</v>
      </c>
      <c r="AG82" s="160">
        <v>92209</v>
      </c>
      <c r="AH82" s="160">
        <v>92611</v>
      </c>
      <c r="AI82" s="160">
        <v>92619</v>
      </c>
      <c r="AJ82" s="160">
        <v>92253</v>
      </c>
      <c r="AK82" s="155">
        <v>92614</v>
      </c>
      <c r="AL82" s="155">
        <v>93063</v>
      </c>
      <c r="AM82" s="159"/>
      <c r="AN82" s="155" t="s">
        <v>172</v>
      </c>
      <c r="AO82" s="219">
        <v>6.9977808354917403E-3</v>
      </c>
      <c r="AP82" s="155">
        <v>80</v>
      </c>
      <c r="AR82" s="155" t="s">
        <v>172</v>
      </c>
      <c r="AS82" s="219">
        <v>4.9721000267759496E-3</v>
      </c>
      <c r="AT82" s="155">
        <v>83</v>
      </c>
      <c r="AV82" s="155" t="s">
        <v>172</v>
      </c>
      <c r="AW82" s="219">
        <v>4.9721000267759496E-3</v>
      </c>
      <c r="AX82" s="155">
        <v>83</v>
      </c>
      <c r="AZ82" s="155" t="s">
        <v>172</v>
      </c>
      <c r="BA82" s="219">
        <v>4.2133386339735512E-3</v>
      </c>
      <c r="BB82" s="155">
        <v>83</v>
      </c>
      <c r="BD82" s="155" t="s">
        <v>172</v>
      </c>
      <c r="BE82" s="219">
        <v>4.3191955498125267E-3</v>
      </c>
      <c r="BF82" s="155">
        <v>84</v>
      </c>
      <c r="BH82" s="155" t="s">
        <v>172</v>
      </c>
      <c r="BI82" s="219">
        <v>4.738949203438203E-3</v>
      </c>
      <c r="BJ82" s="155">
        <v>89</v>
      </c>
      <c r="BL82" s="155" t="s">
        <v>172</v>
      </c>
      <c r="BM82" s="219">
        <v>1.9746124356323502E-3</v>
      </c>
      <c r="BN82" s="155">
        <v>77</v>
      </c>
      <c r="BP82" s="155" t="s">
        <v>172</v>
      </c>
      <c r="BQ82" s="159">
        <v>0.28536504516449823</v>
      </c>
      <c r="BR82" s="155">
        <v>80</v>
      </c>
      <c r="BT82" s="155" t="s">
        <v>172</v>
      </c>
      <c r="BU82" s="159">
        <v>0.16620300751879699</v>
      </c>
      <c r="BV82" s="155">
        <v>83</v>
      </c>
      <c r="BX82" s="155" t="s">
        <v>172</v>
      </c>
      <c r="BY82" s="159">
        <v>0.11551554671205619</v>
      </c>
      <c r="BZ82" s="155">
        <v>83</v>
      </c>
      <c r="CB82" s="155" t="s">
        <v>172</v>
      </c>
      <c r="CC82" s="159">
        <v>9.4730031760969294E-2</v>
      </c>
      <c r="CD82" s="155">
        <v>84</v>
      </c>
      <c r="CF82" s="155" t="s">
        <v>172</v>
      </c>
      <c r="CG82" s="159">
        <v>7.8578630784743225E-2</v>
      </c>
      <c r="CH82" s="155">
        <v>89</v>
      </c>
      <c r="CJ82" s="155" t="s">
        <v>172</v>
      </c>
      <c r="CK82" s="159">
        <v>4.2711006039148021E-2</v>
      </c>
      <c r="CL82" s="155">
        <v>83</v>
      </c>
      <c r="CN82" s="155" t="s">
        <v>172</v>
      </c>
      <c r="CO82" s="159">
        <v>1.1906315240083508E-2</v>
      </c>
      <c r="CP82" s="155">
        <v>77</v>
      </c>
    </row>
    <row r="83" spans="1:94" x14ac:dyDescent="0.2">
      <c r="A83" s="155" t="s">
        <v>173</v>
      </c>
      <c r="B83" s="155">
        <v>90035</v>
      </c>
      <c r="C83" s="155">
        <v>91700</v>
      </c>
      <c r="D83" s="155">
        <v>92100</v>
      </c>
      <c r="E83" s="155">
        <v>93500</v>
      </c>
      <c r="F83" s="155">
        <v>93300</v>
      </c>
      <c r="G83" s="155">
        <v>93800</v>
      </c>
      <c r="H83" s="155">
        <v>94000</v>
      </c>
      <c r="I83" s="155">
        <v>95300</v>
      </c>
      <c r="J83" s="155">
        <v>96600</v>
      </c>
      <c r="K83" s="155">
        <v>97900</v>
      </c>
      <c r="L83" s="155">
        <v>99186</v>
      </c>
      <c r="M83" s="155">
        <v>100319</v>
      </c>
      <c r="N83" s="155">
        <v>101319</v>
      </c>
      <c r="O83" s="155">
        <v>101934</v>
      </c>
      <c r="P83" s="155">
        <v>102161</v>
      </c>
      <c r="Q83" s="155">
        <v>104406</v>
      </c>
      <c r="R83" s="155">
        <v>105538</v>
      </c>
      <c r="S83" s="155">
        <v>106017</v>
      </c>
      <c r="T83" s="155">
        <v>108002</v>
      </c>
      <c r="U83" s="155">
        <v>109448</v>
      </c>
      <c r="V83" s="155">
        <v>110999</v>
      </c>
      <c r="W83" s="155">
        <v>112566</v>
      </c>
      <c r="X83" s="155">
        <v>114217</v>
      </c>
      <c r="Y83" s="155">
        <v>115947</v>
      </c>
      <c r="Z83" s="155">
        <v>118552</v>
      </c>
      <c r="AA83" s="155">
        <v>120783</v>
      </c>
      <c r="AB83" s="155">
        <v>123519</v>
      </c>
      <c r="AC83" s="155">
        <v>125871</v>
      </c>
      <c r="AD83" s="155">
        <v>127599</v>
      </c>
      <c r="AE83" s="155">
        <v>129436</v>
      </c>
      <c r="AF83" s="160">
        <v>130667</v>
      </c>
      <c r="AG83" s="160">
        <v>132353</v>
      </c>
      <c r="AH83" s="160">
        <v>133568</v>
      </c>
      <c r="AI83" s="160">
        <v>133885</v>
      </c>
      <c r="AJ83" s="160">
        <v>134030</v>
      </c>
      <c r="AK83" s="155">
        <v>135099</v>
      </c>
      <c r="AL83" s="155">
        <v>136254</v>
      </c>
      <c r="AM83" s="159"/>
      <c r="AN83" s="155" t="s">
        <v>173</v>
      </c>
      <c r="AO83" s="219">
        <v>1.1575435783958143E-2</v>
      </c>
      <c r="AP83" s="155">
        <v>46</v>
      </c>
      <c r="AR83" s="155" t="s">
        <v>173</v>
      </c>
      <c r="AS83" s="219">
        <v>1.2116557709587417E-2</v>
      </c>
      <c r="AT83" s="155">
        <v>39</v>
      </c>
      <c r="AV83" s="155" t="s">
        <v>173</v>
      </c>
      <c r="AW83" s="219">
        <v>1.2116557709587417E-2</v>
      </c>
      <c r="AX83" s="155">
        <v>39</v>
      </c>
      <c r="AZ83" s="155" t="s">
        <v>173</v>
      </c>
      <c r="BA83" s="219">
        <v>1.2287334860059396E-2</v>
      </c>
      <c r="BB83" s="155">
        <v>42</v>
      </c>
      <c r="BD83" s="155" t="s">
        <v>173</v>
      </c>
      <c r="BE83" s="219">
        <v>1.2758496561333654E-2</v>
      </c>
      <c r="BF83" s="155">
        <v>41</v>
      </c>
      <c r="BH83" s="155" t="s">
        <v>173</v>
      </c>
      <c r="BI83" s="219">
        <v>1.2894906346226032E-2</v>
      </c>
      <c r="BJ83" s="155">
        <v>47</v>
      </c>
      <c r="BL83" s="155" t="s">
        <v>173</v>
      </c>
      <c r="BM83" s="219">
        <v>7.0025185693154413E-3</v>
      </c>
      <c r="BN83" s="155">
        <v>50</v>
      </c>
      <c r="BP83" s="155" t="s">
        <v>173</v>
      </c>
      <c r="BQ83" s="159">
        <v>0.51334481035153001</v>
      </c>
      <c r="BR83" s="155">
        <v>46</v>
      </c>
      <c r="BT83" s="155" t="s">
        <v>173</v>
      </c>
      <c r="BU83" s="159">
        <v>0.45260127931769722</v>
      </c>
      <c r="BV83" s="155">
        <v>39</v>
      </c>
      <c r="BX83" s="155" t="s">
        <v>173</v>
      </c>
      <c r="BY83" s="159">
        <v>0.37372209787671645</v>
      </c>
      <c r="BZ83" s="155">
        <v>42</v>
      </c>
      <c r="CB83" s="155" t="s">
        <v>173</v>
      </c>
      <c r="CC83" s="159">
        <v>0.30503994023331993</v>
      </c>
      <c r="CD83" s="155">
        <v>41</v>
      </c>
      <c r="CF83" s="155" t="s">
        <v>173</v>
      </c>
      <c r="CG83" s="159">
        <v>0.22752457229344408</v>
      </c>
      <c r="CH83" s="155">
        <v>47</v>
      </c>
      <c r="CJ83" s="155" t="s">
        <v>173</v>
      </c>
      <c r="CK83" s="159">
        <v>0.12808921785350588</v>
      </c>
      <c r="CL83" s="155">
        <v>48</v>
      </c>
      <c r="CN83" s="155" t="s">
        <v>173</v>
      </c>
      <c r="CO83" s="159">
        <v>4.2757543985857176E-2</v>
      </c>
      <c r="CP83" s="155">
        <v>50</v>
      </c>
    </row>
    <row r="84" spans="1:94" x14ac:dyDescent="0.2">
      <c r="A84" s="155" t="s">
        <v>174</v>
      </c>
      <c r="B84" s="155">
        <v>47337</v>
      </c>
      <c r="C84" s="155">
        <v>49100</v>
      </c>
      <c r="D84" s="155">
        <v>49900</v>
      </c>
      <c r="E84" s="155">
        <v>50000</v>
      </c>
      <c r="F84" s="155">
        <v>50500</v>
      </c>
      <c r="G84" s="155">
        <v>51000</v>
      </c>
      <c r="H84" s="155">
        <v>51600</v>
      </c>
      <c r="I84" s="155">
        <v>52100</v>
      </c>
      <c r="J84" s="155">
        <v>52700</v>
      </c>
      <c r="K84" s="155">
        <v>53200</v>
      </c>
      <c r="L84" s="155">
        <v>53787</v>
      </c>
      <c r="M84" s="155">
        <v>54521</v>
      </c>
      <c r="N84" s="155">
        <v>55280</v>
      </c>
      <c r="O84" s="155">
        <v>54955</v>
      </c>
      <c r="P84" s="155">
        <v>55816</v>
      </c>
      <c r="Q84" s="155">
        <v>56153</v>
      </c>
      <c r="R84" s="155">
        <v>55849</v>
      </c>
      <c r="S84" s="155">
        <v>55933</v>
      </c>
      <c r="T84" s="155">
        <v>56280</v>
      </c>
      <c r="U84" s="155">
        <v>56496</v>
      </c>
      <c r="V84" s="155">
        <v>57196</v>
      </c>
      <c r="W84" s="155">
        <v>57843</v>
      </c>
      <c r="X84" s="155">
        <v>58321</v>
      </c>
      <c r="Y84" s="155">
        <v>58906</v>
      </c>
      <c r="Z84" s="155">
        <v>59430</v>
      </c>
      <c r="AA84" s="155">
        <v>60103</v>
      </c>
      <c r="AB84" s="155">
        <v>60409</v>
      </c>
      <c r="AC84" s="155">
        <v>61094</v>
      </c>
      <c r="AD84" s="155">
        <v>61874</v>
      </c>
      <c r="AE84" s="155">
        <v>62511</v>
      </c>
      <c r="AF84" s="160">
        <v>62992</v>
      </c>
      <c r="AG84" s="160">
        <v>63348</v>
      </c>
      <c r="AH84" s="160">
        <v>63303</v>
      </c>
      <c r="AI84" s="160">
        <v>63587</v>
      </c>
      <c r="AJ84" s="160">
        <v>63543</v>
      </c>
      <c r="AK84" s="155">
        <v>63771</v>
      </c>
      <c r="AL84" s="155">
        <v>63867</v>
      </c>
      <c r="AM84" s="159"/>
      <c r="AN84" s="155" t="s">
        <v>174</v>
      </c>
      <c r="AO84" s="219">
        <v>8.3544431249802376E-3</v>
      </c>
      <c r="AP84" s="155">
        <v>71</v>
      </c>
      <c r="AR84" s="155" t="s">
        <v>174</v>
      </c>
      <c r="AS84" s="219">
        <v>7.2837260749032406E-3</v>
      </c>
      <c r="AT84" s="155">
        <v>71</v>
      </c>
      <c r="AV84" s="155" t="s">
        <v>174</v>
      </c>
      <c r="AW84" s="219">
        <v>7.2837260749032406E-3</v>
      </c>
      <c r="AX84" s="155">
        <v>72</v>
      </c>
      <c r="AZ84" s="155" t="s">
        <v>174</v>
      </c>
      <c r="BA84" s="219">
        <v>6.6284482504628262E-3</v>
      </c>
      <c r="BB84" s="155">
        <v>72</v>
      </c>
      <c r="BD84" s="155" t="s">
        <v>174</v>
      </c>
      <c r="BE84" s="219">
        <v>6.1484765679953313E-3</v>
      </c>
      <c r="BF84" s="155">
        <v>74</v>
      </c>
      <c r="BH84" s="155" t="s">
        <v>174</v>
      </c>
      <c r="BI84" s="219">
        <v>6.9187516204547439E-3</v>
      </c>
      <c r="BJ84" s="155">
        <v>77</v>
      </c>
      <c r="BL84" s="155" t="s">
        <v>174</v>
      </c>
      <c r="BM84" s="219">
        <v>2.3018221109287751E-3</v>
      </c>
      <c r="BN84" s="155">
        <v>75</v>
      </c>
      <c r="BP84" s="155" t="s">
        <v>174</v>
      </c>
      <c r="BQ84" s="159">
        <v>0.34919830154002157</v>
      </c>
      <c r="BR84" s="155">
        <v>71</v>
      </c>
      <c r="BT84" s="155" t="s">
        <v>174</v>
      </c>
      <c r="BU84" s="159">
        <v>0.25229411764705884</v>
      </c>
      <c r="BV84" s="155">
        <v>71</v>
      </c>
      <c r="BX84" s="155" t="s">
        <v>174</v>
      </c>
      <c r="BY84" s="159">
        <v>0.18740587874393441</v>
      </c>
      <c r="BZ84" s="155">
        <v>72</v>
      </c>
      <c r="CB84" s="155" t="s">
        <v>174</v>
      </c>
      <c r="CC84" s="159">
        <v>0.13737467276904172</v>
      </c>
      <c r="CD84" s="155">
        <v>74</v>
      </c>
      <c r="CF84" s="155" t="s">
        <v>174</v>
      </c>
      <c r="CG84" s="159">
        <v>0.11663403035177285</v>
      </c>
      <c r="CH84" s="155">
        <v>77</v>
      </c>
      <c r="CJ84" s="155" t="s">
        <v>174</v>
      </c>
      <c r="CK84" s="159">
        <v>6.2625825665940132E-2</v>
      </c>
      <c r="CL84" s="155">
        <v>75</v>
      </c>
      <c r="CN84" s="155" t="s">
        <v>174</v>
      </c>
      <c r="CO84" s="159">
        <v>1.3890652781305562E-2</v>
      </c>
      <c r="CP84" s="155">
        <v>75</v>
      </c>
    </row>
    <row r="85" spans="1:94" x14ac:dyDescent="0.2">
      <c r="A85" s="155" t="s">
        <v>175</v>
      </c>
      <c r="B85" s="155">
        <v>44954</v>
      </c>
      <c r="C85" s="155">
        <v>46500</v>
      </c>
      <c r="D85" s="155">
        <v>47100</v>
      </c>
      <c r="E85" s="155">
        <v>46700</v>
      </c>
      <c r="F85" s="155">
        <v>47100</v>
      </c>
      <c r="G85" s="155">
        <v>48000</v>
      </c>
      <c r="H85" s="155">
        <v>47800</v>
      </c>
      <c r="I85" s="155">
        <v>48300</v>
      </c>
      <c r="J85" s="155">
        <v>48500</v>
      </c>
      <c r="K85" s="155">
        <v>49000</v>
      </c>
      <c r="L85" s="155">
        <v>49687</v>
      </c>
      <c r="M85" s="155">
        <v>49396</v>
      </c>
      <c r="N85" s="155">
        <v>49170</v>
      </c>
      <c r="O85" s="155">
        <v>48823</v>
      </c>
      <c r="P85" s="155">
        <v>48836</v>
      </c>
      <c r="Q85" s="155">
        <v>48449</v>
      </c>
      <c r="R85" s="155">
        <v>48003</v>
      </c>
      <c r="S85" s="155">
        <v>48003</v>
      </c>
      <c r="T85" s="155">
        <v>47876</v>
      </c>
      <c r="U85" s="155">
        <v>47529</v>
      </c>
      <c r="V85" s="155">
        <v>47499</v>
      </c>
      <c r="W85" s="155">
        <v>48574</v>
      </c>
      <c r="X85" s="155">
        <v>50030</v>
      </c>
      <c r="Y85" s="155">
        <v>51375</v>
      </c>
      <c r="Z85" s="155">
        <v>52708</v>
      </c>
      <c r="AA85" s="155">
        <v>53752</v>
      </c>
      <c r="AB85" s="155">
        <v>54862</v>
      </c>
      <c r="AC85" s="155">
        <v>56600</v>
      </c>
      <c r="AD85" s="155">
        <v>58012</v>
      </c>
      <c r="AE85" s="155">
        <v>59325</v>
      </c>
      <c r="AF85" s="160">
        <v>60319</v>
      </c>
      <c r="AG85" s="160">
        <v>60829</v>
      </c>
      <c r="AH85" s="160">
        <v>61166</v>
      </c>
      <c r="AI85" s="160">
        <v>61919</v>
      </c>
      <c r="AJ85" s="160">
        <v>62304</v>
      </c>
      <c r="AK85" s="155">
        <v>63063</v>
      </c>
      <c r="AL85" s="155">
        <v>63561</v>
      </c>
      <c r="AM85" s="159"/>
      <c r="AN85" s="155" t="s">
        <v>175</v>
      </c>
      <c r="AO85" s="219">
        <v>9.6675520442026652E-3</v>
      </c>
      <c r="AP85" s="155">
        <v>57</v>
      </c>
      <c r="AR85" s="155" t="s">
        <v>175</v>
      </c>
      <c r="AS85" s="219">
        <v>9.099182455624133E-3</v>
      </c>
      <c r="AT85" s="155">
        <v>57</v>
      </c>
      <c r="AV85" s="155" t="s">
        <v>175</v>
      </c>
      <c r="AW85" s="219">
        <v>9.099182455624133E-3</v>
      </c>
      <c r="AX85" s="155">
        <v>57</v>
      </c>
      <c r="AZ85" s="155" t="s">
        <v>175</v>
      </c>
      <c r="BA85" s="219">
        <v>9.5164090588675254E-3</v>
      </c>
      <c r="BB85" s="155">
        <v>53</v>
      </c>
      <c r="BD85" s="155" t="s">
        <v>175</v>
      </c>
      <c r="BE85" s="219">
        <v>1.3011946033276267E-2</v>
      </c>
      <c r="BF85" s="155">
        <v>39</v>
      </c>
      <c r="BH85" s="155" t="s">
        <v>175</v>
      </c>
      <c r="BI85" s="219">
        <v>1.8372447837326389E-2</v>
      </c>
      <c r="BJ85" s="155">
        <v>26</v>
      </c>
      <c r="BL85" s="155" t="s">
        <v>175</v>
      </c>
      <c r="BM85" s="219">
        <v>8.7636662652077479E-3</v>
      </c>
      <c r="BN85" s="155">
        <v>43</v>
      </c>
      <c r="BP85" s="155" t="s">
        <v>175</v>
      </c>
      <c r="BQ85" s="159">
        <v>0.41391199893224184</v>
      </c>
      <c r="BR85" s="155">
        <v>57</v>
      </c>
      <c r="BT85" s="155" t="s">
        <v>175</v>
      </c>
      <c r="BU85" s="159">
        <v>0.32418750000000002</v>
      </c>
      <c r="BV85" s="155">
        <v>57</v>
      </c>
      <c r="BX85" s="155" t="s">
        <v>175</v>
      </c>
      <c r="BY85" s="159">
        <v>0.27922796707388248</v>
      </c>
      <c r="BZ85" s="155">
        <v>53</v>
      </c>
      <c r="CB85" s="155" t="s">
        <v>175</v>
      </c>
      <c r="CC85" s="159">
        <v>0.31191562261346983</v>
      </c>
      <c r="CD85" s="155">
        <v>39</v>
      </c>
      <c r="CF85" s="155" t="s">
        <v>175</v>
      </c>
      <c r="CG85" s="159">
        <v>0.33815448746289395</v>
      </c>
      <c r="CH85" s="155">
        <v>26</v>
      </c>
      <c r="CJ85" s="155" t="s">
        <v>175</v>
      </c>
      <c r="CK85" s="159">
        <v>0.18248623307039738</v>
      </c>
      <c r="CL85" s="155">
        <v>33</v>
      </c>
      <c r="CN85" s="155" t="s">
        <v>175</v>
      </c>
      <c r="CO85" s="159">
        <v>5.3747575390838707E-2</v>
      </c>
      <c r="CP85" s="155">
        <v>43</v>
      </c>
    </row>
    <row r="86" spans="1:94" x14ac:dyDescent="0.2">
      <c r="A86" s="155" t="s">
        <v>176</v>
      </c>
      <c r="B86" s="155">
        <v>26929</v>
      </c>
      <c r="C86" s="155">
        <v>27500</v>
      </c>
      <c r="D86" s="155">
        <v>28400</v>
      </c>
      <c r="E86" s="155">
        <v>29100</v>
      </c>
      <c r="F86" s="155">
        <v>29500</v>
      </c>
      <c r="G86" s="155">
        <v>30100</v>
      </c>
      <c r="H86" s="155">
        <v>30200</v>
      </c>
      <c r="I86" s="155">
        <v>30900</v>
      </c>
      <c r="J86" s="155">
        <v>31700</v>
      </c>
      <c r="K86" s="155">
        <v>32100</v>
      </c>
      <c r="L86" s="155">
        <v>32273</v>
      </c>
      <c r="M86" s="155">
        <v>32553</v>
      </c>
      <c r="N86" s="155">
        <v>32839</v>
      </c>
      <c r="O86" s="155">
        <v>32958</v>
      </c>
      <c r="P86" s="155">
        <v>33239</v>
      </c>
      <c r="Q86" s="155">
        <v>33004</v>
      </c>
      <c r="R86" s="155">
        <v>32982</v>
      </c>
      <c r="S86" s="155">
        <v>33428</v>
      </c>
      <c r="T86" s="155">
        <v>33683</v>
      </c>
      <c r="U86" s="155">
        <v>33566</v>
      </c>
      <c r="V86" s="155">
        <v>33865</v>
      </c>
      <c r="W86" s="155">
        <v>34030</v>
      </c>
      <c r="X86" s="155">
        <v>34220</v>
      </c>
      <c r="Y86" s="155">
        <v>34629</v>
      </c>
      <c r="Z86" s="155">
        <v>34735</v>
      </c>
      <c r="AA86" s="155">
        <v>35021</v>
      </c>
      <c r="AB86" s="155">
        <v>35434</v>
      </c>
      <c r="AC86" s="155">
        <v>35501</v>
      </c>
      <c r="AD86" s="155">
        <v>35675</v>
      </c>
      <c r="AE86" s="155">
        <v>35926</v>
      </c>
      <c r="AF86" s="160">
        <v>36022</v>
      </c>
      <c r="AG86" s="160">
        <v>36009</v>
      </c>
      <c r="AH86" s="160">
        <v>35789</v>
      </c>
      <c r="AI86" s="160">
        <v>35919</v>
      </c>
      <c r="AJ86" s="160">
        <v>37077</v>
      </c>
      <c r="AK86" s="155">
        <v>37180</v>
      </c>
      <c r="AL86" s="155">
        <v>37094</v>
      </c>
      <c r="AM86" s="159"/>
      <c r="AN86" s="155" t="s">
        <v>176</v>
      </c>
      <c r="AO86" s="219">
        <v>8.9355597298435008E-3</v>
      </c>
      <c r="AP86" s="155">
        <v>64</v>
      </c>
      <c r="AR86" s="155" t="s">
        <v>176</v>
      </c>
      <c r="AS86" s="219">
        <v>6.7624420935374907E-3</v>
      </c>
      <c r="AT86" s="155">
        <v>74</v>
      </c>
      <c r="AV86" s="155" t="s">
        <v>176</v>
      </c>
      <c r="AW86" s="219">
        <v>6.7624420935374907E-3</v>
      </c>
      <c r="AX86" s="155">
        <v>74</v>
      </c>
      <c r="AZ86" s="155" t="s">
        <v>176</v>
      </c>
      <c r="BA86" s="219">
        <v>5.3691418449270945E-3</v>
      </c>
      <c r="BB86" s="155">
        <v>77</v>
      </c>
      <c r="BD86" s="155" t="s">
        <v>176</v>
      </c>
      <c r="BE86" s="219">
        <v>5.5786681486877931E-3</v>
      </c>
      <c r="BF86" s="155">
        <v>79</v>
      </c>
      <c r="BH86" s="155" t="s">
        <v>176</v>
      </c>
      <c r="BI86" s="219">
        <v>5.7083055642153102E-3</v>
      </c>
      <c r="BJ86" s="155">
        <v>80</v>
      </c>
      <c r="BL86" s="155" t="s">
        <v>176</v>
      </c>
      <c r="BM86" s="219">
        <v>4.8995250367356302E-3</v>
      </c>
      <c r="BN86" s="155">
        <v>61</v>
      </c>
      <c r="BP86" s="155" t="s">
        <v>176</v>
      </c>
      <c r="BQ86" s="159">
        <v>0.37747409855546066</v>
      </c>
      <c r="BR86" s="155">
        <v>64</v>
      </c>
      <c r="BT86" s="155" t="s">
        <v>176</v>
      </c>
      <c r="BU86" s="159">
        <v>0.23235880398671097</v>
      </c>
      <c r="BV86" s="155">
        <v>74</v>
      </c>
      <c r="BX86" s="155" t="s">
        <v>176</v>
      </c>
      <c r="BY86" s="159">
        <v>0.14938183620983483</v>
      </c>
      <c r="BZ86" s="155">
        <v>77</v>
      </c>
      <c r="CB86" s="155" t="s">
        <v>176</v>
      </c>
      <c r="CC86" s="159">
        <v>0.12392437280329657</v>
      </c>
      <c r="CD86" s="155">
        <v>79</v>
      </c>
      <c r="CF86" s="155" t="s">
        <v>176</v>
      </c>
      <c r="CG86" s="159">
        <v>9.534918056990993E-2</v>
      </c>
      <c r="CH86" s="155">
        <v>80</v>
      </c>
      <c r="CJ86" s="155" t="s">
        <v>176</v>
      </c>
      <c r="CK86" s="159">
        <v>5.9193055595214303E-2</v>
      </c>
      <c r="CL86" s="155">
        <v>77</v>
      </c>
      <c r="CN86" s="155" t="s">
        <v>176</v>
      </c>
      <c r="CO86" s="159">
        <v>2.9759591360835044E-2</v>
      </c>
      <c r="CP86" s="155">
        <v>61</v>
      </c>
    </row>
    <row r="87" spans="1:94" x14ac:dyDescent="0.2">
      <c r="A87" s="155" t="s">
        <v>177</v>
      </c>
      <c r="B87" s="155">
        <v>42822</v>
      </c>
      <c r="C87" s="155">
        <v>44100</v>
      </c>
      <c r="D87" s="155">
        <v>44800</v>
      </c>
      <c r="E87" s="155">
        <v>45400</v>
      </c>
      <c r="F87" s="155">
        <v>45500</v>
      </c>
      <c r="G87" s="155">
        <v>45700</v>
      </c>
      <c r="H87" s="155">
        <v>46000</v>
      </c>
      <c r="I87" s="155">
        <v>46500</v>
      </c>
      <c r="J87" s="155">
        <v>47000</v>
      </c>
      <c r="K87" s="155">
        <v>47600</v>
      </c>
      <c r="L87" s="155">
        <v>48517</v>
      </c>
      <c r="M87" s="155">
        <v>48555</v>
      </c>
      <c r="N87" s="155">
        <v>48757</v>
      </c>
      <c r="O87" s="155">
        <v>48978</v>
      </c>
      <c r="P87" s="155">
        <v>49744</v>
      </c>
      <c r="Q87" s="155">
        <v>50192</v>
      </c>
      <c r="R87" s="155">
        <v>50227</v>
      </c>
      <c r="S87" s="155">
        <v>50547</v>
      </c>
      <c r="T87" s="155">
        <v>51006</v>
      </c>
      <c r="U87" s="155">
        <v>51612</v>
      </c>
      <c r="V87" s="155">
        <v>51906</v>
      </c>
      <c r="W87" s="155">
        <v>52646</v>
      </c>
      <c r="X87" s="155">
        <v>53092</v>
      </c>
      <c r="Y87" s="155">
        <v>53585</v>
      </c>
      <c r="Z87" s="155">
        <v>54376</v>
      </c>
      <c r="AA87" s="155">
        <v>54799</v>
      </c>
      <c r="AB87" s="155">
        <v>55455</v>
      </c>
      <c r="AC87" s="155">
        <v>56412</v>
      </c>
      <c r="AD87" s="155">
        <v>56918</v>
      </c>
      <c r="AE87" s="155">
        <v>57791</v>
      </c>
      <c r="AF87" s="160">
        <v>58187</v>
      </c>
      <c r="AG87" s="160">
        <v>58622</v>
      </c>
      <c r="AH87" s="160">
        <v>58648</v>
      </c>
      <c r="AI87" s="160">
        <v>58760</v>
      </c>
      <c r="AJ87" s="160">
        <v>58721</v>
      </c>
      <c r="AK87" s="155">
        <v>58964</v>
      </c>
      <c r="AL87" s="155">
        <v>59358</v>
      </c>
      <c r="AM87" s="159"/>
      <c r="AN87" s="155" t="s">
        <v>177</v>
      </c>
      <c r="AO87" s="219">
        <v>9.1116752079878349E-3</v>
      </c>
      <c r="AP87" s="155">
        <v>63</v>
      </c>
      <c r="AR87" s="155" t="s">
        <v>177</v>
      </c>
      <c r="AS87" s="219">
        <v>8.4707922099462873E-3</v>
      </c>
      <c r="AT87" s="155">
        <v>62</v>
      </c>
      <c r="AV87" s="155" t="s">
        <v>177</v>
      </c>
      <c r="AW87" s="219">
        <v>8.4707922099462873E-3</v>
      </c>
      <c r="AX87" s="155">
        <v>61</v>
      </c>
      <c r="AZ87" s="155" t="s">
        <v>177</v>
      </c>
      <c r="BA87" s="219">
        <v>7.7868011897115341E-3</v>
      </c>
      <c r="BB87" s="155">
        <v>65</v>
      </c>
      <c r="BD87" s="155" t="s">
        <v>177</v>
      </c>
      <c r="BE87" s="219">
        <v>8.0191853740052554E-3</v>
      </c>
      <c r="BF87" s="155">
        <v>65</v>
      </c>
      <c r="BH87" s="155" t="s">
        <v>177</v>
      </c>
      <c r="BI87" s="219">
        <v>8.4197808320729539E-3</v>
      </c>
      <c r="BJ87" s="155">
        <v>68</v>
      </c>
      <c r="BL87" s="155" t="s">
        <v>177</v>
      </c>
      <c r="BM87" s="219">
        <v>3.3263439576758369E-3</v>
      </c>
      <c r="BN87" s="155">
        <v>71</v>
      </c>
      <c r="BP87" s="155" t="s">
        <v>177</v>
      </c>
      <c r="BQ87" s="159">
        <v>0.38615664845173042</v>
      </c>
      <c r="BR87" s="155">
        <v>63</v>
      </c>
      <c r="BT87" s="155" t="s">
        <v>177</v>
      </c>
      <c r="BU87" s="159">
        <v>0.29886214442013131</v>
      </c>
      <c r="BV87" s="155">
        <v>62</v>
      </c>
      <c r="BX87" s="155" t="s">
        <v>177</v>
      </c>
      <c r="BY87" s="159">
        <v>0.22344745140878455</v>
      </c>
      <c r="BZ87" s="155">
        <v>64</v>
      </c>
      <c r="CB87" s="155" t="s">
        <v>177</v>
      </c>
      <c r="CC87" s="159">
        <v>0.18261874402295186</v>
      </c>
      <c r="CD87" s="155">
        <v>65</v>
      </c>
      <c r="CF87" s="155" t="s">
        <v>177</v>
      </c>
      <c r="CG87" s="159">
        <v>0.14356721766269795</v>
      </c>
      <c r="CH87" s="155">
        <v>68</v>
      </c>
      <c r="CJ87" s="155" t="s">
        <v>177</v>
      </c>
      <c r="CK87" s="159">
        <v>8.3194948812934544E-2</v>
      </c>
      <c r="CL87" s="155">
        <v>68</v>
      </c>
      <c r="CN87" s="155" t="s">
        <v>177</v>
      </c>
      <c r="CO87" s="159">
        <v>2.0124770137659613E-2</v>
      </c>
      <c r="CP87" s="155">
        <v>71</v>
      </c>
    </row>
    <row r="88" spans="1:94" x14ac:dyDescent="0.2">
      <c r="A88" s="155" t="s">
        <v>178</v>
      </c>
      <c r="B88" s="155">
        <v>23782</v>
      </c>
      <c r="C88" s="155">
        <v>25000</v>
      </c>
      <c r="D88" s="155">
        <v>26300</v>
      </c>
      <c r="E88" s="155">
        <v>27200</v>
      </c>
      <c r="F88" s="155">
        <v>28300</v>
      </c>
      <c r="G88" s="155">
        <v>29300</v>
      </c>
      <c r="H88" s="155">
        <v>29800</v>
      </c>
      <c r="I88" s="155">
        <v>30300</v>
      </c>
      <c r="J88" s="155">
        <v>31100</v>
      </c>
      <c r="K88" s="155">
        <v>32200</v>
      </c>
      <c r="L88" s="155">
        <v>33086</v>
      </c>
      <c r="M88" s="155">
        <v>33690</v>
      </c>
      <c r="N88" s="155">
        <v>34256</v>
      </c>
      <c r="O88" s="155">
        <v>34371</v>
      </c>
      <c r="P88" s="155">
        <v>34945</v>
      </c>
      <c r="Q88" s="155">
        <v>35371</v>
      </c>
      <c r="R88" s="155">
        <v>35610</v>
      </c>
      <c r="S88" s="155">
        <v>36183</v>
      </c>
      <c r="T88" s="155">
        <v>36401</v>
      </c>
      <c r="U88" s="155">
        <v>36803</v>
      </c>
      <c r="V88" s="155">
        <v>37396</v>
      </c>
      <c r="W88" s="155">
        <v>37806</v>
      </c>
      <c r="X88" s="155">
        <v>38732</v>
      </c>
      <c r="Y88" s="155">
        <v>39050</v>
      </c>
      <c r="Z88" s="155">
        <v>40207</v>
      </c>
      <c r="AA88" s="155">
        <v>41170</v>
      </c>
      <c r="AB88" s="155">
        <v>42142</v>
      </c>
      <c r="AC88" s="155">
        <v>42906</v>
      </c>
      <c r="AD88" s="155">
        <v>43588</v>
      </c>
      <c r="AE88" s="155">
        <v>44255</v>
      </c>
      <c r="AF88" s="160">
        <v>44861</v>
      </c>
      <c r="AG88" s="160">
        <v>44967</v>
      </c>
      <c r="AH88" s="160">
        <v>44990</v>
      </c>
      <c r="AI88" s="160">
        <v>45186</v>
      </c>
      <c r="AJ88" s="160">
        <v>45449</v>
      </c>
      <c r="AK88" s="155">
        <v>45858</v>
      </c>
      <c r="AL88" s="155">
        <v>46168</v>
      </c>
      <c r="AM88" s="159"/>
      <c r="AN88" s="155" t="s">
        <v>178</v>
      </c>
      <c r="AO88" s="219">
        <v>1.8597426581993926E-2</v>
      </c>
      <c r="AP88" s="155">
        <v>24</v>
      </c>
      <c r="AR88" s="155" t="s">
        <v>178</v>
      </c>
      <c r="AS88" s="219">
        <v>1.4775821543852929E-2</v>
      </c>
      <c r="AT88" s="155">
        <v>31</v>
      </c>
      <c r="AV88" s="155" t="s">
        <v>178</v>
      </c>
      <c r="AW88" s="219">
        <v>1.4775821543852929E-2</v>
      </c>
      <c r="AX88" s="155">
        <v>31</v>
      </c>
      <c r="AZ88" s="155" t="s">
        <v>178</v>
      </c>
      <c r="BA88" s="219">
        <v>1.2896945283172201E-2</v>
      </c>
      <c r="BB88" s="155">
        <v>35</v>
      </c>
      <c r="BD88" s="155" t="s">
        <v>178</v>
      </c>
      <c r="BE88" s="219">
        <v>1.276626088937638E-2</v>
      </c>
      <c r="BF88" s="155">
        <v>40</v>
      </c>
      <c r="BH88" s="155" t="s">
        <v>178</v>
      </c>
      <c r="BI88" s="219">
        <v>1.3257307215455372E-2</v>
      </c>
      <c r="BJ88" s="155">
        <v>43</v>
      </c>
      <c r="BL88" s="155" t="s">
        <v>178</v>
      </c>
      <c r="BM88" s="219">
        <v>4.7978223663882602E-3</v>
      </c>
      <c r="BN88" s="155">
        <v>62</v>
      </c>
      <c r="BP88" s="155" t="s">
        <v>178</v>
      </c>
      <c r="BQ88" s="159">
        <v>0.94130014296526787</v>
      </c>
      <c r="BR88" s="155">
        <v>24</v>
      </c>
      <c r="BT88" s="155" t="s">
        <v>178</v>
      </c>
      <c r="BU88" s="159">
        <v>0.57569965870307171</v>
      </c>
      <c r="BV88" s="155">
        <v>31</v>
      </c>
      <c r="BX88" s="155" t="s">
        <v>178</v>
      </c>
      <c r="BY88" s="159">
        <v>0.3953938221604304</v>
      </c>
      <c r="BZ88" s="155">
        <v>35</v>
      </c>
      <c r="CB88" s="155" t="s">
        <v>178</v>
      </c>
      <c r="CC88" s="159">
        <v>0.30525006361143309</v>
      </c>
      <c r="CD88" s="155">
        <v>40</v>
      </c>
      <c r="CF88" s="155" t="s">
        <v>178</v>
      </c>
      <c r="CG88" s="159">
        <v>0.23457054230398974</v>
      </c>
      <c r="CH88" s="155">
        <v>43</v>
      </c>
      <c r="CJ88" s="155" t="s">
        <v>178</v>
      </c>
      <c r="CK88" s="159">
        <v>0.12139907699781394</v>
      </c>
      <c r="CL88" s="155">
        <v>50</v>
      </c>
      <c r="CN88" s="155" t="s">
        <v>178</v>
      </c>
      <c r="CO88" s="159">
        <v>2.9134437484674886E-2</v>
      </c>
      <c r="CP88" s="155">
        <v>62</v>
      </c>
    </row>
    <row r="89" spans="1:94" x14ac:dyDescent="0.2">
      <c r="A89" s="155" t="s">
        <v>179</v>
      </c>
      <c r="B89" s="155">
        <v>51415</v>
      </c>
      <c r="C89" s="155">
        <v>52500</v>
      </c>
      <c r="D89" s="155">
        <v>53600</v>
      </c>
      <c r="E89" s="155">
        <v>54600</v>
      </c>
      <c r="F89" s="155">
        <v>55000</v>
      </c>
      <c r="G89" s="155">
        <v>56100</v>
      </c>
      <c r="H89" s="155">
        <v>56500</v>
      </c>
      <c r="I89" s="155">
        <v>57500</v>
      </c>
      <c r="J89" s="155">
        <v>57900</v>
      </c>
      <c r="K89" s="155">
        <v>58500</v>
      </c>
      <c r="L89" s="155">
        <v>59449</v>
      </c>
      <c r="M89" s="155">
        <v>59637</v>
      </c>
      <c r="N89" s="155">
        <v>59896</v>
      </c>
      <c r="O89" s="155">
        <v>59818</v>
      </c>
      <c r="P89" s="155">
        <v>60276</v>
      </c>
      <c r="Q89" s="155">
        <v>60525</v>
      </c>
      <c r="R89" s="155">
        <v>60783</v>
      </c>
      <c r="S89" s="155">
        <v>61100</v>
      </c>
      <c r="T89" s="155">
        <v>61243</v>
      </c>
      <c r="U89" s="155">
        <v>61387</v>
      </c>
      <c r="V89" s="155">
        <v>61969</v>
      </c>
      <c r="W89" s="155">
        <v>62872</v>
      </c>
      <c r="X89" s="155">
        <v>63752</v>
      </c>
      <c r="Y89" s="155">
        <v>64837</v>
      </c>
      <c r="Z89" s="155">
        <v>65862</v>
      </c>
      <c r="AA89" s="155">
        <v>66828</v>
      </c>
      <c r="AB89" s="155">
        <v>67582</v>
      </c>
      <c r="AC89" s="155">
        <v>68739</v>
      </c>
      <c r="AD89" s="155">
        <v>69986</v>
      </c>
      <c r="AE89" s="155">
        <v>70942</v>
      </c>
      <c r="AF89" s="160">
        <v>71235</v>
      </c>
      <c r="AG89" s="160">
        <v>71645</v>
      </c>
      <c r="AH89" s="160">
        <v>72037</v>
      </c>
      <c r="AI89" s="160">
        <v>72283</v>
      </c>
      <c r="AJ89" s="160">
        <v>72188</v>
      </c>
      <c r="AK89" s="155">
        <v>72601</v>
      </c>
      <c r="AL89" s="155">
        <v>72687</v>
      </c>
      <c r="AM89" s="159"/>
      <c r="AN89" s="155" t="s">
        <v>179</v>
      </c>
      <c r="AO89" s="219">
        <v>9.6639694927482811E-3</v>
      </c>
      <c r="AP89" s="155">
        <v>58</v>
      </c>
      <c r="AR89" s="155" t="s">
        <v>179</v>
      </c>
      <c r="AS89" s="219">
        <v>8.3907075614875204E-3</v>
      </c>
      <c r="AT89" s="155">
        <v>63</v>
      </c>
      <c r="AV89" s="155" t="s">
        <v>179</v>
      </c>
      <c r="AW89" s="219">
        <v>8.3907075614875204E-3</v>
      </c>
      <c r="AX89" s="155">
        <v>62</v>
      </c>
      <c r="AZ89" s="155" t="s">
        <v>179</v>
      </c>
      <c r="BA89" s="219">
        <v>7.7624245086020949E-3</v>
      </c>
      <c r="BB89" s="155">
        <v>66</v>
      </c>
      <c r="BD89" s="155" t="s">
        <v>179</v>
      </c>
      <c r="BE89" s="219">
        <v>8.7574597831570067E-3</v>
      </c>
      <c r="BF89" s="155">
        <v>57</v>
      </c>
      <c r="BH89" s="155" t="s">
        <v>179</v>
      </c>
      <c r="BI89" s="219">
        <v>1.0020389444409972E-2</v>
      </c>
      <c r="BJ89" s="155">
        <v>60</v>
      </c>
      <c r="BL89" s="155" t="s">
        <v>179</v>
      </c>
      <c r="BM89" s="219">
        <v>3.3687081906612626E-3</v>
      </c>
      <c r="BN89" s="155">
        <v>70</v>
      </c>
      <c r="BP89" s="155" t="s">
        <v>179</v>
      </c>
      <c r="BQ89" s="159">
        <v>0.4137314013420208</v>
      </c>
      <c r="BR89" s="155">
        <v>58</v>
      </c>
      <c r="BT89" s="155" t="s">
        <v>179</v>
      </c>
      <c r="BU89" s="159">
        <v>0.29566844919786095</v>
      </c>
      <c r="BV89" s="155">
        <v>63</v>
      </c>
      <c r="BX89" s="155" t="s">
        <v>179</v>
      </c>
      <c r="BY89" s="159">
        <v>0.22267826203973154</v>
      </c>
      <c r="BZ89" s="155">
        <v>65</v>
      </c>
      <c r="CB89" s="155" t="s">
        <v>179</v>
      </c>
      <c r="CC89" s="159">
        <v>0.20094175960346963</v>
      </c>
      <c r="CD89" s="155">
        <v>56</v>
      </c>
      <c r="CF89" s="155" t="s">
        <v>179</v>
      </c>
      <c r="CG89" s="159">
        <v>0.17295744646516806</v>
      </c>
      <c r="CH89" s="155">
        <v>60</v>
      </c>
      <c r="CJ89" s="155" t="s">
        <v>179</v>
      </c>
      <c r="CK89" s="159">
        <v>8.7672831747171845E-2</v>
      </c>
      <c r="CL89" s="155">
        <v>65</v>
      </c>
      <c r="CN89" s="155" t="s">
        <v>179</v>
      </c>
      <c r="CO89" s="159">
        <v>2.038323857654243E-2</v>
      </c>
      <c r="CP89" s="155">
        <v>70</v>
      </c>
    </row>
    <row r="90" spans="1:94" x14ac:dyDescent="0.2">
      <c r="A90" s="155" t="s">
        <v>180</v>
      </c>
      <c r="B90" s="155">
        <v>8835</v>
      </c>
      <c r="C90" s="155">
        <v>9200</v>
      </c>
      <c r="D90" s="155">
        <v>9400</v>
      </c>
      <c r="E90" s="155">
        <v>9200</v>
      </c>
      <c r="F90" s="155">
        <v>9400</v>
      </c>
      <c r="G90" s="155">
        <v>9900</v>
      </c>
      <c r="H90" s="155">
        <v>10200</v>
      </c>
      <c r="I90" s="155">
        <v>10300</v>
      </c>
      <c r="J90" s="155">
        <v>10300</v>
      </c>
      <c r="K90" s="155">
        <v>10300</v>
      </c>
      <c r="L90" s="155">
        <v>10283</v>
      </c>
      <c r="M90" s="155">
        <v>10457</v>
      </c>
      <c r="N90" s="155">
        <v>10633</v>
      </c>
      <c r="O90" s="155">
        <v>10751</v>
      </c>
      <c r="P90" s="155">
        <v>10868</v>
      </c>
      <c r="Q90" s="155">
        <v>10848</v>
      </c>
      <c r="R90" s="155">
        <v>10955</v>
      </c>
      <c r="S90" s="155">
        <v>10932</v>
      </c>
      <c r="T90" s="155">
        <v>10810</v>
      </c>
      <c r="U90" s="155">
        <v>11157</v>
      </c>
      <c r="V90" s="155">
        <v>11306</v>
      </c>
      <c r="W90" s="155">
        <v>11489</v>
      </c>
      <c r="X90" s="155">
        <v>11599</v>
      </c>
      <c r="Y90" s="155">
        <v>11812</v>
      </c>
      <c r="Z90" s="155">
        <v>11845</v>
      </c>
      <c r="AA90" s="155">
        <v>12011</v>
      </c>
      <c r="AB90" s="155">
        <v>12314</v>
      </c>
      <c r="AC90" s="155">
        <v>12500</v>
      </c>
      <c r="AD90" s="155">
        <v>12642</v>
      </c>
      <c r="AE90" s="155">
        <v>12799</v>
      </c>
      <c r="AF90" s="160">
        <v>13019</v>
      </c>
      <c r="AG90" s="160">
        <v>12982</v>
      </c>
      <c r="AH90" s="160">
        <v>13017</v>
      </c>
      <c r="AI90" s="160">
        <v>13091</v>
      </c>
      <c r="AJ90" s="160">
        <v>13103</v>
      </c>
      <c r="AK90" s="155">
        <v>13167</v>
      </c>
      <c r="AL90" s="155">
        <v>13445</v>
      </c>
      <c r="AM90" s="159"/>
      <c r="AN90" s="155" t="s">
        <v>180</v>
      </c>
      <c r="AO90" s="219">
        <v>1.1731789003704085E-2</v>
      </c>
      <c r="AP90" s="155">
        <v>43</v>
      </c>
      <c r="AR90" s="155" t="s">
        <v>180</v>
      </c>
      <c r="AS90" s="219">
        <v>9.9222094118003312E-3</v>
      </c>
      <c r="AT90" s="155">
        <v>49</v>
      </c>
      <c r="AV90" s="155" t="s">
        <v>180</v>
      </c>
      <c r="AW90" s="219">
        <v>9.9222094118003312E-3</v>
      </c>
      <c r="AX90" s="155">
        <v>49</v>
      </c>
      <c r="AZ90" s="155" t="s">
        <v>180</v>
      </c>
      <c r="BA90" s="219">
        <v>1.0365477944639601E-2</v>
      </c>
      <c r="BB90" s="155">
        <v>48</v>
      </c>
      <c r="BD90" s="155" t="s">
        <v>180</v>
      </c>
      <c r="BE90" s="219">
        <v>1.0272718084771704E-2</v>
      </c>
      <c r="BF90" s="155">
        <v>53</v>
      </c>
      <c r="BH90" s="155" t="s">
        <v>180</v>
      </c>
      <c r="BI90" s="219">
        <v>1.0888460681642398E-2</v>
      </c>
      <c r="BJ90" s="155">
        <v>54</v>
      </c>
      <c r="BL90" s="155" t="s">
        <v>180</v>
      </c>
      <c r="BM90" s="219">
        <v>5.3806675415604133E-3</v>
      </c>
      <c r="BN90" s="155">
        <v>59</v>
      </c>
      <c r="BP90" s="155" t="s">
        <v>180</v>
      </c>
      <c r="BQ90" s="159">
        <v>0.52178834182229772</v>
      </c>
      <c r="BR90" s="155">
        <v>43</v>
      </c>
      <c r="BT90" s="155" t="s">
        <v>180</v>
      </c>
      <c r="BU90" s="159">
        <v>0.35808080808080806</v>
      </c>
      <c r="BV90" s="155">
        <v>49</v>
      </c>
      <c r="BX90" s="155" t="s">
        <v>180</v>
      </c>
      <c r="BY90" s="159">
        <v>0.30749781192259068</v>
      </c>
      <c r="BZ90" s="155">
        <v>48</v>
      </c>
      <c r="CB90" s="155" t="s">
        <v>180</v>
      </c>
      <c r="CC90" s="159">
        <v>0.23939896755162243</v>
      </c>
      <c r="CD90" s="155">
        <v>51</v>
      </c>
      <c r="CF90" s="155" t="s">
        <v>180</v>
      </c>
      <c r="CG90" s="159">
        <v>0.18919157969219882</v>
      </c>
      <c r="CH90" s="155">
        <v>55</v>
      </c>
      <c r="CJ90" s="155" t="s">
        <v>180</v>
      </c>
      <c r="CK90" s="159">
        <v>0.11939055865456664</v>
      </c>
      <c r="CL90" s="155">
        <v>51</v>
      </c>
      <c r="CN90" s="155" t="s">
        <v>180</v>
      </c>
      <c r="CO90" s="159">
        <v>3.2721407174130114E-2</v>
      </c>
      <c r="CP90" s="155">
        <v>59</v>
      </c>
    </row>
    <row r="91" spans="1:94" x14ac:dyDescent="0.2">
      <c r="A91" s="155" t="s">
        <v>181</v>
      </c>
      <c r="B91" s="155">
        <v>19713</v>
      </c>
      <c r="C91" s="155">
        <v>20000</v>
      </c>
      <c r="D91" s="155">
        <v>20100</v>
      </c>
      <c r="E91" s="155">
        <v>20600</v>
      </c>
      <c r="F91" s="155">
        <v>21200</v>
      </c>
      <c r="G91" s="155">
        <v>21700</v>
      </c>
      <c r="H91" s="155">
        <v>22000</v>
      </c>
      <c r="I91" s="155">
        <v>22500</v>
      </c>
      <c r="J91" s="155">
        <v>22800</v>
      </c>
      <c r="K91" s="155">
        <v>23200</v>
      </c>
      <c r="L91" s="155">
        <v>23417</v>
      </c>
      <c r="M91" s="155">
        <v>23763</v>
      </c>
      <c r="N91" s="155">
        <v>24095</v>
      </c>
      <c r="O91" s="155">
        <v>24260</v>
      </c>
      <c r="P91" s="155">
        <v>24633</v>
      </c>
      <c r="Q91" s="155">
        <v>24950</v>
      </c>
      <c r="R91" s="155">
        <v>25404</v>
      </c>
      <c r="S91" s="155">
        <v>25404</v>
      </c>
      <c r="T91" s="155">
        <v>25515</v>
      </c>
      <c r="U91" s="155">
        <v>25604</v>
      </c>
      <c r="V91" s="155">
        <v>25547</v>
      </c>
      <c r="W91" s="155">
        <v>25768</v>
      </c>
      <c r="X91" s="155">
        <v>26114</v>
      </c>
      <c r="Y91" s="155">
        <v>26681</v>
      </c>
      <c r="Z91" s="155">
        <v>27101</v>
      </c>
      <c r="AA91" s="155">
        <v>27304</v>
      </c>
      <c r="AB91" s="155">
        <v>27820</v>
      </c>
      <c r="AC91" s="155">
        <v>28225</v>
      </c>
      <c r="AD91" s="155">
        <v>28853</v>
      </c>
      <c r="AE91" s="155">
        <v>29160</v>
      </c>
      <c r="AF91" s="160">
        <v>29379</v>
      </c>
      <c r="AG91" s="160">
        <v>29395</v>
      </c>
      <c r="AH91" s="160">
        <v>29508</v>
      </c>
      <c r="AI91" s="160">
        <v>29385</v>
      </c>
      <c r="AJ91" s="160">
        <v>29450</v>
      </c>
      <c r="AK91" s="155">
        <v>29626</v>
      </c>
      <c r="AL91" s="155">
        <v>29780</v>
      </c>
      <c r="AM91" s="159"/>
      <c r="AN91" s="155" t="s">
        <v>181</v>
      </c>
      <c r="AO91" s="219">
        <v>1.1525881136210225E-2</v>
      </c>
      <c r="AP91" s="155">
        <v>47</v>
      </c>
      <c r="AR91" s="155" t="s">
        <v>181</v>
      </c>
      <c r="AS91" s="219">
        <v>1.0262781126401777E-2</v>
      </c>
      <c r="AT91" s="155">
        <v>46</v>
      </c>
      <c r="AV91" s="155" t="s">
        <v>181</v>
      </c>
      <c r="AW91" s="219">
        <v>1.0262781126401777E-2</v>
      </c>
      <c r="AX91" s="155">
        <v>46</v>
      </c>
      <c r="AZ91" s="155" t="s">
        <v>181</v>
      </c>
      <c r="BA91" s="219">
        <v>9.2880522920006925E-3</v>
      </c>
      <c r="BB91" s="155">
        <v>54</v>
      </c>
      <c r="BD91" s="155" t="s">
        <v>181</v>
      </c>
      <c r="BE91" s="219">
        <v>8.4624248738243146E-3</v>
      </c>
      <c r="BF91" s="155">
        <v>61</v>
      </c>
      <c r="BH91" s="155" t="s">
        <v>181</v>
      </c>
      <c r="BI91" s="219">
        <v>9.6283783273003465E-3</v>
      </c>
      <c r="BJ91" s="155">
        <v>61</v>
      </c>
      <c r="BL91" s="155" t="s">
        <v>181</v>
      </c>
      <c r="BM91" s="219">
        <v>2.2620368619605813E-3</v>
      </c>
      <c r="BN91" s="155">
        <v>76</v>
      </c>
      <c r="BP91" s="155" t="s">
        <v>181</v>
      </c>
      <c r="BQ91" s="159">
        <v>0.51067823263836043</v>
      </c>
      <c r="BR91" s="155">
        <v>47</v>
      </c>
      <c r="BT91" s="155" t="s">
        <v>181</v>
      </c>
      <c r="BU91" s="159">
        <v>0.37235023041474652</v>
      </c>
      <c r="BV91" s="155">
        <v>46</v>
      </c>
      <c r="BX91" s="155" t="s">
        <v>181</v>
      </c>
      <c r="BY91" s="159">
        <v>0.2717256693854892</v>
      </c>
      <c r="BZ91" s="155">
        <v>54</v>
      </c>
      <c r="CB91" s="155" t="s">
        <v>181</v>
      </c>
      <c r="CC91" s="159">
        <v>0.19358717434869741</v>
      </c>
      <c r="CD91" s="155">
        <v>61</v>
      </c>
      <c r="CF91" s="155" t="s">
        <v>181</v>
      </c>
      <c r="CG91" s="159">
        <v>0.16569460210592241</v>
      </c>
      <c r="CH91" s="155">
        <v>61</v>
      </c>
      <c r="CJ91" s="155" t="s">
        <v>181</v>
      </c>
      <c r="CK91" s="159">
        <v>9.0682683855845297E-2</v>
      </c>
      <c r="CL91" s="155">
        <v>62</v>
      </c>
      <c r="CN91" s="155" t="s">
        <v>181</v>
      </c>
      <c r="CO91" s="159">
        <v>1.3649205214609075E-2</v>
      </c>
      <c r="CP91" s="155">
        <v>76</v>
      </c>
    </row>
    <row r="92" spans="1:94" x14ac:dyDescent="0.2">
      <c r="A92" s="155" t="s">
        <v>182</v>
      </c>
      <c r="B92" s="155">
        <v>3806</v>
      </c>
      <c r="C92" s="155">
        <v>3900</v>
      </c>
      <c r="D92" s="155">
        <v>3900</v>
      </c>
      <c r="E92" s="155">
        <v>3700</v>
      </c>
      <c r="F92" s="155">
        <v>3800</v>
      </c>
      <c r="G92" s="155">
        <v>3900</v>
      </c>
      <c r="H92" s="155">
        <v>3900</v>
      </c>
      <c r="I92" s="155">
        <v>3900</v>
      </c>
      <c r="J92" s="155">
        <v>4000</v>
      </c>
      <c r="K92" s="155">
        <v>4000</v>
      </c>
      <c r="L92" s="155">
        <v>3975</v>
      </c>
      <c r="M92" s="155">
        <v>4008</v>
      </c>
      <c r="N92" s="155">
        <v>4059</v>
      </c>
      <c r="O92" s="155">
        <v>3991</v>
      </c>
      <c r="P92" s="155">
        <v>4008</v>
      </c>
      <c r="Q92" s="155">
        <v>4017</v>
      </c>
      <c r="R92" s="155">
        <v>3951</v>
      </c>
      <c r="S92" s="155">
        <v>3966</v>
      </c>
      <c r="T92" s="155">
        <v>3914</v>
      </c>
      <c r="U92" s="155">
        <v>3906</v>
      </c>
      <c r="V92" s="155">
        <v>3856</v>
      </c>
      <c r="W92" s="155">
        <v>3791</v>
      </c>
      <c r="X92" s="155">
        <v>3852</v>
      </c>
      <c r="Y92" s="155">
        <v>3921</v>
      </c>
      <c r="Z92" s="155">
        <v>3878</v>
      </c>
      <c r="AA92" s="155">
        <v>3851</v>
      </c>
      <c r="AB92" s="155">
        <v>3820</v>
      </c>
      <c r="AC92" s="155">
        <v>3775</v>
      </c>
      <c r="AD92" s="155">
        <v>4033</v>
      </c>
      <c r="AE92" s="155">
        <v>4150</v>
      </c>
      <c r="AF92" s="160">
        <v>4148</v>
      </c>
      <c r="AG92" s="160">
        <v>4145</v>
      </c>
      <c r="AH92" s="160">
        <v>4155</v>
      </c>
      <c r="AI92" s="160">
        <v>4235</v>
      </c>
      <c r="AJ92" s="160">
        <v>4160</v>
      </c>
      <c r="AK92" s="155">
        <v>4157</v>
      </c>
      <c r="AL92" s="155">
        <v>4187</v>
      </c>
      <c r="AM92" s="159"/>
      <c r="AN92" s="155" t="s">
        <v>182</v>
      </c>
      <c r="AO92" s="219">
        <v>2.6536736130138294E-3</v>
      </c>
      <c r="AP92" s="155">
        <v>89</v>
      </c>
      <c r="AR92" s="155" t="s">
        <v>182</v>
      </c>
      <c r="AS92" s="219">
        <v>2.2932038920735476E-3</v>
      </c>
      <c r="AT92" s="155">
        <v>89</v>
      </c>
      <c r="AV92" s="155" t="s">
        <v>182</v>
      </c>
      <c r="AW92" s="219">
        <v>2.2932038920735476E-3</v>
      </c>
      <c r="AX92" s="155">
        <v>89</v>
      </c>
      <c r="AZ92" s="155" t="s">
        <v>182</v>
      </c>
      <c r="BA92" s="219">
        <v>2.0004497324321857E-3</v>
      </c>
      <c r="BB92" s="155">
        <v>88</v>
      </c>
      <c r="BD92" s="155" t="s">
        <v>182</v>
      </c>
      <c r="BE92" s="219">
        <v>1.9757173368692982E-3</v>
      </c>
      <c r="BF92" s="155">
        <v>89</v>
      </c>
      <c r="BH92" s="155" t="s">
        <v>182</v>
      </c>
      <c r="BI92" s="219">
        <v>5.1604011328136856E-3</v>
      </c>
      <c r="BJ92" s="155">
        <v>83</v>
      </c>
      <c r="BL92" s="155" t="s">
        <v>182</v>
      </c>
      <c r="BM92" s="219">
        <v>1.5609164087504457E-3</v>
      </c>
      <c r="BN92" s="155">
        <v>78</v>
      </c>
      <c r="BP92" s="155" t="s">
        <v>182</v>
      </c>
      <c r="BQ92" s="159">
        <v>0.1001050972149238</v>
      </c>
      <c r="BR92" s="155">
        <v>89</v>
      </c>
      <c r="BT92" s="155" t="s">
        <v>182</v>
      </c>
      <c r="BU92" s="159">
        <v>7.3589743589743586E-2</v>
      </c>
      <c r="BV92" s="155">
        <v>89</v>
      </c>
      <c r="BX92" s="155" t="s">
        <v>182</v>
      </c>
      <c r="BY92" s="159">
        <v>5.3333333333333337E-2</v>
      </c>
      <c r="BZ92" s="155">
        <v>88</v>
      </c>
      <c r="CB92" s="155" t="s">
        <v>182</v>
      </c>
      <c r="CC92" s="159">
        <v>4.2320139407518047E-2</v>
      </c>
      <c r="CD92" s="155">
        <v>89</v>
      </c>
      <c r="CF92" s="155" t="s">
        <v>182</v>
      </c>
      <c r="CG92" s="159">
        <v>8.5840248962655602E-2</v>
      </c>
      <c r="CH92" s="155">
        <v>83</v>
      </c>
      <c r="CJ92" s="155" t="s">
        <v>182</v>
      </c>
      <c r="CK92" s="159">
        <v>8.7250064918203057E-2</v>
      </c>
      <c r="CL92" s="155">
        <v>66</v>
      </c>
      <c r="CN92" s="155" t="s">
        <v>182</v>
      </c>
      <c r="CO92" s="159">
        <v>9.4021215043394411E-3</v>
      </c>
      <c r="CP92" s="155">
        <v>78</v>
      </c>
    </row>
    <row r="93" spans="1:94" x14ac:dyDescent="0.2">
      <c r="A93" s="155" t="s">
        <v>183</v>
      </c>
      <c r="B93" s="155">
        <v>54714</v>
      </c>
      <c r="C93" s="155">
        <v>56600</v>
      </c>
      <c r="D93" s="155">
        <v>58900</v>
      </c>
      <c r="E93" s="155">
        <v>59900</v>
      </c>
      <c r="F93" s="155">
        <v>62300</v>
      </c>
      <c r="G93" s="155">
        <v>63000</v>
      </c>
      <c r="H93" s="155">
        <v>63600</v>
      </c>
      <c r="I93" s="155">
        <v>64900</v>
      </c>
      <c r="J93" s="155">
        <v>66500</v>
      </c>
      <c r="K93" s="155">
        <v>68100</v>
      </c>
      <c r="L93" s="155">
        <v>70436</v>
      </c>
      <c r="M93" s="155">
        <v>72020</v>
      </c>
      <c r="N93" s="155">
        <v>73308</v>
      </c>
      <c r="O93" s="155">
        <v>74133</v>
      </c>
      <c r="P93" s="155">
        <v>75467</v>
      </c>
      <c r="Q93" s="155">
        <v>76715</v>
      </c>
      <c r="R93" s="155">
        <v>77966</v>
      </c>
      <c r="S93" s="155">
        <v>79616</v>
      </c>
      <c r="T93" s="155">
        <v>81387</v>
      </c>
      <c r="U93" s="155">
        <v>82885</v>
      </c>
      <c r="V93" s="155">
        <v>84772</v>
      </c>
      <c r="W93" s="155">
        <v>87227</v>
      </c>
      <c r="X93" s="155">
        <v>89711</v>
      </c>
      <c r="Y93" s="155">
        <v>92912</v>
      </c>
      <c r="Z93" s="155">
        <v>96300</v>
      </c>
      <c r="AA93" s="155">
        <v>100597</v>
      </c>
      <c r="AB93" s="155">
        <v>104469</v>
      </c>
      <c r="AC93" s="155">
        <v>108519</v>
      </c>
      <c r="AD93" s="155">
        <v>113172</v>
      </c>
      <c r="AE93" s="155">
        <v>118621</v>
      </c>
      <c r="AF93" s="160">
        <v>125669</v>
      </c>
      <c r="AG93" s="160">
        <v>132007</v>
      </c>
      <c r="AH93" s="160">
        <v>139412</v>
      </c>
      <c r="AI93" s="160">
        <v>145993</v>
      </c>
      <c r="AJ93" s="160">
        <v>153720</v>
      </c>
      <c r="AK93" s="155">
        <v>162929</v>
      </c>
      <c r="AL93" s="155">
        <v>175272</v>
      </c>
      <c r="AM93" s="159"/>
      <c r="AN93" s="155" t="s">
        <v>183</v>
      </c>
      <c r="AO93" s="219">
        <v>3.2868030911610724E-2</v>
      </c>
      <c r="AP93" s="155">
        <v>5</v>
      </c>
      <c r="AR93" s="155" t="s">
        <v>183</v>
      </c>
      <c r="AS93" s="219">
        <v>3.3557351581879002E-2</v>
      </c>
      <c r="AT93" s="155">
        <v>4</v>
      </c>
      <c r="AV93" s="155" t="s">
        <v>183</v>
      </c>
      <c r="AW93" s="219">
        <v>3.3557351581879002E-2</v>
      </c>
      <c r="AX93" s="155">
        <v>4</v>
      </c>
      <c r="AZ93" s="155" t="s">
        <v>183</v>
      </c>
      <c r="BA93" s="219">
        <v>3.5684817743443009E-2</v>
      </c>
      <c r="BB93" s="155">
        <v>4</v>
      </c>
      <c r="BD93" s="155" t="s">
        <v>183</v>
      </c>
      <c r="BE93" s="219">
        <v>4.0129107688639643E-2</v>
      </c>
      <c r="BF93" s="155">
        <v>1</v>
      </c>
      <c r="BH93" s="155" t="s">
        <v>183</v>
      </c>
      <c r="BI93" s="219">
        <v>4.6444638143245065E-2</v>
      </c>
      <c r="BJ93" s="155">
        <v>1</v>
      </c>
      <c r="BL93" s="155" t="s">
        <v>183</v>
      </c>
      <c r="BM93" s="219">
        <v>5.7013978108913621E-2</v>
      </c>
      <c r="BN93" s="155">
        <v>1</v>
      </c>
      <c r="BP93" s="155" t="s">
        <v>183</v>
      </c>
      <c r="BQ93" s="159">
        <v>2.2034214277881348</v>
      </c>
      <c r="BR93" s="155">
        <v>5</v>
      </c>
      <c r="BT93" s="155" t="s">
        <v>183</v>
      </c>
      <c r="BU93" s="159">
        <v>1.7820952380952382</v>
      </c>
      <c r="BV93" s="155">
        <v>4</v>
      </c>
      <c r="BX93" s="155" t="s">
        <v>183</v>
      </c>
      <c r="BY93" s="159">
        <v>1.4883866204781646</v>
      </c>
      <c r="BZ93" s="155">
        <v>4</v>
      </c>
      <c r="CB93" s="155" t="s">
        <v>183</v>
      </c>
      <c r="CC93" s="159">
        <v>1.2847161572052401</v>
      </c>
      <c r="CD93" s="155">
        <v>1</v>
      </c>
      <c r="CF93" s="155" t="s">
        <v>183</v>
      </c>
      <c r="CG93" s="159">
        <v>1.0675694804888407</v>
      </c>
      <c r="CH93" s="155">
        <v>1</v>
      </c>
      <c r="CJ93" s="155" t="s">
        <v>183</v>
      </c>
      <c r="CK93" s="159">
        <v>0.74231835939441537</v>
      </c>
      <c r="CL93" s="155">
        <v>1</v>
      </c>
      <c r="CN93" s="155" t="s">
        <v>183</v>
      </c>
      <c r="CO93" s="159">
        <v>0.39471150403042915</v>
      </c>
      <c r="CP93" s="155">
        <v>1</v>
      </c>
    </row>
    <row r="94" spans="1:94" x14ac:dyDescent="0.2">
      <c r="A94" s="155" t="s">
        <v>184</v>
      </c>
      <c r="B94" s="155">
        <v>32691</v>
      </c>
      <c r="C94" s="155">
        <v>32400</v>
      </c>
      <c r="D94" s="155">
        <v>32600</v>
      </c>
      <c r="E94" s="155">
        <v>33700</v>
      </c>
      <c r="F94" s="155">
        <v>33900</v>
      </c>
      <c r="G94" s="155">
        <v>34000</v>
      </c>
      <c r="H94" s="155">
        <v>34700</v>
      </c>
      <c r="I94" s="155">
        <v>35500</v>
      </c>
      <c r="J94" s="155">
        <v>36000</v>
      </c>
      <c r="K94" s="155">
        <v>36400</v>
      </c>
      <c r="L94" s="155">
        <v>36748</v>
      </c>
      <c r="M94" s="155">
        <v>36942</v>
      </c>
      <c r="N94" s="155">
        <v>37206</v>
      </c>
      <c r="O94" s="155">
        <v>37380</v>
      </c>
      <c r="P94" s="155">
        <v>37520</v>
      </c>
      <c r="Q94" s="155">
        <v>38005</v>
      </c>
      <c r="R94" s="155">
        <v>38365</v>
      </c>
      <c r="S94" s="155">
        <v>38648</v>
      </c>
      <c r="T94" s="155">
        <v>38663</v>
      </c>
      <c r="U94" s="155">
        <v>38544</v>
      </c>
      <c r="V94" s="155">
        <v>39042</v>
      </c>
      <c r="W94" s="155">
        <v>39337</v>
      </c>
      <c r="X94" s="155">
        <v>39724</v>
      </c>
      <c r="Y94" s="155">
        <v>40009</v>
      </c>
      <c r="Z94" s="155">
        <v>40446</v>
      </c>
      <c r="AA94" s="155">
        <v>40609</v>
      </c>
      <c r="AB94" s="155">
        <v>41069</v>
      </c>
      <c r="AC94" s="155">
        <v>41578</v>
      </c>
      <c r="AD94" s="155">
        <v>42029</v>
      </c>
      <c r="AE94" s="155">
        <v>42530</v>
      </c>
      <c r="AF94" s="160">
        <v>43156</v>
      </c>
      <c r="AG94" s="160">
        <v>43729</v>
      </c>
      <c r="AH94" s="160">
        <v>43899</v>
      </c>
      <c r="AI94" s="160">
        <v>43682</v>
      </c>
      <c r="AJ94" s="160">
        <v>43721</v>
      </c>
      <c r="AK94" s="155">
        <v>43771</v>
      </c>
      <c r="AL94" s="155">
        <v>43810</v>
      </c>
      <c r="AM94" s="159"/>
      <c r="AN94" s="155" t="s">
        <v>184</v>
      </c>
      <c r="AO94" s="219">
        <v>8.1654427217376924E-3</v>
      </c>
      <c r="AP94" s="155">
        <v>75</v>
      </c>
      <c r="AR94" s="155" t="s">
        <v>184</v>
      </c>
      <c r="AS94" s="219">
        <v>8.2109970681940592E-3</v>
      </c>
      <c r="AT94" s="155">
        <v>65</v>
      </c>
      <c r="AV94" s="155" t="s">
        <v>184</v>
      </c>
      <c r="AW94" s="219">
        <v>8.2109970681940592E-3</v>
      </c>
      <c r="AX94" s="155">
        <v>64</v>
      </c>
      <c r="AZ94" s="155" t="s">
        <v>184</v>
      </c>
      <c r="BA94" s="219">
        <v>6.7836089710220371E-3</v>
      </c>
      <c r="BB94" s="155">
        <v>71</v>
      </c>
      <c r="BD94" s="155" t="s">
        <v>184</v>
      </c>
      <c r="BE94" s="219">
        <v>6.7917395730086039E-3</v>
      </c>
      <c r="BF94" s="155">
        <v>70</v>
      </c>
      <c r="BH94" s="155" t="s">
        <v>184</v>
      </c>
      <c r="BI94" s="219">
        <v>7.2275002161799051E-3</v>
      </c>
      <c r="BJ94" s="155">
        <v>75</v>
      </c>
      <c r="BL94" s="155" t="s">
        <v>184</v>
      </c>
      <c r="BM94" s="219">
        <v>2.5099186078252345E-3</v>
      </c>
      <c r="BN94" s="155">
        <v>74</v>
      </c>
      <c r="BP94" s="155" t="s">
        <v>184</v>
      </c>
      <c r="BQ94" s="159">
        <v>0.34012419320302223</v>
      </c>
      <c r="BR94" s="155">
        <v>75</v>
      </c>
      <c r="BT94" s="155" t="s">
        <v>184</v>
      </c>
      <c r="BU94" s="159">
        <v>0.28852941176470587</v>
      </c>
      <c r="BV94" s="155">
        <v>65</v>
      </c>
      <c r="BX94" s="155" t="s">
        <v>184</v>
      </c>
      <c r="BY94" s="159">
        <v>0.1921737237400675</v>
      </c>
      <c r="BZ94" s="155">
        <v>71</v>
      </c>
      <c r="CB94" s="155" t="s">
        <v>184</v>
      </c>
      <c r="CC94" s="159">
        <v>0.15274306012366795</v>
      </c>
      <c r="CD94" s="155">
        <v>70</v>
      </c>
      <c r="CF94" s="155" t="s">
        <v>184</v>
      </c>
      <c r="CG94" s="159">
        <v>0.12212489114287178</v>
      </c>
      <c r="CH94" s="155">
        <v>75</v>
      </c>
      <c r="CJ94" s="155" t="s">
        <v>184</v>
      </c>
      <c r="CK94" s="159">
        <v>7.8824891034007236E-2</v>
      </c>
      <c r="CL94" s="155">
        <v>72</v>
      </c>
      <c r="CN94" s="155" t="s">
        <v>184</v>
      </c>
      <c r="CO94" s="159">
        <v>1.5154323848364074E-2</v>
      </c>
      <c r="CP94" s="155">
        <v>74</v>
      </c>
    </row>
    <row r="95" spans="1:94" x14ac:dyDescent="0.2">
      <c r="A95" s="155" t="s">
        <v>185</v>
      </c>
      <c r="B95" s="155">
        <v>229006</v>
      </c>
      <c r="C95" s="155">
        <v>238200</v>
      </c>
      <c r="D95" s="155">
        <v>245600</v>
      </c>
      <c r="E95" s="155">
        <v>254400</v>
      </c>
      <c r="F95" s="155">
        <v>263000</v>
      </c>
      <c r="G95" s="155">
        <v>267400</v>
      </c>
      <c r="H95" s="155">
        <v>272700</v>
      </c>
      <c r="I95" s="155">
        <v>280200</v>
      </c>
      <c r="J95" s="155">
        <v>286600</v>
      </c>
      <c r="K95" s="155">
        <v>293500</v>
      </c>
      <c r="L95" s="155">
        <v>301429</v>
      </c>
      <c r="M95" s="155">
        <v>310149</v>
      </c>
      <c r="N95" s="155">
        <v>316973</v>
      </c>
      <c r="O95" s="155">
        <v>327627</v>
      </c>
      <c r="P95" s="155">
        <v>342267</v>
      </c>
      <c r="Q95" s="155">
        <v>359163</v>
      </c>
      <c r="R95" s="155">
        <v>372079</v>
      </c>
      <c r="S95" s="155">
        <v>381548</v>
      </c>
      <c r="T95" s="155">
        <v>396914</v>
      </c>
      <c r="U95" s="155">
        <v>411341</v>
      </c>
      <c r="V95" s="155">
        <v>430378</v>
      </c>
      <c r="W95" s="155">
        <v>446158</v>
      </c>
      <c r="X95" s="155">
        <v>463218</v>
      </c>
      <c r="Y95" s="155">
        <v>482940</v>
      </c>
      <c r="Z95" s="155">
        <v>504299</v>
      </c>
      <c r="AA95" s="155">
        <v>526599</v>
      </c>
      <c r="AB95" s="155">
        <v>549005</v>
      </c>
      <c r="AC95" s="155">
        <v>570540</v>
      </c>
      <c r="AD95" s="155">
        <v>592534</v>
      </c>
      <c r="AE95" s="155">
        <v>612728</v>
      </c>
      <c r="AF95" s="160">
        <v>633233</v>
      </c>
      <c r="AG95" s="160">
        <v>657210</v>
      </c>
      <c r="AH95" s="160">
        <v>677725</v>
      </c>
      <c r="AI95" s="160">
        <v>698697</v>
      </c>
      <c r="AJ95" s="160">
        <v>719733</v>
      </c>
      <c r="AK95" s="155">
        <v>748815</v>
      </c>
      <c r="AL95" s="155">
        <v>786522</v>
      </c>
      <c r="AM95" s="159"/>
      <c r="AN95" s="155" t="s">
        <v>185</v>
      </c>
      <c r="AO95" s="219">
        <v>3.4868365808031321E-2</v>
      </c>
      <c r="AP95" s="155">
        <v>3</v>
      </c>
      <c r="AR95" s="155" t="s">
        <v>185</v>
      </c>
      <c r="AS95" s="219">
        <v>3.5415111586625025E-2</v>
      </c>
      <c r="AT95" s="155">
        <v>2</v>
      </c>
      <c r="AV95" s="155" t="s">
        <v>185</v>
      </c>
      <c r="AW95" s="219">
        <v>3.5415111586625025E-2</v>
      </c>
      <c r="AX95" s="155">
        <v>2</v>
      </c>
      <c r="AZ95" s="155" t="s">
        <v>185</v>
      </c>
      <c r="BA95" s="219">
        <v>3.757673369304082E-2</v>
      </c>
      <c r="BB95" s="155">
        <v>2</v>
      </c>
      <c r="BD95" s="155" t="s">
        <v>185</v>
      </c>
      <c r="BE95" s="219">
        <v>3.8031283323751941E-2</v>
      </c>
      <c r="BF95" s="155">
        <v>2</v>
      </c>
      <c r="BH95" s="155" t="s">
        <v>185</v>
      </c>
      <c r="BI95" s="219">
        <v>3.8403876507117518E-2</v>
      </c>
      <c r="BJ95" s="155">
        <v>5</v>
      </c>
      <c r="BL95" s="155" t="s">
        <v>185</v>
      </c>
      <c r="BM95" s="219">
        <v>3.6791009523857943E-2</v>
      </c>
      <c r="BN95" s="155">
        <v>6</v>
      </c>
      <c r="BP95" s="155" t="s">
        <v>185</v>
      </c>
      <c r="BQ95" s="159">
        <v>2.4345038994611494</v>
      </c>
      <c r="BR95" s="155">
        <v>3</v>
      </c>
      <c r="BT95" s="155" t="s">
        <v>185</v>
      </c>
      <c r="BU95" s="159">
        <v>1.9413687359760659</v>
      </c>
      <c r="BV95" s="155">
        <v>2</v>
      </c>
      <c r="BX95" s="155" t="s">
        <v>185</v>
      </c>
      <c r="BY95" s="159">
        <v>1.6093109820223004</v>
      </c>
      <c r="BZ95" s="155">
        <v>2</v>
      </c>
      <c r="CB95" s="155" t="s">
        <v>185</v>
      </c>
      <c r="CC95" s="159">
        <v>1.189874792225257</v>
      </c>
      <c r="CD95" s="155">
        <v>2</v>
      </c>
      <c r="CF95" s="155" t="s">
        <v>185</v>
      </c>
      <c r="CG95" s="159">
        <v>0.82751441755851829</v>
      </c>
      <c r="CH95" s="155">
        <v>5</v>
      </c>
      <c r="CJ95" s="155" t="s">
        <v>185</v>
      </c>
      <c r="CK95" s="159">
        <v>0.49358810024325911</v>
      </c>
      <c r="CL95" s="155">
        <v>4</v>
      </c>
      <c r="CN95" s="155" t="s">
        <v>185</v>
      </c>
      <c r="CO95" s="159">
        <v>0.24207361271443528</v>
      </c>
      <c r="CP95" s="155">
        <v>6</v>
      </c>
    </row>
    <row r="96" spans="1:94" x14ac:dyDescent="0.2">
      <c r="A96" s="155" t="s">
        <v>186</v>
      </c>
      <c r="B96" s="155">
        <v>15340</v>
      </c>
      <c r="C96" s="155">
        <v>16500</v>
      </c>
      <c r="D96" s="155">
        <v>16900</v>
      </c>
      <c r="E96" s="155">
        <v>16700</v>
      </c>
      <c r="F96" s="155">
        <v>16200</v>
      </c>
      <c r="G96" s="155">
        <v>16400</v>
      </c>
      <c r="H96" s="155">
        <v>16000</v>
      </c>
      <c r="I96" s="155">
        <v>16300</v>
      </c>
      <c r="J96" s="155">
        <v>16500</v>
      </c>
      <c r="K96" s="155">
        <v>16400</v>
      </c>
      <c r="L96" s="155">
        <v>16232</v>
      </c>
      <c r="M96" s="155">
        <v>16260</v>
      </c>
      <c r="N96" s="155">
        <v>16293</v>
      </c>
      <c r="O96" s="155">
        <v>16415</v>
      </c>
      <c r="P96" s="155">
        <v>16695</v>
      </c>
      <c r="Q96" s="155">
        <v>16746</v>
      </c>
      <c r="R96" s="155">
        <v>16853</v>
      </c>
      <c r="S96" s="155">
        <v>17022</v>
      </c>
      <c r="T96" s="155">
        <v>17130</v>
      </c>
      <c r="U96" s="155">
        <v>17200</v>
      </c>
      <c r="V96" s="155">
        <v>17303</v>
      </c>
      <c r="W96" s="155">
        <v>17480</v>
      </c>
      <c r="X96" s="155">
        <v>17734</v>
      </c>
      <c r="Y96" s="155">
        <v>17992</v>
      </c>
      <c r="Z96" s="155">
        <v>18139</v>
      </c>
      <c r="AA96" s="155">
        <v>18515</v>
      </c>
      <c r="AB96" s="155">
        <v>18692</v>
      </c>
      <c r="AC96" s="155">
        <v>19015</v>
      </c>
      <c r="AD96" s="155">
        <v>19805</v>
      </c>
      <c r="AE96" s="155">
        <v>19994</v>
      </c>
      <c r="AF96" s="160">
        <v>19936</v>
      </c>
      <c r="AG96" s="160">
        <v>19926</v>
      </c>
      <c r="AH96" s="160">
        <v>19928</v>
      </c>
      <c r="AI96" s="160">
        <v>19838</v>
      </c>
      <c r="AJ96" s="160">
        <v>19862</v>
      </c>
      <c r="AK96" s="155">
        <v>19729</v>
      </c>
      <c r="AL96" s="155">
        <v>19605</v>
      </c>
      <c r="AM96" s="159"/>
      <c r="AN96" s="155" t="s">
        <v>186</v>
      </c>
      <c r="AO96" s="219">
        <v>6.8377390883891387E-3</v>
      </c>
      <c r="AP96" s="155">
        <v>81</v>
      </c>
      <c r="AR96" s="155" t="s">
        <v>186</v>
      </c>
      <c r="AS96" s="219">
        <v>5.7747811298709539E-3</v>
      </c>
      <c r="AT96" s="155">
        <v>81</v>
      </c>
      <c r="AV96" s="155" t="s">
        <v>186</v>
      </c>
      <c r="AW96" s="219">
        <v>5.7747811298709539E-3</v>
      </c>
      <c r="AX96" s="155">
        <v>81</v>
      </c>
      <c r="AZ96" s="155" t="s">
        <v>186</v>
      </c>
      <c r="BA96" s="219">
        <v>7.2879686517564046E-3</v>
      </c>
      <c r="BB96" s="155">
        <v>70</v>
      </c>
      <c r="BD96" s="155" t="s">
        <v>186</v>
      </c>
      <c r="BE96" s="219">
        <v>7.5342028234994807E-3</v>
      </c>
      <c r="BF96" s="155">
        <v>66</v>
      </c>
      <c r="BH96" s="155" t="s">
        <v>186</v>
      </c>
      <c r="BI96" s="219">
        <v>7.8370967072785014E-3</v>
      </c>
      <c r="BJ96" s="155">
        <v>72</v>
      </c>
      <c r="BL96" s="155" t="s">
        <v>186</v>
      </c>
      <c r="BM96" s="219">
        <v>-2.7865282130551394E-3</v>
      </c>
      <c r="BN96" s="155">
        <v>91</v>
      </c>
      <c r="BP96" s="155" t="s">
        <v>186</v>
      </c>
      <c r="BQ96" s="159">
        <v>0.27803129074315514</v>
      </c>
      <c r="BR96" s="155">
        <v>81</v>
      </c>
      <c r="BT96" s="155" t="s">
        <v>186</v>
      </c>
      <c r="BU96" s="159">
        <v>0.19542682926829269</v>
      </c>
      <c r="BV96" s="155">
        <v>81</v>
      </c>
      <c r="BX96" s="155" t="s">
        <v>186</v>
      </c>
      <c r="BY96" s="159">
        <v>0.20779940857565304</v>
      </c>
      <c r="BZ96" s="155">
        <v>70</v>
      </c>
      <c r="CB96" s="155" t="s">
        <v>186</v>
      </c>
      <c r="CC96" s="159">
        <v>0.17072733787173056</v>
      </c>
      <c r="CD96" s="155">
        <v>66</v>
      </c>
      <c r="CF96" s="155" t="s">
        <v>186</v>
      </c>
      <c r="CG96" s="159">
        <v>0.13304051320580246</v>
      </c>
      <c r="CH96" s="155">
        <v>72</v>
      </c>
      <c r="CJ96" s="155" t="s">
        <v>186</v>
      </c>
      <c r="CK96" s="159">
        <v>5.8871185525249795E-2</v>
      </c>
      <c r="CL96" s="155">
        <v>78</v>
      </c>
      <c r="CN96" s="155" t="s">
        <v>186</v>
      </c>
      <c r="CO96" s="159">
        <v>-1.6603130016051366E-2</v>
      </c>
      <c r="CP96" s="155">
        <v>91</v>
      </c>
    </row>
    <row r="97" spans="1:94" x14ac:dyDescent="0.2">
      <c r="A97" s="155" t="s">
        <v>187</v>
      </c>
      <c r="B97" s="155">
        <v>14038</v>
      </c>
      <c r="C97" s="155">
        <v>14100</v>
      </c>
      <c r="D97" s="155">
        <v>13700</v>
      </c>
      <c r="E97" s="155">
        <v>13900</v>
      </c>
      <c r="F97" s="155">
        <v>14000</v>
      </c>
      <c r="G97" s="155">
        <v>15100</v>
      </c>
      <c r="H97" s="155">
        <v>14900</v>
      </c>
      <c r="I97" s="155">
        <v>15100</v>
      </c>
      <c r="J97" s="155">
        <v>14700</v>
      </c>
      <c r="K97" s="155">
        <v>14900</v>
      </c>
      <c r="L97" s="155">
        <v>14801</v>
      </c>
      <c r="M97" s="155">
        <v>14606</v>
      </c>
      <c r="N97" s="155">
        <v>14476</v>
      </c>
      <c r="O97" s="155">
        <v>14421</v>
      </c>
      <c r="P97" s="155">
        <v>14275</v>
      </c>
      <c r="Q97" s="155">
        <v>14281</v>
      </c>
      <c r="R97" s="155">
        <v>14222</v>
      </c>
      <c r="S97" s="155">
        <v>14289</v>
      </c>
      <c r="T97" s="155">
        <v>14265</v>
      </c>
      <c r="U97" s="155">
        <v>14110</v>
      </c>
      <c r="V97" s="155">
        <v>14012</v>
      </c>
      <c r="W97" s="155">
        <v>14150</v>
      </c>
      <c r="X97" s="155">
        <v>14275</v>
      </c>
      <c r="Y97" s="155">
        <v>14242</v>
      </c>
      <c r="Z97" s="155">
        <v>14413</v>
      </c>
      <c r="AA97" s="155">
        <v>14313</v>
      </c>
      <c r="AB97" s="155">
        <v>14116</v>
      </c>
      <c r="AC97" s="155">
        <v>13985</v>
      </c>
      <c r="AD97" s="155">
        <v>13804</v>
      </c>
      <c r="AE97" s="155">
        <v>13745</v>
      </c>
      <c r="AF97" s="160">
        <v>13710</v>
      </c>
      <c r="AG97" s="160">
        <v>13578</v>
      </c>
      <c r="AH97" s="160">
        <v>13474</v>
      </c>
      <c r="AI97" s="160">
        <v>13421</v>
      </c>
      <c r="AJ97" s="160">
        <v>13302</v>
      </c>
      <c r="AK97" s="155">
        <v>13282</v>
      </c>
      <c r="AL97" s="155">
        <v>13227</v>
      </c>
      <c r="AM97" s="159"/>
      <c r="AN97" s="155" t="s">
        <v>187</v>
      </c>
      <c r="AO97" s="219">
        <v>-1.6516274281996868E-3</v>
      </c>
      <c r="AP97" s="155">
        <v>98</v>
      </c>
      <c r="AR97" s="155" t="s">
        <v>187</v>
      </c>
      <c r="AS97" s="219">
        <v>-4.2629698562426377E-3</v>
      </c>
      <c r="AT97" s="155">
        <v>100</v>
      </c>
      <c r="AV97" s="155" t="s">
        <v>187</v>
      </c>
      <c r="AW97" s="219">
        <v>-4.2629698562426377E-3</v>
      </c>
      <c r="AX97" s="155">
        <v>100</v>
      </c>
      <c r="AZ97" s="155" t="s">
        <v>187</v>
      </c>
      <c r="BA97" s="219">
        <v>-4.3150690288470406E-3</v>
      </c>
      <c r="BB97" s="155">
        <v>100</v>
      </c>
      <c r="BD97" s="155" t="s">
        <v>187</v>
      </c>
      <c r="BE97" s="219">
        <v>-3.6442856721374817E-3</v>
      </c>
      <c r="BF97" s="155">
        <v>98</v>
      </c>
      <c r="BH97" s="155" t="s">
        <v>187</v>
      </c>
      <c r="BI97" s="219">
        <v>-3.5968850485507131E-3</v>
      </c>
      <c r="BJ97" s="155">
        <v>98</v>
      </c>
      <c r="BL97" s="155" t="s">
        <v>187</v>
      </c>
      <c r="BM97" s="219">
        <v>-5.9597197487880615E-3</v>
      </c>
      <c r="BN97" s="155">
        <v>97</v>
      </c>
      <c r="BP97" s="155" t="s">
        <v>187</v>
      </c>
      <c r="BQ97" s="159">
        <v>-5.777176235931044E-2</v>
      </c>
      <c r="BR97" s="155">
        <v>98</v>
      </c>
      <c r="BT97" s="155" t="s">
        <v>187</v>
      </c>
      <c r="BU97" s="159">
        <v>-0.12403973509933774</v>
      </c>
      <c r="BV97" s="155">
        <v>100</v>
      </c>
      <c r="BX97" s="155" t="s">
        <v>187</v>
      </c>
      <c r="BY97" s="159">
        <v>-0.10634416593473414</v>
      </c>
      <c r="BZ97" s="155">
        <v>100</v>
      </c>
      <c r="CB97" s="155" t="s">
        <v>187</v>
      </c>
      <c r="CC97" s="159">
        <v>-7.3804355437294314E-2</v>
      </c>
      <c r="CD97" s="155">
        <v>98</v>
      </c>
      <c r="CF97" s="155" t="s">
        <v>187</v>
      </c>
      <c r="CG97" s="159">
        <v>-5.6023408506994006E-2</v>
      </c>
      <c r="CH97" s="155">
        <v>99</v>
      </c>
      <c r="CJ97" s="155" t="s">
        <v>187</v>
      </c>
      <c r="CK97" s="159">
        <v>-7.5875078599874246E-2</v>
      </c>
      <c r="CL97" s="155">
        <v>100</v>
      </c>
      <c r="CN97" s="155" t="s">
        <v>187</v>
      </c>
      <c r="CO97" s="159">
        <v>-3.5229759299781178E-2</v>
      </c>
      <c r="CP97" s="155">
        <v>97</v>
      </c>
    </row>
    <row r="98" spans="1:94" x14ac:dyDescent="0.2">
      <c r="A98" s="155" t="s">
        <v>188</v>
      </c>
      <c r="B98" s="155">
        <v>23404</v>
      </c>
      <c r="C98" s="155">
        <v>25000</v>
      </c>
      <c r="D98" s="155">
        <v>26500</v>
      </c>
      <c r="E98" s="155">
        <v>27900</v>
      </c>
      <c r="F98" s="155">
        <v>29600</v>
      </c>
      <c r="G98" s="155">
        <v>29800</v>
      </c>
      <c r="H98" s="155">
        <v>30300</v>
      </c>
      <c r="I98" s="155">
        <v>31100</v>
      </c>
      <c r="J98" s="155">
        <v>30900</v>
      </c>
      <c r="K98" s="155">
        <v>31100</v>
      </c>
      <c r="L98" s="155">
        <v>31666</v>
      </c>
      <c r="M98" s="155">
        <v>32880</v>
      </c>
      <c r="N98" s="155">
        <v>33549</v>
      </c>
      <c r="O98" s="155">
        <v>34029</v>
      </c>
      <c r="P98" s="155">
        <v>34565</v>
      </c>
      <c r="Q98" s="155">
        <v>35083</v>
      </c>
      <c r="R98" s="155">
        <v>35557</v>
      </c>
      <c r="S98" s="155">
        <v>35782</v>
      </c>
      <c r="T98" s="155">
        <v>36125</v>
      </c>
      <c r="U98" s="155">
        <v>36737</v>
      </c>
      <c r="V98" s="155">
        <v>37047</v>
      </c>
      <c r="W98" s="155">
        <v>37458</v>
      </c>
      <c r="X98" s="155">
        <v>38410</v>
      </c>
      <c r="Y98" s="155">
        <v>38921</v>
      </c>
      <c r="Z98" s="155">
        <v>39785</v>
      </c>
      <c r="AA98" s="155">
        <v>40569</v>
      </c>
      <c r="AB98" s="155">
        <v>41130</v>
      </c>
      <c r="AC98" s="155">
        <v>41633</v>
      </c>
      <c r="AD98" s="155">
        <v>41920</v>
      </c>
      <c r="AE98" s="155">
        <v>42412</v>
      </c>
      <c r="AF98" s="160">
        <v>42747</v>
      </c>
      <c r="AG98" s="160">
        <v>42925</v>
      </c>
      <c r="AH98" s="160">
        <v>42923</v>
      </c>
      <c r="AI98" s="160">
        <v>42664</v>
      </c>
      <c r="AJ98" s="160">
        <v>42442</v>
      </c>
      <c r="AK98" s="155">
        <v>42472</v>
      </c>
      <c r="AL98" s="155">
        <v>42700</v>
      </c>
      <c r="AM98" s="159"/>
      <c r="AN98" s="155" t="s">
        <v>188</v>
      </c>
      <c r="AO98" s="219">
        <v>1.6842822308349659E-2</v>
      </c>
      <c r="AP98" s="155">
        <v>30</v>
      </c>
      <c r="AR98" s="155" t="s">
        <v>188</v>
      </c>
      <c r="AS98" s="219">
        <v>1.1670495198461639E-2</v>
      </c>
      <c r="AT98" s="155">
        <v>44</v>
      </c>
      <c r="AV98" s="155" t="s">
        <v>188</v>
      </c>
      <c r="AW98" s="219">
        <v>1.1670495198461639E-2</v>
      </c>
      <c r="AX98" s="155">
        <v>44</v>
      </c>
      <c r="AZ98" s="155" t="s">
        <v>188</v>
      </c>
      <c r="BA98" s="219">
        <v>1.1564642824536175E-2</v>
      </c>
      <c r="BB98" s="155">
        <v>44</v>
      </c>
      <c r="BD98" s="155" t="s">
        <v>188</v>
      </c>
      <c r="BE98" s="219">
        <v>9.4002040030511935E-3</v>
      </c>
      <c r="BF98" s="155">
        <v>55</v>
      </c>
      <c r="BH98" s="155" t="s">
        <v>188</v>
      </c>
      <c r="BI98" s="219">
        <v>8.9152274751282956E-3</v>
      </c>
      <c r="BJ98" s="155">
        <v>65</v>
      </c>
      <c r="BL98" s="155" t="s">
        <v>188</v>
      </c>
      <c r="BM98" s="219">
        <v>-1.8333273369719461E-4</v>
      </c>
      <c r="BN98" s="155">
        <v>86</v>
      </c>
      <c r="BP98" s="155" t="s">
        <v>188</v>
      </c>
      <c r="BQ98" s="159">
        <v>0.82447444881216891</v>
      </c>
      <c r="BR98" s="155">
        <v>30</v>
      </c>
      <c r="BT98" s="155" t="s">
        <v>188</v>
      </c>
      <c r="BU98" s="159">
        <v>0.43288590604026844</v>
      </c>
      <c r="BV98" s="155">
        <v>44</v>
      </c>
      <c r="BX98" s="155" t="s">
        <v>188</v>
      </c>
      <c r="BY98" s="159">
        <v>0.34844944104086401</v>
      </c>
      <c r="BZ98" s="155">
        <v>44</v>
      </c>
      <c r="CB98" s="155" t="s">
        <v>188</v>
      </c>
      <c r="CC98" s="159">
        <v>0.21711370179289113</v>
      </c>
      <c r="CD98" s="155">
        <v>53</v>
      </c>
      <c r="CF98" s="155" t="s">
        <v>188</v>
      </c>
      <c r="CG98" s="159">
        <v>0.15258995330256162</v>
      </c>
      <c r="CH98" s="155">
        <v>65</v>
      </c>
      <c r="CJ98" s="155" t="s">
        <v>188</v>
      </c>
      <c r="CK98" s="159">
        <v>5.2527792156572752E-2</v>
      </c>
      <c r="CL98" s="155">
        <v>80</v>
      </c>
      <c r="CN98" s="155" t="s">
        <v>188</v>
      </c>
      <c r="CO98" s="159">
        <v>-1.099492362037102E-3</v>
      </c>
      <c r="CP98" s="155">
        <v>86</v>
      </c>
    </row>
    <row r="99" spans="1:94" x14ac:dyDescent="0.2">
      <c r="A99" s="155" t="s">
        <v>189</v>
      </c>
      <c r="B99" s="155">
        <v>85408</v>
      </c>
      <c r="C99" s="155">
        <v>87900</v>
      </c>
      <c r="D99" s="155">
        <v>90200</v>
      </c>
      <c r="E99" s="155">
        <v>90300</v>
      </c>
      <c r="F99" s="155">
        <v>91800</v>
      </c>
      <c r="G99" s="155">
        <v>92500</v>
      </c>
      <c r="H99" s="155">
        <v>93400</v>
      </c>
      <c r="I99" s="155">
        <v>94700</v>
      </c>
      <c r="J99" s="155">
        <v>96800</v>
      </c>
      <c r="K99" s="155">
        <v>97100</v>
      </c>
      <c r="L99" s="155">
        <v>97054</v>
      </c>
      <c r="M99" s="155">
        <v>98066</v>
      </c>
      <c r="N99" s="155">
        <v>98603</v>
      </c>
      <c r="O99" s="155">
        <v>99391</v>
      </c>
      <c r="P99" s="155">
        <v>100393</v>
      </c>
      <c r="Q99" s="155">
        <v>101193</v>
      </c>
      <c r="R99" s="155">
        <v>100205</v>
      </c>
      <c r="S99" s="155">
        <v>101296</v>
      </c>
      <c r="T99" s="155">
        <v>102269</v>
      </c>
      <c r="U99" s="155">
        <v>103938</v>
      </c>
      <c r="V99" s="155">
        <v>104896</v>
      </c>
      <c r="W99" s="155">
        <v>106545</v>
      </c>
      <c r="X99" s="155">
        <v>107614</v>
      </c>
      <c r="Y99" s="155">
        <v>108374</v>
      </c>
      <c r="Z99" s="155">
        <v>109459</v>
      </c>
      <c r="AA99" s="155">
        <v>111578</v>
      </c>
      <c r="AB99" s="155">
        <v>112898</v>
      </c>
      <c r="AC99" s="155">
        <v>113366</v>
      </c>
      <c r="AD99" s="155">
        <v>113429</v>
      </c>
      <c r="AE99" s="155">
        <v>113176</v>
      </c>
      <c r="AF99" s="160">
        <v>113351</v>
      </c>
      <c r="AG99" s="160">
        <v>113195</v>
      </c>
      <c r="AH99" s="160">
        <v>113142</v>
      </c>
      <c r="AI99" s="160">
        <v>113339</v>
      </c>
      <c r="AJ99" s="160">
        <v>114215</v>
      </c>
      <c r="AK99" s="155">
        <v>114448</v>
      </c>
      <c r="AL99" s="155">
        <v>113847</v>
      </c>
      <c r="AM99" s="159"/>
      <c r="AN99" s="155" t="s">
        <v>189</v>
      </c>
      <c r="AO99" s="219">
        <v>8.0157238336877601E-3</v>
      </c>
      <c r="AP99" s="155">
        <v>76</v>
      </c>
      <c r="AR99" s="155" t="s">
        <v>189</v>
      </c>
      <c r="AS99" s="219">
        <v>6.7207674555433972E-3</v>
      </c>
      <c r="AT99" s="155">
        <v>76</v>
      </c>
      <c r="AV99" s="155" t="s">
        <v>189</v>
      </c>
      <c r="AW99" s="219">
        <v>6.7207674555433972E-3</v>
      </c>
      <c r="AX99" s="155">
        <v>76</v>
      </c>
      <c r="AZ99" s="155" t="s">
        <v>189</v>
      </c>
      <c r="BA99" s="219">
        <v>6.1568729134406919E-3</v>
      </c>
      <c r="BB99" s="155">
        <v>75</v>
      </c>
      <c r="BD99" s="155" t="s">
        <v>189</v>
      </c>
      <c r="BE99" s="219">
        <v>5.6265248708642357E-3</v>
      </c>
      <c r="BF99" s="155">
        <v>77</v>
      </c>
      <c r="BH99" s="155" t="s">
        <v>189</v>
      </c>
      <c r="BI99" s="219">
        <v>5.1309973726931801E-3</v>
      </c>
      <c r="BJ99" s="155">
        <v>84</v>
      </c>
      <c r="BL99" s="155" t="s">
        <v>189</v>
      </c>
      <c r="BM99" s="219">
        <v>7.2797193550977468E-4</v>
      </c>
      <c r="BN99" s="155">
        <v>81</v>
      </c>
      <c r="BP99" s="155" t="s">
        <v>189</v>
      </c>
      <c r="BQ99" s="159">
        <v>0.33297817534657176</v>
      </c>
      <c r="BR99" s="155">
        <v>76</v>
      </c>
      <c r="BT99" s="155" t="s">
        <v>189</v>
      </c>
      <c r="BU99" s="159">
        <v>0.23077837837837839</v>
      </c>
      <c r="BV99" s="155">
        <v>76</v>
      </c>
      <c r="BX99" s="155" t="s">
        <v>189</v>
      </c>
      <c r="BY99" s="159">
        <v>0.17302738681558719</v>
      </c>
      <c r="BZ99" s="155">
        <v>75</v>
      </c>
      <c r="CB99" s="155" t="s">
        <v>189</v>
      </c>
      <c r="CC99" s="159">
        <v>0.12504817526904036</v>
      </c>
      <c r="CD99" s="155">
        <v>77</v>
      </c>
      <c r="CF99" s="155" t="s">
        <v>189</v>
      </c>
      <c r="CG99" s="159">
        <v>8.5332138499084803E-2</v>
      </c>
      <c r="CH99" s="155">
        <v>84</v>
      </c>
      <c r="CJ99" s="155" t="s">
        <v>189</v>
      </c>
      <c r="CK99" s="159">
        <v>2.0335550018820914E-2</v>
      </c>
      <c r="CL99" s="155">
        <v>89</v>
      </c>
      <c r="CN99" s="155" t="s">
        <v>189</v>
      </c>
      <c r="CO99" s="159">
        <v>4.3757884800310542E-3</v>
      </c>
      <c r="CP99" s="155">
        <v>81</v>
      </c>
    </row>
    <row r="100" spans="1:94" x14ac:dyDescent="0.2">
      <c r="A100" s="155" t="s">
        <v>190</v>
      </c>
      <c r="B100" s="155">
        <v>49524</v>
      </c>
      <c r="C100" s="155">
        <v>51600</v>
      </c>
      <c r="D100" s="155">
        <v>53200</v>
      </c>
      <c r="E100" s="155">
        <v>54000</v>
      </c>
      <c r="F100" s="155">
        <v>54800</v>
      </c>
      <c r="G100" s="155">
        <v>55500</v>
      </c>
      <c r="H100" s="155">
        <v>56200</v>
      </c>
      <c r="I100" s="155">
        <v>57100</v>
      </c>
      <c r="J100" s="155">
        <v>58200</v>
      </c>
      <c r="K100" s="155">
        <v>58800</v>
      </c>
      <c r="L100" s="155">
        <v>58657</v>
      </c>
      <c r="M100" s="155">
        <v>58934</v>
      </c>
      <c r="N100" s="155">
        <v>59191</v>
      </c>
      <c r="O100" s="155">
        <v>59392</v>
      </c>
      <c r="P100" s="155">
        <v>59780</v>
      </c>
      <c r="Q100" s="155">
        <v>59848</v>
      </c>
      <c r="R100" s="155">
        <v>59567</v>
      </c>
      <c r="S100" s="155">
        <v>59886</v>
      </c>
      <c r="T100" s="155">
        <v>59875</v>
      </c>
      <c r="U100" s="155">
        <v>59570</v>
      </c>
      <c r="V100" s="155">
        <v>59502</v>
      </c>
      <c r="W100" s="155">
        <v>59845</v>
      </c>
      <c r="X100" s="155">
        <v>60352</v>
      </c>
      <c r="Y100" s="155">
        <v>60676</v>
      </c>
      <c r="Z100" s="155">
        <v>61339</v>
      </c>
      <c r="AA100" s="155">
        <v>61825</v>
      </c>
      <c r="AB100" s="155">
        <v>62884</v>
      </c>
      <c r="AC100" s="155">
        <v>63507</v>
      </c>
      <c r="AD100" s="155">
        <v>64132</v>
      </c>
      <c r="AE100" s="155">
        <v>65092</v>
      </c>
      <c r="AF100" s="160">
        <v>65812</v>
      </c>
      <c r="AG100" s="160">
        <v>66420</v>
      </c>
      <c r="AH100" s="160">
        <v>66796</v>
      </c>
      <c r="AI100" s="160">
        <v>67049</v>
      </c>
      <c r="AJ100" s="160">
        <v>67000</v>
      </c>
      <c r="AK100" s="155">
        <v>67390</v>
      </c>
      <c r="AL100" s="155">
        <v>67310</v>
      </c>
      <c r="AM100" s="159"/>
      <c r="AN100" s="155" t="s">
        <v>190</v>
      </c>
      <c r="AO100" s="219">
        <v>8.5600801130787385E-3</v>
      </c>
      <c r="AP100" s="155">
        <v>66</v>
      </c>
      <c r="AR100" s="155" t="s">
        <v>190</v>
      </c>
      <c r="AS100" s="219">
        <v>6.2428183544753768E-3</v>
      </c>
      <c r="AT100" s="155">
        <v>79</v>
      </c>
      <c r="AV100" s="155" t="s">
        <v>190</v>
      </c>
      <c r="AW100" s="219">
        <v>6.2428183544753768E-3</v>
      </c>
      <c r="AX100" s="155">
        <v>79</v>
      </c>
      <c r="AZ100" s="155" t="s">
        <v>190</v>
      </c>
      <c r="BA100" s="219">
        <v>5.3064099213513405E-3</v>
      </c>
      <c r="BB100" s="155">
        <v>79</v>
      </c>
      <c r="BD100" s="155" t="s">
        <v>190</v>
      </c>
      <c r="BE100" s="219">
        <v>5.610958958294443E-3</v>
      </c>
      <c r="BF100" s="155">
        <v>78</v>
      </c>
      <c r="BH100" s="155" t="s">
        <v>190</v>
      </c>
      <c r="BI100" s="219">
        <v>7.7359495655160426E-3</v>
      </c>
      <c r="BJ100" s="155">
        <v>73</v>
      </c>
      <c r="BL100" s="155" t="s">
        <v>190</v>
      </c>
      <c r="BM100" s="219">
        <v>3.7581477771617688E-3</v>
      </c>
      <c r="BN100" s="155">
        <v>68</v>
      </c>
      <c r="BP100" s="155" t="s">
        <v>190</v>
      </c>
      <c r="BQ100" s="159">
        <v>0.35913900331152571</v>
      </c>
      <c r="BR100" s="155">
        <v>66</v>
      </c>
      <c r="BT100" s="155" t="s">
        <v>190</v>
      </c>
      <c r="BU100" s="159">
        <v>0.21279279279279278</v>
      </c>
      <c r="BV100" s="155">
        <v>79</v>
      </c>
      <c r="BX100" s="155" t="s">
        <v>190</v>
      </c>
      <c r="BY100" s="159">
        <v>0.14751862522802053</v>
      </c>
      <c r="BZ100" s="155">
        <v>79</v>
      </c>
      <c r="CB100" s="155" t="s">
        <v>190</v>
      </c>
      <c r="CC100" s="159">
        <v>0.12468252907365325</v>
      </c>
      <c r="CD100" s="155">
        <v>78</v>
      </c>
      <c r="CF100" s="155" t="s">
        <v>190</v>
      </c>
      <c r="CG100" s="159">
        <v>0.13122247991664146</v>
      </c>
      <c r="CH100" s="155">
        <v>73</v>
      </c>
      <c r="CJ100" s="155" t="s">
        <v>190</v>
      </c>
      <c r="CK100" s="159">
        <v>8.8718156085725836E-2</v>
      </c>
      <c r="CL100" s="155">
        <v>64</v>
      </c>
      <c r="CN100" s="155" t="s">
        <v>190</v>
      </c>
      <c r="CO100" s="159">
        <v>2.2761806357503189E-2</v>
      </c>
      <c r="CP100" s="155">
        <v>68</v>
      </c>
    </row>
    <row r="101" spans="1:94" x14ac:dyDescent="0.2">
      <c r="A101" s="155" t="s">
        <v>191</v>
      </c>
      <c r="B101" s="155">
        <v>57486</v>
      </c>
      <c r="C101" s="155">
        <v>58400</v>
      </c>
      <c r="D101" s="155">
        <v>58100</v>
      </c>
      <c r="E101" s="155">
        <v>58900</v>
      </c>
      <c r="F101" s="155">
        <v>59600</v>
      </c>
      <c r="G101" s="155">
        <v>60100</v>
      </c>
      <c r="H101" s="155">
        <v>60200</v>
      </c>
      <c r="I101" s="155">
        <v>61200</v>
      </c>
      <c r="J101" s="155">
        <v>61500</v>
      </c>
      <c r="K101" s="155">
        <v>62300</v>
      </c>
      <c r="L101" s="155">
        <v>63132</v>
      </c>
      <c r="M101" s="155">
        <v>63446</v>
      </c>
      <c r="N101" s="155">
        <v>63816</v>
      </c>
      <c r="O101" s="155">
        <v>64248</v>
      </c>
      <c r="P101" s="155">
        <v>64542</v>
      </c>
      <c r="Q101" s="155">
        <v>64380</v>
      </c>
      <c r="R101" s="155">
        <v>64547</v>
      </c>
      <c r="S101" s="155">
        <v>65203</v>
      </c>
      <c r="T101" s="155">
        <v>65493</v>
      </c>
      <c r="U101" s="155">
        <v>66019</v>
      </c>
      <c r="V101" s="155">
        <v>66238</v>
      </c>
      <c r="W101" s="155">
        <v>66925</v>
      </c>
      <c r="X101" s="155">
        <v>67640</v>
      </c>
      <c r="Y101" s="155">
        <v>67981</v>
      </c>
      <c r="Z101" s="155">
        <v>68953</v>
      </c>
      <c r="AA101" s="155">
        <v>69546</v>
      </c>
      <c r="AB101" s="155">
        <v>70272</v>
      </c>
      <c r="AC101" s="155">
        <v>71028</v>
      </c>
      <c r="AD101" s="155">
        <v>72002</v>
      </c>
      <c r="AE101" s="155">
        <v>73166</v>
      </c>
      <c r="AF101" s="160">
        <v>73932</v>
      </c>
      <c r="AG101" s="160">
        <v>74184</v>
      </c>
      <c r="AH101" s="160">
        <v>74950</v>
      </c>
      <c r="AI101" s="160">
        <v>75316</v>
      </c>
      <c r="AJ101" s="160">
        <v>75844</v>
      </c>
      <c r="AK101" s="155">
        <v>76281</v>
      </c>
      <c r="AL101" s="155">
        <v>76624</v>
      </c>
      <c r="AM101" s="159"/>
      <c r="AN101" s="155" t="s">
        <v>191</v>
      </c>
      <c r="AO101" s="219">
        <v>8.0144144003886364E-3</v>
      </c>
      <c r="AP101" s="155">
        <v>77</v>
      </c>
      <c r="AR101" s="155" t="s">
        <v>191</v>
      </c>
      <c r="AS101" s="219">
        <v>7.8662779312050901E-3</v>
      </c>
      <c r="AT101" s="155">
        <v>67</v>
      </c>
      <c r="AV101" s="155" t="s">
        <v>191</v>
      </c>
      <c r="AW101" s="219">
        <v>7.8662779312050901E-3</v>
      </c>
      <c r="AX101" s="155">
        <v>67</v>
      </c>
      <c r="AZ101" s="155" t="s">
        <v>191</v>
      </c>
      <c r="BA101" s="219">
        <v>7.4771449379591459E-3</v>
      </c>
      <c r="BB101" s="155">
        <v>68</v>
      </c>
      <c r="BD101" s="155" t="s">
        <v>191</v>
      </c>
      <c r="BE101" s="219">
        <v>8.3252887198448366E-3</v>
      </c>
      <c r="BF101" s="155">
        <v>64</v>
      </c>
      <c r="BH101" s="155" t="s">
        <v>191</v>
      </c>
      <c r="BI101" s="219">
        <v>9.1450645994979318E-3</v>
      </c>
      <c r="BJ101" s="155">
        <v>62</v>
      </c>
      <c r="BL101" s="155" t="s">
        <v>191</v>
      </c>
      <c r="BM101" s="219">
        <v>5.9785660091449255E-3</v>
      </c>
      <c r="BN101" s="155">
        <v>54</v>
      </c>
      <c r="BP101" s="155" t="s">
        <v>191</v>
      </c>
      <c r="BQ101" s="159">
        <v>0.33291584037852695</v>
      </c>
      <c r="BR101" s="155">
        <v>77</v>
      </c>
      <c r="BT101" s="155" t="s">
        <v>191</v>
      </c>
      <c r="BU101" s="159">
        <v>0.27494176372712148</v>
      </c>
      <c r="BV101" s="155">
        <v>67</v>
      </c>
      <c r="BX101" s="155" t="s">
        <v>191</v>
      </c>
      <c r="BY101" s="159">
        <v>0.21371095482481151</v>
      </c>
      <c r="BZ101" s="155">
        <v>67</v>
      </c>
      <c r="CB101" s="155" t="s">
        <v>191</v>
      </c>
      <c r="CC101" s="159">
        <v>0.19018328673501086</v>
      </c>
      <c r="CD101" s="155">
        <v>64</v>
      </c>
      <c r="CF101" s="155" t="s">
        <v>191</v>
      </c>
      <c r="CG101" s="159">
        <v>0.15679821250641626</v>
      </c>
      <c r="CH101" s="155">
        <v>62</v>
      </c>
      <c r="CJ101" s="155" t="s">
        <v>191</v>
      </c>
      <c r="CK101" s="159">
        <v>0.10177436516837776</v>
      </c>
      <c r="CL101" s="155">
        <v>60</v>
      </c>
      <c r="CN101" s="155" t="s">
        <v>191</v>
      </c>
      <c r="CO101" s="159">
        <v>3.6411837905101989E-2</v>
      </c>
      <c r="CP101" s="155">
        <v>54</v>
      </c>
    </row>
    <row r="102" spans="1:94" x14ac:dyDescent="0.2">
      <c r="A102" s="155" t="s">
        <v>192</v>
      </c>
      <c r="B102" s="155">
        <v>24599</v>
      </c>
      <c r="C102" s="155">
        <v>25400</v>
      </c>
      <c r="D102" s="155">
        <v>26200</v>
      </c>
      <c r="E102" s="155">
        <v>26500</v>
      </c>
      <c r="F102" s="155">
        <v>27100</v>
      </c>
      <c r="G102" s="155">
        <v>27200</v>
      </c>
      <c r="H102" s="155">
        <v>27600</v>
      </c>
      <c r="I102" s="155">
        <v>27700</v>
      </c>
      <c r="J102" s="155">
        <v>27800</v>
      </c>
      <c r="K102" s="155">
        <v>28200</v>
      </c>
      <c r="L102" s="155">
        <v>28439</v>
      </c>
      <c r="M102" s="155">
        <v>28775</v>
      </c>
      <c r="N102" s="155">
        <v>29072</v>
      </c>
      <c r="O102" s="155">
        <v>29175</v>
      </c>
      <c r="P102" s="155">
        <v>29319</v>
      </c>
      <c r="Q102" s="155">
        <v>29352</v>
      </c>
      <c r="R102" s="155">
        <v>29574</v>
      </c>
      <c r="S102" s="155">
        <v>29952</v>
      </c>
      <c r="T102" s="155">
        <v>30291</v>
      </c>
      <c r="U102" s="155">
        <v>30349</v>
      </c>
      <c r="V102" s="155">
        <v>30576</v>
      </c>
      <c r="W102" s="155">
        <v>31038</v>
      </c>
      <c r="X102" s="155">
        <v>31537</v>
      </c>
      <c r="Y102" s="155">
        <v>32049</v>
      </c>
      <c r="Z102" s="155">
        <v>32698</v>
      </c>
      <c r="AA102" s="155">
        <v>33555</v>
      </c>
      <c r="AB102" s="155">
        <v>34336</v>
      </c>
      <c r="AC102" s="155">
        <v>34891</v>
      </c>
      <c r="AD102" s="155">
        <v>35366</v>
      </c>
      <c r="AE102" s="155">
        <v>35805</v>
      </c>
      <c r="AF102" s="160">
        <v>36515</v>
      </c>
      <c r="AG102" s="160">
        <v>36812</v>
      </c>
      <c r="AH102" s="160">
        <v>37292</v>
      </c>
      <c r="AI102" s="160">
        <v>37292</v>
      </c>
      <c r="AJ102" s="160">
        <v>37303</v>
      </c>
      <c r="AK102" s="155">
        <v>37668</v>
      </c>
      <c r="AL102" s="155">
        <v>38056</v>
      </c>
      <c r="AM102" s="159"/>
      <c r="AN102" s="155" t="s">
        <v>192</v>
      </c>
      <c r="AO102" s="219">
        <v>1.2194671756732944E-2</v>
      </c>
      <c r="AP102" s="155">
        <v>40</v>
      </c>
      <c r="AR102" s="155" t="s">
        <v>192</v>
      </c>
      <c r="AS102" s="219">
        <v>1.0892501997085358E-2</v>
      </c>
      <c r="AT102" s="155">
        <v>45</v>
      </c>
      <c r="AV102" s="155" t="s">
        <v>192</v>
      </c>
      <c r="AW102" s="219">
        <v>1.0892501997085358E-2</v>
      </c>
      <c r="AX102" s="155">
        <v>45</v>
      </c>
      <c r="AZ102" s="155" t="s">
        <v>192</v>
      </c>
      <c r="BA102" s="219">
        <v>1.126673991997551E-2</v>
      </c>
      <c r="BB102" s="155">
        <v>45</v>
      </c>
      <c r="BD102" s="155" t="s">
        <v>192</v>
      </c>
      <c r="BE102" s="219">
        <v>1.2443357132491784E-2</v>
      </c>
      <c r="BF102" s="155">
        <v>45</v>
      </c>
      <c r="BH102" s="155" t="s">
        <v>192</v>
      </c>
      <c r="BI102" s="219">
        <v>1.3771678545150934E-2</v>
      </c>
      <c r="BJ102" s="155">
        <v>42</v>
      </c>
      <c r="BL102" s="155" t="s">
        <v>192</v>
      </c>
      <c r="BM102" s="219">
        <v>6.913056292018771E-3</v>
      </c>
      <c r="BN102" s="155">
        <v>52</v>
      </c>
      <c r="BP102" s="155" t="s">
        <v>192</v>
      </c>
      <c r="BQ102" s="159">
        <v>0.54705475832350914</v>
      </c>
      <c r="BR102" s="155">
        <v>40</v>
      </c>
      <c r="BT102" s="155" t="s">
        <v>192</v>
      </c>
      <c r="BU102" s="159">
        <v>0.39911764705882352</v>
      </c>
      <c r="BV102" s="155">
        <v>45</v>
      </c>
      <c r="BX102" s="155" t="s">
        <v>192</v>
      </c>
      <c r="BY102" s="159">
        <v>0.33816238264355286</v>
      </c>
      <c r="BZ102" s="155">
        <v>45</v>
      </c>
      <c r="CB102" s="155" t="s">
        <v>192</v>
      </c>
      <c r="CC102" s="159">
        <v>0.29653856636685744</v>
      </c>
      <c r="CD102" s="155">
        <v>45</v>
      </c>
      <c r="CF102" s="155" t="s">
        <v>192</v>
      </c>
      <c r="CG102" s="159">
        <v>0.2446363160648875</v>
      </c>
      <c r="CH102" s="155">
        <v>42</v>
      </c>
      <c r="CJ102" s="155" t="s">
        <v>192</v>
      </c>
      <c r="CK102" s="159">
        <v>0.13413798241692743</v>
      </c>
      <c r="CL102" s="155">
        <v>45</v>
      </c>
      <c r="CN102" s="155" t="s">
        <v>192</v>
      </c>
      <c r="CO102" s="159">
        <v>4.2201834862385323E-2</v>
      </c>
      <c r="CP102" s="155">
        <v>52</v>
      </c>
    </row>
    <row r="103" spans="1:94" x14ac:dyDescent="0.2">
      <c r="A103" s="155" t="s">
        <v>193</v>
      </c>
      <c r="B103" s="155">
        <v>12629</v>
      </c>
      <c r="C103" s="155">
        <v>13000</v>
      </c>
      <c r="D103" s="155">
        <v>13300</v>
      </c>
      <c r="E103" s="155">
        <v>13500</v>
      </c>
      <c r="F103" s="155">
        <v>13600</v>
      </c>
      <c r="G103" s="155">
        <v>14100</v>
      </c>
      <c r="H103" s="155">
        <v>14500</v>
      </c>
      <c r="I103" s="155">
        <v>14600</v>
      </c>
      <c r="J103" s="155">
        <v>14800</v>
      </c>
      <c r="K103" s="155">
        <v>14900</v>
      </c>
      <c r="L103" s="155">
        <v>14934</v>
      </c>
      <c r="M103" s="155">
        <v>15045</v>
      </c>
      <c r="N103" s="155">
        <v>15117</v>
      </c>
      <c r="O103" s="155">
        <v>15052</v>
      </c>
      <c r="P103" s="155">
        <v>15217</v>
      </c>
      <c r="Q103" s="155">
        <v>15351</v>
      </c>
      <c r="R103" s="155">
        <v>15467</v>
      </c>
      <c r="S103" s="155">
        <v>15578</v>
      </c>
      <c r="T103" s="155">
        <v>15539</v>
      </c>
      <c r="U103" s="155">
        <v>15500</v>
      </c>
      <c r="V103" s="155">
        <v>15459</v>
      </c>
      <c r="W103" s="155">
        <v>15758</v>
      </c>
      <c r="X103" s="155">
        <v>15876</v>
      </c>
      <c r="Y103" s="155">
        <v>16065</v>
      </c>
      <c r="Z103" s="155">
        <v>16322</v>
      </c>
      <c r="AA103" s="155">
        <v>16574</v>
      </c>
      <c r="AB103" s="155">
        <v>16761</v>
      </c>
      <c r="AC103" s="155">
        <v>17066</v>
      </c>
      <c r="AD103" s="155">
        <v>17260</v>
      </c>
      <c r="AE103" s="155">
        <v>17612</v>
      </c>
      <c r="AF103" s="160">
        <v>17809</v>
      </c>
      <c r="AG103" s="160">
        <v>17933</v>
      </c>
      <c r="AH103" s="160">
        <v>17940</v>
      </c>
      <c r="AI103" s="160">
        <v>18024</v>
      </c>
      <c r="AJ103" s="160">
        <v>18133</v>
      </c>
      <c r="AK103" s="155">
        <v>18201</v>
      </c>
      <c r="AL103" s="155">
        <v>18421</v>
      </c>
      <c r="AM103" s="159"/>
      <c r="AN103" s="155" t="s">
        <v>193</v>
      </c>
      <c r="AO103" s="219">
        <v>1.0541158460819045E-2</v>
      </c>
      <c r="AP103" s="155">
        <v>53</v>
      </c>
      <c r="AR103" s="155" t="s">
        <v>193</v>
      </c>
      <c r="AS103" s="219">
        <v>8.6603997147440825E-3</v>
      </c>
      <c r="AT103" s="155">
        <v>61</v>
      </c>
      <c r="AV103" s="155" t="s">
        <v>193</v>
      </c>
      <c r="AW103" s="219">
        <v>8.6603997147440825E-3</v>
      </c>
      <c r="AX103" s="155">
        <v>60</v>
      </c>
      <c r="AZ103" s="155" t="s">
        <v>193</v>
      </c>
      <c r="BA103" s="219">
        <v>8.1038454255217829E-3</v>
      </c>
      <c r="BB103" s="155">
        <v>60</v>
      </c>
      <c r="BD103" s="155" t="s">
        <v>193</v>
      </c>
      <c r="BE103" s="219">
        <v>8.7192550672561264E-3</v>
      </c>
      <c r="BF103" s="155">
        <v>59</v>
      </c>
      <c r="BH103" s="155" t="s">
        <v>193</v>
      </c>
      <c r="BI103" s="219">
        <v>1.1016486988024043E-2</v>
      </c>
      <c r="BJ103" s="155">
        <v>53</v>
      </c>
      <c r="BL103" s="155" t="s">
        <v>193</v>
      </c>
      <c r="BM103" s="219">
        <v>5.6471136166180713E-3</v>
      </c>
      <c r="BN103" s="155">
        <v>57</v>
      </c>
      <c r="BP103" s="155" t="s">
        <v>193</v>
      </c>
      <c r="BQ103" s="159">
        <v>0.45862696967297489</v>
      </c>
      <c r="BR103" s="155">
        <v>53</v>
      </c>
      <c r="BT103" s="155" t="s">
        <v>193</v>
      </c>
      <c r="BU103" s="159">
        <v>0.30645390070921985</v>
      </c>
      <c r="BV103" s="155">
        <v>61</v>
      </c>
      <c r="BX103" s="155" t="s">
        <v>193</v>
      </c>
      <c r="BY103" s="159">
        <v>0.23349404044462302</v>
      </c>
      <c r="BZ103" s="155">
        <v>59</v>
      </c>
      <c r="CB103" s="155" t="s">
        <v>193</v>
      </c>
      <c r="CC103" s="159">
        <v>0.19998697153279918</v>
      </c>
      <c r="CD103" s="155">
        <v>58</v>
      </c>
      <c r="CF103" s="155" t="s">
        <v>193</v>
      </c>
      <c r="CG103" s="159">
        <v>0.19160359661038878</v>
      </c>
      <c r="CH103" s="155">
        <v>54</v>
      </c>
      <c r="CJ103" s="155" t="s">
        <v>193</v>
      </c>
      <c r="CK103" s="159">
        <v>0.11143960419934838</v>
      </c>
      <c r="CL103" s="155">
        <v>55</v>
      </c>
      <c r="CN103" s="155" t="s">
        <v>193</v>
      </c>
      <c r="CO103" s="159">
        <v>3.4364647088550734E-2</v>
      </c>
      <c r="CP103" s="155">
        <v>57</v>
      </c>
    </row>
    <row r="104" spans="1:94" x14ac:dyDescent="0.2">
      <c r="B104" s="155">
        <v>1970</v>
      </c>
      <c r="C104" s="155">
        <v>1971</v>
      </c>
      <c r="D104" s="155">
        <v>1972</v>
      </c>
      <c r="E104" s="155">
        <v>1973</v>
      </c>
      <c r="F104" s="155">
        <v>1974</v>
      </c>
      <c r="G104" s="155">
        <v>1975</v>
      </c>
      <c r="H104" s="155">
        <v>1976</v>
      </c>
      <c r="I104" s="155">
        <v>1977</v>
      </c>
      <c r="J104" s="155">
        <v>1978</v>
      </c>
      <c r="K104" s="155">
        <v>1979</v>
      </c>
      <c r="L104" s="155">
        <v>1980</v>
      </c>
      <c r="M104" s="155">
        <v>1981</v>
      </c>
      <c r="N104" s="155">
        <v>1982</v>
      </c>
      <c r="O104" s="155">
        <v>1983</v>
      </c>
      <c r="P104" s="155">
        <v>1984</v>
      </c>
      <c r="Q104" s="155">
        <v>1985</v>
      </c>
      <c r="R104" s="155">
        <v>1986</v>
      </c>
      <c r="S104" s="155">
        <v>1987</v>
      </c>
      <c r="T104" s="155">
        <v>1988</v>
      </c>
      <c r="U104" s="155">
        <v>1989</v>
      </c>
      <c r="V104" s="155">
        <v>1990</v>
      </c>
      <c r="W104" s="155">
        <v>1991</v>
      </c>
      <c r="X104" s="155">
        <v>1992</v>
      </c>
      <c r="Y104" s="155">
        <v>1993</v>
      </c>
      <c r="Z104" s="155">
        <v>1994</v>
      </c>
      <c r="AA104" s="155">
        <v>1995</v>
      </c>
      <c r="AB104" s="155">
        <v>1996</v>
      </c>
      <c r="AC104" s="155">
        <v>1997</v>
      </c>
      <c r="AD104" s="155">
        <v>1998</v>
      </c>
      <c r="AE104" s="155">
        <v>1999</v>
      </c>
      <c r="AF104" s="155">
        <v>2000</v>
      </c>
      <c r="AG104" s="155">
        <v>2001</v>
      </c>
      <c r="AH104" s="155">
        <v>2002</v>
      </c>
      <c r="AI104" s="155">
        <v>2003</v>
      </c>
      <c r="AJ104" s="155">
        <v>2004</v>
      </c>
      <c r="AK104" s="155">
        <v>2005</v>
      </c>
      <c r="AL104" s="155">
        <v>2006</v>
      </c>
      <c r="AN104" s="161"/>
    </row>
    <row r="105" spans="1:94" x14ac:dyDescent="0.2">
      <c r="A105" s="155" t="s">
        <v>194</v>
      </c>
      <c r="C105" s="159">
        <v>2.2930679679514499E-2</v>
      </c>
      <c r="D105" s="159">
        <v>1.8265718131128629E-2</v>
      </c>
      <c r="E105" s="159">
        <v>1.6238670694864048E-2</v>
      </c>
      <c r="F105" s="159">
        <v>1.4678558156819026E-2</v>
      </c>
      <c r="G105" s="159">
        <v>1.3550631752426295E-2</v>
      </c>
      <c r="H105" s="159">
        <v>1.0478771454381211E-2</v>
      </c>
      <c r="I105" s="159">
        <v>1.3409619166815663E-2</v>
      </c>
      <c r="J105" s="159">
        <v>1.2526464361326747E-2</v>
      </c>
      <c r="K105" s="159">
        <v>1.097752221641401E-2</v>
      </c>
      <c r="L105" s="159">
        <v>1.3460186142709411E-2</v>
      </c>
      <c r="M105" s="159">
        <v>1.3019685392891545E-2</v>
      </c>
      <c r="N105" s="159">
        <v>1.048491493461177E-2</v>
      </c>
      <c r="O105" s="159">
        <v>9.6278385435184088E-3</v>
      </c>
      <c r="P105" s="159">
        <v>1.4307085055451987E-2</v>
      </c>
      <c r="Q105" s="159">
        <v>1.4593274112086883E-2</v>
      </c>
      <c r="R105" s="159">
        <v>1.0812194583365379E-2</v>
      </c>
      <c r="S105" s="159">
        <v>1.2989956934789678E-2</v>
      </c>
      <c r="T105" s="159">
        <v>1.2008383287581088E-2</v>
      </c>
      <c r="U105" s="159">
        <v>1.3096182122895891E-2</v>
      </c>
      <c r="V105" s="159">
        <v>1.5010977140679513E-2</v>
      </c>
      <c r="W105" s="159">
        <v>1.8046775397898205E-2</v>
      </c>
      <c r="X105" s="159">
        <v>1.6646423791470872E-2</v>
      </c>
      <c r="Y105" s="159">
        <v>2.1110552753619071E-2</v>
      </c>
      <c r="Z105" s="159">
        <v>2.052871450036051E-2</v>
      </c>
      <c r="AA105" s="159">
        <v>2.188218879767059E-2</v>
      </c>
      <c r="AB105" s="159">
        <v>2.1239336150249827E-2</v>
      </c>
      <c r="AC105" s="159">
        <v>2.0818806853254442E-2</v>
      </c>
      <c r="AD105" s="159">
        <v>1.9890228652215507E-2</v>
      </c>
      <c r="AE105" s="159">
        <v>1.7958487261242335E-2</v>
      </c>
      <c r="AF105" s="159">
        <v>1.623627358224139E-2</v>
      </c>
      <c r="AG105" s="159">
        <v>1.4835805327991371E-2</v>
      </c>
      <c r="AH105" s="159">
        <v>1.396341841989032E-2</v>
      </c>
      <c r="AI105" s="159">
        <v>1.3186963888626575E-2</v>
      </c>
      <c r="AJ105" s="159">
        <v>1.4021341961145163E-2</v>
      </c>
      <c r="AK105" s="159">
        <v>1.6717350852435722E-2</v>
      </c>
      <c r="AL105" s="159">
        <v>1.995372235393186E-2</v>
      </c>
      <c r="BA105" s="159"/>
    </row>
    <row r="106" spans="1:94" x14ac:dyDescent="0.2">
      <c r="BA106" s="159"/>
    </row>
    <row r="107" spans="1:94" x14ac:dyDescent="0.2">
      <c r="BA107" s="159"/>
    </row>
    <row r="108" spans="1:94" ht="12" customHeight="1" x14ac:dyDescent="0.2">
      <c r="B108" s="326" t="s">
        <v>195</v>
      </c>
      <c r="C108" s="326"/>
      <c r="D108" s="326"/>
      <c r="F108" s="326" t="s">
        <v>196</v>
      </c>
      <c r="G108" s="326"/>
      <c r="H108" s="326"/>
      <c r="J108" s="326" t="s">
        <v>197</v>
      </c>
      <c r="K108" s="326"/>
      <c r="L108" s="326"/>
      <c r="N108" s="326" t="s">
        <v>198</v>
      </c>
      <c r="O108" s="326"/>
      <c r="P108" s="326"/>
      <c r="R108" s="326" t="s">
        <v>199</v>
      </c>
      <c r="S108" s="326"/>
      <c r="T108" s="326"/>
      <c r="V108" s="326" t="s">
        <v>200</v>
      </c>
      <c r="W108" s="326"/>
      <c r="X108" s="326"/>
      <c r="Z108" s="326" t="s">
        <v>201</v>
      </c>
      <c r="AA108" s="326"/>
      <c r="AB108" s="326"/>
      <c r="AD108" s="326" t="s">
        <v>322</v>
      </c>
      <c r="AE108" s="326"/>
      <c r="AF108" s="326"/>
      <c r="AH108" s="326" t="s">
        <v>202</v>
      </c>
      <c r="AI108" s="326"/>
      <c r="AJ108" s="157"/>
      <c r="AK108" s="158"/>
      <c r="AN108" s="326" t="s">
        <v>324</v>
      </c>
      <c r="AO108" s="326"/>
      <c r="AP108" s="326"/>
      <c r="AR108" s="326" t="s">
        <v>325</v>
      </c>
      <c r="AS108" s="326"/>
      <c r="AT108" s="326"/>
      <c r="AV108" s="326" t="s">
        <v>326</v>
      </c>
      <c r="AW108" s="326"/>
      <c r="AX108" s="326"/>
      <c r="AZ108" s="326" t="s">
        <v>327</v>
      </c>
      <c r="BA108" s="326"/>
      <c r="BB108" s="326"/>
      <c r="BD108" s="326" t="s">
        <v>328</v>
      </c>
      <c r="BE108" s="326"/>
      <c r="BF108" s="326"/>
      <c r="BH108" s="326" t="s">
        <v>329</v>
      </c>
      <c r="BI108" s="326"/>
      <c r="BJ108" s="326"/>
      <c r="BL108" s="326" t="s">
        <v>330</v>
      </c>
      <c r="BM108" s="326"/>
      <c r="BN108" s="326"/>
      <c r="BP108" s="326" t="s">
        <v>331</v>
      </c>
      <c r="BQ108" s="326"/>
      <c r="BR108" s="326"/>
      <c r="BT108" s="326" t="s">
        <v>332</v>
      </c>
      <c r="BU108" s="326"/>
      <c r="BV108" s="326"/>
      <c r="BX108" s="326" t="s">
        <v>333</v>
      </c>
      <c r="BY108" s="326"/>
      <c r="BZ108" s="326"/>
      <c r="CB108" s="326" t="s">
        <v>334</v>
      </c>
      <c r="CC108" s="326"/>
      <c r="CD108" s="326"/>
      <c r="CF108" s="326" t="s">
        <v>335</v>
      </c>
      <c r="CG108" s="326"/>
      <c r="CH108" s="326"/>
      <c r="CJ108" s="326" t="s">
        <v>336</v>
      </c>
      <c r="CK108" s="326"/>
      <c r="CL108" s="326"/>
      <c r="CN108" s="326" t="s">
        <v>337</v>
      </c>
      <c r="CO108" s="326"/>
      <c r="CP108" s="326"/>
    </row>
    <row r="109" spans="1:94" x14ac:dyDescent="0.2">
      <c r="B109" s="326"/>
      <c r="C109" s="326"/>
      <c r="D109" s="326"/>
      <c r="F109" s="326"/>
      <c r="G109" s="326"/>
      <c r="H109" s="326"/>
      <c r="J109" s="326"/>
      <c r="K109" s="326"/>
      <c r="L109" s="326"/>
      <c r="N109" s="326"/>
      <c r="O109" s="326"/>
      <c r="P109" s="326"/>
      <c r="R109" s="326"/>
      <c r="S109" s="326"/>
      <c r="T109" s="326"/>
      <c r="V109" s="326"/>
      <c r="W109" s="326"/>
      <c r="X109" s="326"/>
      <c r="Z109" s="326"/>
      <c r="AA109" s="326"/>
      <c r="AB109" s="326"/>
      <c r="AD109" s="326"/>
      <c r="AE109" s="326"/>
      <c r="AF109" s="326"/>
      <c r="AH109" s="326"/>
      <c r="AI109" s="326"/>
      <c r="AJ109" s="157"/>
      <c r="AK109" s="158"/>
      <c r="AN109" s="326"/>
      <c r="AO109" s="326"/>
      <c r="AP109" s="326"/>
      <c r="AR109" s="326"/>
      <c r="AS109" s="326"/>
      <c r="AT109" s="326"/>
      <c r="AV109" s="326"/>
      <c r="AW109" s="326"/>
      <c r="AX109" s="326"/>
      <c r="AZ109" s="326"/>
      <c r="BA109" s="326"/>
      <c r="BB109" s="326"/>
      <c r="BD109" s="326"/>
      <c r="BE109" s="326"/>
      <c r="BF109" s="326"/>
      <c r="BH109" s="326"/>
      <c r="BI109" s="326"/>
      <c r="BJ109" s="326"/>
      <c r="BL109" s="326"/>
      <c r="BM109" s="326"/>
      <c r="BN109" s="326"/>
      <c r="BP109" s="326"/>
      <c r="BQ109" s="326"/>
      <c r="BR109" s="326"/>
      <c r="BT109" s="326"/>
      <c r="BU109" s="326"/>
      <c r="BV109" s="326"/>
      <c r="BX109" s="326"/>
      <c r="BY109" s="326"/>
      <c r="BZ109" s="326"/>
      <c r="CB109" s="326"/>
      <c r="CC109" s="326"/>
      <c r="CD109" s="326"/>
      <c r="CF109" s="326"/>
      <c r="CG109" s="326"/>
      <c r="CH109" s="326"/>
      <c r="CJ109" s="326"/>
      <c r="CK109" s="326"/>
      <c r="CL109" s="326"/>
      <c r="CN109" s="326"/>
      <c r="CO109" s="326"/>
      <c r="CP109" s="326"/>
    </row>
    <row r="110" spans="1:94" x14ac:dyDescent="0.2">
      <c r="A110" s="155" t="s">
        <v>93</v>
      </c>
      <c r="C110" s="155" t="s">
        <v>93</v>
      </c>
      <c r="D110" s="162">
        <v>5084411</v>
      </c>
      <c r="G110" s="155" t="s">
        <v>93</v>
      </c>
      <c r="H110" s="162">
        <v>5535000</v>
      </c>
      <c r="K110" s="155" t="s">
        <v>93</v>
      </c>
      <c r="L110" s="162">
        <v>5880096</v>
      </c>
      <c r="O110" s="155" t="s">
        <v>93</v>
      </c>
      <c r="P110" s="162">
        <v>6253957</v>
      </c>
      <c r="S110" s="155" t="s">
        <v>93</v>
      </c>
      <c r="T110" s="162">
        <v>6664016</v>
      </c>
      <c r="W110" s="155" t="s">
        <v>93</v>
      </c>
      <c r="X110" s="162">
        <v>7344674</v>
      </c>
      <c r="AA110" s="155" t="s">
        <v>93</v>
      </c>
      <c r="AB110" s="162">
        <v>8078429</v>
      </c>
      <c r="AE110" s="155" t="s">
        <v>93</v>
      </c>
      <c r="AF110" s="155">
        <v>8856505</v>
      </c>
      <c r="AH110" s="155" t="s">
        <v>93</v>
      </c>
      <c r="AI110" s="155">
        <v>48711</v>
      </c>
      <c r="AN110" s="155" t="s">
        <v>93</v>
      </c>
      <c r="AO110" s="162">
        <v>104780.38888888889</v>
      </c>
      <c r="AR110" s="155" t="s">
        <v>93</v>
      </c>
      <c r="AS110" s="162">
        <v>107145.32258064517</v>
      </c>
      <c r="AV110" s="155" t="s">
        <v>93</v>
      </c>
      <c r="AW110" s="162">
        <v>114477.26923076923</v>
      </c>
      <c r="AZ110" s="155" t="s">
        <v>93</v>
      </c>
      <c r="BA110" s="162">
        <v>123930.85714285714</v>
      </c>
      <c r="BD110" s="155" t="s">
        <v>93</v>
      </c>
      <c r="BE110" s="162">
        <v>137030.5625</v>
      </c>
      <c r="BH110" s="155" t="s">
        <v>93</v>
      </c>
      <c r="BI110" s="162">
        <v>137439.18181818182</v>
      </c>
      <c r="BL110" s="155" t="s">
        <v>93</v>
      </c>
      <c r="BM110" s="162">
        <v>129679.33333333333</v>
      </c>
      <c r="BP110" s="155" t="s">
        <v>93</v>
      </c>
      <c r="BQ110" s="162">
        <v>3772094</v>
      </c>
      <c r="BT110" s="155" t="s">
        <v>93</v>
      </c>
      <c r="BU110" s="162">
        <v>3321505</v>
      </c>
      <c r="BX110" s="155" t="s">
        <v>93</v>
      </c>
      <c r="BY110" s="162">
        <v>2976409</v>
      </c>
      <c r="CB110" s="155" t="s">
        <v>93</v>
      </c>
      <c r="CC110" s="162">
        <v>2602548</v>
      </c>
      <c r="CF110" s="155" t="s">
        <v>93</v>
      </c>
      <c r="CG110" s="162">
        <v>2192489</v>
      </c>
      <c r="CJ110" s="155" t="s">
        <v>93</v>
      </c>
      <c r="CK110" s="162">
        <v>1511831</v>
      </c>
      <c r="CN110" s="155" t="s">
        <v>93</v>
      </c>
      <c r="CO110" s="162">
        <v>778076</v>
      </c>
    </row>
    <row r="111" spans="1:94" x14ac:dyDescent="0.2">
      <c r="A111" s="155" t="s">
        <v>203</v>
      </c>
      <c r="C111" s="155" t="s">
        <v>94</v>
      </c>
      <c r="D111" s="162">
        <v>96502</v>
      </c>
      <c r="E111" s="155">
        <v>10</v>
      </c>
      <c r="G111" s="155" t="s">
        <v>94</v>
      </c>
      <c r="H111" s="162">
        <v>98200</v>
      </c>
      <c r="I111" s="155">
        <v>13</v>
      </c>
      <c r="K111" s="155" t="s">
        <v>94</v>
      </c>
      <c r="L111" s="162">
        <v>99319</v>
      </c>
      <c r="M111" s="155">
        <v>14</v>
      </c>
      <c r="O111" s="155" t="s">
        <v>94</v>
      </c>
      <c r="P111" s="162">
        <v>102524</v>
      </c>
      <c r="Q111" s="155">
        <v>15</v>
      </c>
      <c r="S111" s="155" t="s">
        <v>94</v>
      </c>
      <c r="T111" s="162">
        <v>108695</v>
      </c>
      <c r="U111" s="155">
        <v>15</v>
      </c>
      <c r="W111" s="155" t="s">
        <v>94</v>
      </c>
      <c r="X111" s="162">
        <v>118796</v>
      </c>
      <c r="Y111" s="155">
        <v>15</v>
      </c>
      <c r="AA111" s="155" t="s">
        <v>94</v>
      </c>
      <c r="AB111" s="162">
        <v>131470</v>
      </c>
      <c r="AC111" s="155">
        <v>15</v>
      </c>
      <c r="AD111" s="155">
        <v>18</v>
      </c>
      <c r="AE111" s="155" t="s">
        <v>94</v>
      </c>
      <c r="AF111" s="160">
        <v>142661</v>
      </c>
      <c r="AH111" s="155" t="s">
        <v>94</v>
      </c>
      <c r="AI111" s="155">
        <v>430.7</v>
      </c>
      <c r="AN111" s="155" t="s">
        <v>94</v>
      </c>
      <c r="AO111" s="162">
        <v>1282.1944444444443</v>
      </c>
      <c r="AP111" s="155">
        <v>24</v>
      </c>
      <c r="AR111" s="155" t="s">
        <v>94</v>
      </c>
      <c r="AS111" s="162">
        <v>1434.2258064516129</v>
      </c>
      <c r="AT111" s="155">
        <v>21</v>
      </c>
      <c r="AV111" s="155" t="s">
        <v>94</v>
      </c>
      <c r="AW111" s="162">
        <v>1667</v>
      </c>
      <c r="AX111" s="155">
        <v>18</v>
      </c>
      <c r="AZ111" s="155" t="s">
        <v>94</v>
      </c>
      <c r="BA111" s="162">
        <v>1911.2857142857142</v>
      </c>
      <c r="BB111" s="155">
        <v>17</v>
      </c>
      <c r="BD111" s="155" t="s">
        <v>94</v>
      </c>
      <c r="BE111" s="162">
        <v>2122.875</v>
      </c>
      <c r="BF111" s="155">
        <v>16</v>
      </c>
      <c r="BH111" s="155" t="s">
        <v>94</v>
      </c>
      <c r="BI111" s="162">
        <v>2169.5454545454545</v>
      </c>
      <c r="BJ111" s="155">
        <v>15</v>
      </c>
      <c r="BL111" s="155" t="s">
        <v>94</v>
      </c>
      <c r="BM111" s="162">
        <v>1865.1666666666667</v>
      </c>
      <c r="BN111" s="155">
        <v>16</v>
      </c>
      <c r="BP111" s="155" t="s">
        <v>94</v>
      </c>
      <c r="BQ111" s="162">
        <v>46159</v>
      </c>
      <c r="BR111" s="155">
        <v>24</v>
      </c>
      <c r="BT111" s="155" t="s">
        <v>94</v>
      </c>
      <c r="BU111" s="162">
        <v>44461</v>
      </c>
      <c r="BV111" s="155">
        <v>21</v>
      </c>
      <c r="BX111" s="155" t="s">
        <v>94</v>
      </c>
      <c r="BY111" s="162">
        <v>43342</v>
      </c>
      <c r="BZ111" s="155">
        <v>18</v>
      </c>
      <c r="CB111" s="155" t="s">
        <v>94</v>
      </c>
      <c r="CC111" s="162">
        <v>40137</v>
      </c>
      <c r="CD111" s="155">
        <v>17</v>
      </c>
      <c r="CF111" s="155" t="s">
        <v>94</v>
      </c>
      <c r="CG111" s="162">
        <v>33966</v>
      </c>
      <c r="CH111" s="155">
        <v>16</v>
      </c>
      <c r="CJ111" s="155" t="s">
        <v>94</v>
      </c>
      <c r="CK111" s="162">
        <v>23865</v>
      </c>
      <c r="CL111" s="155">
        <v>15</v>
      </c>
      <c r="CN111" s="155" t="s">
        <v>94</v>
      </c>
      <c r="CO111" s="162">
        <v>11191</v>
      </c>
      <c r="CP111" s="155">
        <v>16</v>
      </c>
    </row>
    <row r="112" spans="1:94" x14ac:dyDescent="0.2">
      <c r="A112" s="155" t="s">
        <v>204</v>
      </c>
      <c r="C112" s="155" t="s">
        <v>95</v>
      </c>
      <c r="D112" s="162">
        <v>19466</v>
      </c>
      <c r="E112" s="155">
        <v>71</v>
      </c>
      <c r="G112" s="155" t="s">
        <v>95</v>
      </c>
      <c r="H112" s="162">
        <v>22900</v>
      </c>
      <c r="I112" s="155">
        <v>67</v>
      </c>
      <c r="K112" s="155" t="s">
        <v>95</v>
      </c>
      <c r="L112" s="162">
        <v>24999</v>
      </c>
      <c r="M112" s="155">
        <v>66</v>
      </c>
      <c r="O112" s="155" t="s">
        <v>95</v>
      </c>
      <c r="P112" s="162">
        <v>26348</v>
      </c>
      <c r="Q112" s="155">
        <v>64</v>
      </c>
      <c r="S112" s="155" t="s">
        <v>95</v>
      </c>
      <c r="T112" s="162">
        <v>27652</v>
      </c>
      <c r="U112" s="155">
        <v>65</v>
      </c>
      <c r="W112" s="155" t="s">
        <v>95</v>
      </c>
      <c r="X112" s="162">
        <v>30496</v>
      </c>
      <c r="Y112" s="155">
        <v>64</v>
      </c>
      <c r="AA112" s="155" t="s">
        <v>95</v>
      </c>
      <c r="AB112" s="162">
        <v>33678</v>
      </c>
      <c r="AC112" s="155">
        <v>65</v>
      </c>
      <c r="AD112" s="155">
        <v>65</v>
      </c>
      <c r="AE112" s="155" t="s">
        <v>95</v>
      </c>
      <c r="AF112" s="160">
        <v>36177</v>
      </c>
      <c r="AH112" s="155" t="s">
        <v>95</v>
      </c>
      <c r="AI112" s="155">
        <v>260.3</v>
      </c>
      <c r="AN112" s="155" t="s">
        <v>95</v>
      </c>
      <c r="AO112" s="162">
        <v>464.19444444444446</v>
      </c>
      <c r="AP112" s="155">
        <v>51</v>
      </c>
      <c r="AR112" s="155" t="s">
        <v>95</v>
      </c>
      <c r="AS112" s="162">
        <v>428.29032258064518</v>
      </c>
      <c r="AT112" s="155">
        <v>49</v>
      </c>
      <c r="AV112" s="155" t="s">
        <v>95</v>
      </c>
      <c r="AW112" s="162">
        <v>429.92307692307691</v>
      </c>
      <c r="AX112" s="155">
        <v>49</v>
      </c>
      <c r="AZ112" s="155" t="s">
        <v>95</v>
      </c>
      <c r="BA112" s="162">
        <v>468.04761904761904</v>
      </c>
      <c r="BB112" s="155">
        <v>50</v>
      </c>
      <c r="BD112" s="155" t="s">
        <v>95</v>
      </c>
      <c r="BE112" s="162">
        <v>532.8125</v>
      </c>
      <c r="BF112" s="155">
        <v>50</v>
      </c>
      <c r="BH112" s="155" t="s">
        <v>95</v>
      </c>
      <c r="BI112" s="162">
        <v>516.4545454545455</v>
      </c>
      <c r="BJ112" s="155">
        <v>47</v>
      </c>
      <c r="BL112" s="155" t="s">
        <v>95</v>
      </c>
      <c r="BM112" s="162">
        <v>416.5</v>
      </c>
      <c r="BN112" s="155">
        <v>42</v>
      </c>
      <c r="BP112" s="155" t="s">
        <v>95</v>
      </c>
      <c r="BQ112" s="162">
        <v>16711</v>
      </c>
      <c r="BR112" s="155">
        <v>51</v>
      </c>
      <c r="BT112" s="155" t="s">
        <v>95</v>
      </c>
      <c r="BU112" s="162">
        <v>13277</v>
      </c>
      <c r="BV112" s="155">
        <v>50</v>
      </c>
      <c r="BX112" s="155" t="s">
        <v>95</v>
      </c>
      <c r="BY112" s="162">
        <v>11178</v>
      </c>
      <c r="BZ112" s="155">
        <v>50</v>
      </c>
      <c r="CB112" s="155" t="s">
        <v>95</v>
      </c>
      <c r="CC112" s="162">
        <v>9829</v>
      </c>
      <c r="CD112" s="155">
        <v>50</v>
      </c>
      <c r="CF112" s="155" t="s">
        <v>95</v>
      </c>
      <c r="CG112" s="162">
        <v>8525</v>
      </c>
      <c r="CH112" s="155">
        <v>51</v>
      </c>
      <c r="CJ112" s="155" t="s">
        <v>95</v>
      </c>
      <c r="CK112" s="162">
        <v>5681</v>
      </c>
      <c r="CL112" s="155">
        <v>48</v>
      </c>
      <c r="CN112" s="155" t="s">
        <v>95</v>
      </c>
      <c r="CO112" s="162">
        <v>2499</v>
      </c>
      <c r="CP112" s="155">
        <v>42</v>
      </c>
    </row>
    <row r="113" spans="1:94" x14ac:dyDescent="0.2">
      <c r="A113" s="155" t="s">
        <v>205</v>
      </c>
      <c r="C113" s="155" t="s">
        <v>96</v>
      </c>
      <c r="D113" s="162">
        <v>8134</v>
      </c>
      <c r="E113" s="155">
        <v>93</v>
      </c>
      <c r="G113" s="155" t="s">
        <v>96</v>
      </c>
      <c r="H113" s="162">
        <v>9000</v>
      </c>
      <c r="I113" s="155">
        <v>94</v>
      </c>
      <c r="K113" s="155" t="s">
        <v>96</v>
      </c>
      <c r="L113" s="162">
        <v>9587</v>
      </c>
      <c r="M113" s="155">
        <v>93</v>
      </c>
      <c r="O113" s="155" t="s">
        <v>96</v>
      </c>
      <c r="P113" s="162">
        <v>9549</v>
      </c>
      <c r="Q113" s="155">
        <v>93</v>
      </c>
      <c r="S113" s="155" t="s">
        <v>96</v>
      </c>
      <c r="T113" s="162">
        <v>9622</v>
      </c>
      <c r="U113" s="155">
        <v>93</v>
      </c>
      <c r="W113" s="155" t="s">
        <v>96</v>
      </c>
      <c r="X113" s="162">
        <v>10174</v>
      </c>
      <c r="Y113" s="155">
        <v>93</v>
      </c>
      <c r="AA113" s="155" t="s">
        <v>96</v>
      </c>
      <c r="AB113" s="162">
        <v>10701</v>
      </c>
      <c r="AC113" s="155">
        <v>93</v>
      </c>
      <c r="AD113" s="155">
        <v>94</v>
      </c>
      <c r="AE113" s="155" t="s">
        <v>96</v>
      </c>
      <c r="AF113" s="160">
        <v>10912</v>
      </c>
      <c r="AH113" s="155" t="s">
        <v>96</v>
      </c>
      <c r="AI113" s="155">
        <v>234.7</v>
      </c>
      <c r="AN113" s="155" t="s">
        <v>96</v>
      </c>
      <c r="AO113" s="162">
        <v>77.166666666666671</v>
      </c>
      <c r="AP113" s="155">
        <v>86</v>
      </c>
      <c r="AR113" s="155" t="s">
        <v>96</v>
      </c>
      <c r="AS113" s="162">
        <v>61.677419354838712</v>
      </c>
      <c r="AT113" s="155">
        <v>86</v>
      </c>
      <c r="AV113" s="155" t="s">
        <v>96</v>
      </c>
      <c r="AW113" s="162">
        <v>50.96153846153846</v>
      </c>
      <c r="AX113" s="155">
        <v>86</v>
      </c>
      <c r="AZ113" s="155" t="s">
        <v>96</v>
      </c>
      <c r="BA113" s="162">
        <v>64.904761904761898</v>
      </c>
      <c r="BB113" s="155">
        <v>86</v>
      </c>
      <c r="BD113" s="155" t="s">
        <v>96</v>
      </c>
      <c r="BE113" s="162">
        <v>80.625</v>
      </c>
      <c r="BF113" s="155">
        <v>85</v>
      </c>
      <c r="BH113" s="155" t="s">
        <v>96</v>
      </c>
      <c r="BI113" s="162">
        <v>67.090909090909093</v>
      </c>
      <c r="BJ113" s="155">
        <v>86</v>
      </c>
      <c r="BL113" s="155" t="s">
        <v>96</v>
      </c>
      <c r="BM113" s="162">
        <v>35.166666666666664</v>
      </c>
      <c r="BN113" s="155">
        <v>79</v>
      </c>
      <c r="BP113" s="155" t="s">
        <v>96</v>
      </c>
      <c r="BQ113" s="162">
        <v>2778</v>
      </c>
      <c r="BR113" s="155">
        <v>86</v>
      </c>
      <c r="BT113" s="155" t="s">
        <v>96</v>
      </c>
      <c r="BU113" s="162">
        <v>1912</v>
      </c>
      <c r="BV113" s="155">
        <v>86</v>
      </c>
      <c r="BX113" s="155" t="s">
        <v>96</v>
      </c>
      <c r="BY113" s="162">
        <v>1325</v>
      </c>
      <c r="BZ113" s="155">
        <v>86</v>
      </c>
      <c r="CB113" s="155" t="s">
        <v>96</v>
      </c>
      <c r="CC113" s="162">
        <v>1363</v>
      </c>
      <c r="CD113" s="155">
        <v>86</v>
      </c>
      <c r="CF113" s="155" t="s">
        <v>96</v>
      </c>
      <c r="CG113" s="162">
        <v>1290</v>
      </c>
      <c r="CH113" s="155">
        <v>85</v>
      </c>
      <c r="CJ113" s="155" t="s">
        <v>96</v>
      </c>
      <c r="CK113" s="162">
        <v>738</v>
      </c>
      <c r="CL113" s="155">
        <v>87</v>
      </c>
      <c r="CN113" s="155" t="s">
        <v>96</v>
      </c>
      <c r="CO113" s="162">
        <v>211</v>
      </c>
      <c r="CP113" s="155">
        <v>81</v>
      </c>
    </row>
    <row r="114" spans="1:94" x14ac:dyDescent="0.2">
      <c r="A114" s="155" t="s">
        <v>206</v>
      </c>
      <c r="C114" s="155" t="s">
        <v>97</v>
      </c>
      <c r="D114" s="162">
        <v>23488</v>
      </c>
      <c r="E114" s="155">
        <v>64</v>
      </c>
      <c r="G114" s="155" t="s">
        <v>97</v>
      </c>
      <c r="H114" s="162">
        <v>24700</v>
      </c>
      <c r="I114" s="155">
        <v>64</v>
      </c>
      <c r="K114" s="155" t="s">
        <v>97</v>
      </c>
      <c r="L114" s="162">
        <v>25649</v>
      </c>
      <c r="M114" s="155">
        <v>65</v>
      </c>
      <c r="O114" s="155" t="s">
        <v>97</v>
      </c>
      <c r="P114" s="162">
        <v>24848</v>
      </c>
      <c r="Q114" s="155">
        <v>68</v>
      </c>
      <c r="S114" s="155" t="s">
        <v>97</v>
      </c>
      <c r="T114" s="162">
        <v>23498</v>
      </c>
      <c r="U114" s="155">
        <v>70</v>
      </c>
      <c r="W114" s="155" t="s">
        <v>97</v>
      </c>
      <c r="X114" s="162">
        <v>24630</v>
      </c>
      <c r="Y114" s="155">
        <v>73</v>
      </c>
      <c r="AA114" s="155" t="s">
        <v>97</v>
      </c>
      <c r="AB114" s="162">
        <v>25257</v>
      </c>
      <c r="AC114" s="155">
        <v>73</v>
      </c>
      <c r="AD114" s="155">
        <v>74</v>
      </c>
      <c r="AE114" s="155" t="s">
        <v>97</v>
      </c>
      <c r="AF114" s="160">
        <v>25472</v>
      </c>
      <c r="AH114" s="155" t="s">
        <v>97</v>
      </c>
      <c r="AI114" s="155">
        <v>531.6</v>
      </c>
      <c r="AN114" s="155" t="s">
        <v>97</v>
      </c>
      <c r="AO114" s="162">
        <v>55.111111111111114</v>
      </c>
      <c r="AP114" s="155">
        <v>89</v>
      </c>
      <c r="AR114" s="155" t="s">
        <v>97</v>
      </c>
      <c r="AS114" s="162">
        <v>24.903225806451612</v>
      </c>
      <c r="AT114" s="155">
        <v>89</v>
      </c>
      <c r="AV114" s="155" t="s">
        <v>97</v>
      </c>
      <c r="AW114" s="162">
        <v>-6.8076923076923075</v>
      </c>
      <c r="AX114" s="155">
        <v>93</v>
      </c>
      <c r="AZ114" s="155" t="s">
        <v>97</v>
      </c>
      <c r="BA114" s="162">
        <v>29.714285714285715</v>
      </c>
      <c r="BB114" s="155">
        <v>90</v>
      </c>
      <c r="BD114" s="155" t="s">
        <v>97</v>
      </c>
      <c r="BE114" s="162">
        <v>123.375</v>
      </c>
      <c r="BF114" s="155">
        <v>80</v>
      </c>
      <c r="BH114" s="155" t="s">
        <v>97</v>
      </c>
      <c r="BI114" s="162">
        <v>76.545454545454547</v>
      </c>
      <c r="BJ114" s="155">
        <v>83</v>
      </c>
      <c r="BL114" s="155" t="s">
        <v>97</v>
      </c>
      <c r="BM114" s="162">
        <v>35.833333333333336</v>
      </c>
      <c r="BN114" s="155">
        <v>78</v>
      </c>
      <c r="BP114" s="155" t="s">
        <v>97</v>
      </c>
      <c r="BQ114" s="162">
        <v>1984</v>
      </c>
      <c r="BR114" s="155">
        <v>89</v>
      </c>
      <c r="BT114" s="155" t="s">
        <v>97</v>
      </c>
      <c r="BU114" s="162">
        <v>772</v>
      </c>
      <c r="BV114" s="155">
        <v>89</v>
      </c>
      <c r="BX114" s="155" t="s">
        <v>97</v>
      </c>
      <c r="BY114" s="162">
        <v>-177</v>
      </c>
      <c r="BZ114" s="155">
        <v>93</v>
      </c>
      <c r="CB114" s="155" t="s">
        <v>97</v>
      </c>
      <c r="CC114" s="162">
        <v>624</v>
      </c>
      <c r="CD114" s="155">
        <v>90</v>
      </c>
      <c r="CF114" s="155" t="s">
        <v>97</v>
      </c>
      <c r="CG114" s="162">
        <v>1974</v>
      </c>
      <c r="CH114" s="155">
        <v>81</v>
      </c>
      <c r="CJ114" s="155" t="s">
        <v>97</v>
      </c>
      <c r="CK114" s="162">
        <v>842</v>
      </c>
      <c r="CL114" s="155">
        <v>84</v>
      </c>
      <c r="CN114" s="155" t="s">
        <v>97</v>
      </c>
      <c r="CO114" s="162">
        <v>215</v>
      </c>
      <c r="CP114" s="155">
        <v>80</v>
      </c>
    </row>
    <row r="115" spans="1:94" x14ac:dyDescent="0.2">
      <c r="A115" s="155" t="s">
        <v>207</v>
      </c>
      <c r="C115" s="155" t="s">
        <v>98</v>
      </c>
      <c r="D115" s="162">
        <v>19571</v>
      </c>
      <c r="E115" s="155">
        <v>70</v>
      </c>
      <c r="G115" s="155" t="s">
        <v>98</v>
      </c>
      <c r="H115" s="162">
        <v>20700</v>
      </c>
      <c r="I115" s="155">
        <v>72</v>
      </c>
      <c r="K115" s="155" t="s">
        <v>98</v>
      </c>
      <c r="L115" s="162">
        <v>22325</v>
      </c>
      <c r="M115" s="155">
        <v>71</v>
      </c>
      <c r="O115" s="155" t="s">
        <v>98</v>
      </c>
      <c r="P115" s="162">
        <v>22716</v>
      </c>
      <c r="Q115" s="155">
        <v>73</v>
      </c>
      <c r="S115" s="155" t="s">
        <v>98</v>
      </c>
      <c r="T115" s="162">
        <v>22206</v>
      </c>
      <c r="U115" s="155">
        <v>75</v>
      </c>
      <c r="W115" s="155" t="s">
        <v>98</v>
      </c>
      <c r="X115" s="162">
        <v>23339</v>
      </c>
      <c r="Y115" s="155">
        <v>74</v>
      </c>
      <c r="AA115" s="155" t="s">
        <v>98</v>
      </c>
      <c r="AB115" s="162">
        <v>24458</v>
      </c>
      <c r="AC115" s="155">
        <v>74</v>
      </c>
      <c r="AD115" s="155">
        <v>73</v>
      </c>
      <c r="AE115" s="155" t="s">
        <v>98</v>
      </c>
      <c r="AF115" s="160">
        <v>25499</v>
      </c>
      <c r="AH115" s="155" t="s">
        <v>98</v>
      </c>
      <c r="AI115" s="155">
        <v>426.2</v>
      </c>
      <c r="AN115" s="155" t="s">
        <v>98</v>
      </c>
      <c r="AO115" s="162">
        <v>164.66666666666666</v>
      </c>
      <c r="AP115" s="155">
        <v>72</v>
      </c>
      <c r="AR115" s="155" t="s">
        <v>98</v>
      </c>
      <c r="AS115" s="162">
        <v>154.80645161290323</v>
      </c>
      <c r="AT115" s="155">
        <v>70</v>
      </c>
      <c r="AV115" s="155" t="s">
        <v>98</v>
      </c>
      <c r="AW115" s="162">
        <v>122.07692307692308</v>
      </c>
      <c r="AX115" s="155">
        <v>76</v>
      </c>
      <c r="AZ115" s="155" t="s">
        <v>98</v>
      </c>
      <c r="BA115" s="162">
        <v>132.52380952380952</v>
      </c>
      <c r="BB115" s="155">
        <v>77</v>
      </c>
      <c r="BD115" s="155" t="s">
        <v>98</v>
      </c>
      <c r="BE115" s="162">
        <v>205.8125</v>
      </c>
      <c r="BF115" s="155">
        <v>71</v>
      </c>
      <c r="BH115" s="155" t="s">
        <v>98</v>
      </c>
      <c r="BI115" s="162">
        <v>196.36363636363637</v>
      </c>
      <c r="BJ115" s="155">
        <v>69</v>
      </c>
      <c r="BL115" s="155" t="s">
        <v>98</v>
      </c>
      <c r="BM115" s="162">
        <v>173.5</v>
      </c>
      <c r="BN115" s="155">
        <v>60</v>
      </c>
      <c r="BP115" s="155" t="s">
        <v>98</v>
      </c>
      <c r="BQ115" s="162">
        <v>5928</v>
      </c>
      <c r="BR115" s="155">
        <v>72</v>
      </c>
      <c r="BT115" s="155" t="s">
        <v>98</v>
      </c>
      <c r="BU115" s="162">
        <v>4799</v>
      </c>
      <c r="BV115" s="155">
        <v>70</v>
      </c>
      <c r="BX115" s="155" t="s">
        <v>98</v>
      </c>
      <c r="BY115" s="162">
        <v>3174</v>
      </c>
      <c r="BZ115" s="155">
        <v>77</v>
      </c>
      <c r="CB115" s="155" t="s">
        <v>98</v>
      </c>
      <c r="CC115" s="162">
        <v>2783</v>
      </c>
      <c r="CD115" s="155">
        <v>78</v>
      </c>
      <c r="CF115" s="155" t="s">
        <v>98</v>
      </c>
      <c r="CG115" s="162">
        <v>3293</v>
      </c>
      <c r="CH115" s="155">
        <v>72</v>
      </c>
      <c r="CJ115" s="155" t="s">
        <v>98</v>
      </c>
      <c r="CK115" s="162">
        <v>2160</v>
      </c>
      <c r="CL115" s="155">
        <v>71</v>
      </c>
      <c r="CN115" s="155" t="s">
        <v>98</v>
      </c>
      <c r="CO115" s="162">
        <v>1041</v>
      </c>
      <c r="CP115" s="155">
        <v>62</v>
      </c>
    </row>
    <row r="116" spans="1:94" x14ac:dyDescent="0.2">
      <c r="A116" s="155" t="s">
        <v>208</v>
      </c>
      <c r="C116" s="155" t="s">
        <v>99</v>
      </c>
      <c r="D116" s="162">
        <v>12655</v>
      </c>
      <c r="E116" s="155">
        <v>84</v>
      </c>
      <c r="G116" s="155" t="s">
        <v>99</v>
      </c>
      <c r="H116" s="162">
        <v>14200</v>
      </c>
      <c r="I116" s="155">
        <v>83</v>
      </c>
      <c r="K116" s="155" t="s">
        <v>99</v>
      </c>
      <c r="L116" s="162">
        <v>14409</v>
      </c>
      <c r="M116" s="155">
        <v>85</v>
      </c>
      <c r="O116" s="155" t="s">
        <v>99</v>
      </c>
      <c r="P116" s="162">
        <v>14723</v>
      </c>
      <c r="Q116" s="155">
        <v>84</v>
      </c>
      <c r="S116" s="155" t="s">
        <v>99</v>
      </c>
      <c r="T116" s="162">
        <v>14925</v>
      </c>
      <c r="U116" s="155">
        <v>84</v>
      </c>
      <c r="W116" s="155" t="s">
        <v>99</v>
      </c>
      <c r="X116" s="162">
        <v>15665</v>
      </c>
      <c r="Y116" s="155">
        <v>86</v>
      </c>
      <c r="AA116" s="155" t="s">
        <v>99</v>
      </c>
      <c r="AB116" s="162">
        <v>17193</v>
      </c>
      <c r="AC116" s="155">
        <v>86</v>
      </c>
      <c r="AD116" s="155">
        <v>86</v>
      </c>
      <c r="AE116" s="155" t="s">
        <v>99</v>
      </c>
      <c r="AF116" s="160">
        <v>17674</v>
      </c>
      <c r="AH116" s="155" t="s">
        <v>99</v>
      </c>
      <c r="AI116" s="155">
        <v>247</v>
      </c>
      <c r="AN116" s="155" t="s">
        <v>99</v>
      </c>
      <c r="AO116" s="162">
        <v>139.41666666666666</v>
      </c>
      <c r="AP116" s="155">
        <v>75</v>
      </c>
      <c r="AR116" s="155" t="s">
        <v>99</v>
      </c>
      <c r="AS116" s="162">
        <v>112.06451612903226</v>
      </c>
      <c r="AT116" s="155">
        <v>77</v>
      </c>
      <c r="AV116" s="155" t="s">
        <v>99</v>
      </c>
      <c r="AW116" s="162">
        <v>125.57692307692308</v>
      </c>
      <c r="AX116" s="155">
        <v>75</v>
      </c>
      <c r="AZ116" s="155" t="s">
        <v>99</v>
      </c>
      <c r="BA116" s="162">
        <v>140.52380952380952</v>
      </c>
      <c r="BB116" s="155">
        <v>75</v>
      </c>
      <c r="BD116" s="155" t="s">
        <v>99</v>
      </c>
      <c r="BE116" s="162">
        <v>171.8125</v>
      </c>
      <c r="BF116" s="155">
        <v>76</v>
      </c>
      <c r="BH116" s="155" t="s">
        <v>99</v>
      </c>
      <c r="BI116" s="162">
        <v>182.63636363636363</v>
      </c>
      <c r="BJ116" s="155">
        <v>73</v>
      </c>
      <c r="BL116" s="155" t="s">
        <v>99</v>
      </c>
      <c r="BM116" s="162">
        <v>80.166666666666671</v>
      </c>
      <c r="BN116" s="155">
        <v>74</v>
      </c>
      <c r="BP116" s="155" t="s">
        <v>99</v>
      </c>
      <c r="BQ116" s="162">
        <v>5019</v>
      </c>
      <c r="BR116" s="155">
        <v>75</v>
      </c>
      <c r="BT116" s="155" t="s">
        <v>99</v>
      </c>
      <c r="BU116" s="162">
        <v>3474</v>
      </c>
      <c r="BV116" s="155">
        <v>78</v>
      </c>
      <c r="BX116" s="155" t="s">
        <v>99</v>
      </c>
      <c r="BY116" s="162">
        <v>3265</v>
      </c>
      <c r="BZ116" s="155">
        <v>76</v>
      </c>
      <c r="CB116" s="155" t="s">
        <v>99</v>
      </c>
      <c r="CC116" s="162">
        <v>2951</v>
      </c>
      <c r="CD116" s="155">
        <v>76</v>
      </c>
      <c r="CF116" s="155" t="s">
        <v>99</v>
      </c>
      <c r="CG116" s="162">
        <v>2749</v>
      </c>
      <c r="CH116" s="155">
        <v>77</v>
      </c>
      <c r="CJ116" s="155" t="s">
        <v>99</v>
      </c>
      <c r="CK116" s="162">
        <v>2009</v>
      </c>
      <c r="CL116" s="155">
        <v>76</v>
      </c>
      <c r="CN116" s="155" t="s">
        <v>99</v>
      </c>
      <c r="CO116" s="162">
        <v>481</v>
      </c>
      <c r="CP116" s="155">
        <v>77</v>
      </c>
    </row>
    <row r="117" spans="1:94" x14ac:dyDescent="0.2">
      <c r="A117" s="155" t="s">
        <v>209</v>
      </c>
      <c r="C117" s="155" t="s">
        <v>100</v>
      </c>
      <c r="D117" s="162">
        <v>35980</v>
      </c>
      <c r="E117" s="155">
        <v>46</v>
      </c>
      <c r="G117" s="155" t="s">
        <v>100</v>
      </c>
      <c r="H117" s="162">
        <v>38100</v>
      </c>
      <c r="I117" s="155">
        <v>46</v>
      </c>
      <c r="K117" s="155" t="s">
        <v>100</v>
      </c>
      <c r="L117" s="162">
        <v>40355</v>
      </c>
      <c r="M117" s="155">
        <v>48</v>
      </c>
      <c r="O117" s="155" t="s">
        <v>100</v>
      </c>
      <c r="P117" s="162">
        <v>42211</v>
      </c>
      <c r="Q117" s="155">
        <v>48</v>
      </c>
      <c r="S117" s="155" t="s">
        <v>100</v>
      </c>
      <c r="T117" s="162">
        <v>42374</v>
      </c>
      <c r="U117" s="155">
        <v>48</v>
      </c>
      <c r="W117" s="155" t="s">
        <v>100</v>
      </c>
      <c r="X117" s="162">
        <v>43888</v>
      </c>
      <c r="Y117" s="155">
        <v>50</v>
      </c>
      <c r="AA117" s="155" t="s">
        <v>100</v>
      </c>
      <c r="AB117" s="162">
        <v>44989</v>
      </c>
      <c r="AC117" s="155">
        <v>53</v>
      </c>
      <c r="AD117" s="155">
        <v>54</v>
      </c>
      <c r="AE117" s="155" t="s">
        <v>100</v>
      </c>
      <c r="AF117" s="160">
        <v>46355</v>
      </c>
      <c r="AH117" s="155" t="s">
        <v>100</v>
      </c>
      <c r="AI117" s="155">
        <v>827.6</v>
      </c>
      <c r="AN117" s="155" t="s">
        <v>100</v>
      </c>
      <c r="AO117" s="162">
        <v>288.19444444444446</v>
      </c>
      <c r="AP117" s="155">
        <v>63</v>
      </c>
      <c r="AR117" s="155" t="s">
        <v>100</v>
      </c>
      <c r="AS117" s="162">
        <v>266.29032258064518</v>
      </c>
      <c r="AT117" s="155">
        <v>64</v>
      </c>
      <c r="AV117" s="155" t="s">
        <v>100</v>
      </c>
      <c r="AW117" s="162">
        <v>230.76923076923077</v>
      </c>
      <c r="AX117" s="155">
        <v>65</v>
      </c>
      <c r="AZ117" s="155" t="s">
        <v>100</v>
      </c>
      <c r="BA117" s="162">
        <v>197.33333333333334</v>
      </c>
      <c r="BB117" s="155">
        <v>68</v>
      </c>
      <c r="BD117" s="155" t="s">
        <v>100</v>
      </c>
      <c r="BE117" s="162">
        <v>248.8125</v>
      </c>
      <c r="BF117" s="155">
        <v>67</v>
      </c>
      <c r="BH117" s="155" t="s">
        <v>100</v>
      </c>
      <c r="BI117" s="162">
        <v>224.27272727272728</v>
      </c>
      <c r="BJ117" s="155">
        <v>65</v>
      </c>
      <c r="BL117" s="155" t="s">
        <v>100</v>
      </c>
      <c r="BM117" s="162">
        <v>227.66666666666666</v>
      </c>
      <c r="BN117" s="155">
        <v>53</v>
      </c>
      <c r="BP117" s="155" t="s">
        <v>100</v>
      </c>
      <c r="BQ117" s="162">
        <v>10375</v>
      </c>
      <c r="BR117" s="155">
        <v>63</v>
      </c>
      <c r="BT117" s="155" t="s">
        <v>100</v>
      </c>
      <c r="BU117" s="162">
        <v>8255</v>
      </c>
      <c r="BV117" s="155">
        <v>64</v>
      </c>
      <c r="BX117" s="155" t="s">
        <v>100</v>
      </c>
      <c r="BY117" s="162">
        <v>6000</v>
      </c>
      <c r="BZ117" s="155">
        <v>66</v>
      </c>
      <c r="CB117" s="155" t="s">
        <v>100</v>
      </c>
      <c r="CC117" s="162">
        <v>4144</v>
      </c>
      <c r="CD117" s="155">
        <v>68</v>
      </c>
      <c r="CF117" s="155" t="s">
        <v>100</v>
      </c>
      <c r="CG117" s="162">
        <v>3981</v>
      </c>
      <c r="CH117" s="155">
        <v>69</v>
      </c>
      <c r="CJ117" s="155" t="s">
        <v>100</v>
      </c>
      <c r="CK117" s="162">
        <v>2467</v>
      </c>
      <c r="CL117" s="155">
        <v>67</v>
      </c>
      <c r="CN117" s="155" t="s">
        <v>100</v>
      </c>
      <c r="CO117" s="162">
        <v>1366</v>
      </c>
      <c r="CP117" s="155">
        <v>54</v>
      </c>
    </row>
    <row r="118" spans="1:94" x14ac:dyDescent="0.2">
      <c r="A118" s="155" t="s">
        <v>210</v>
      </c>
      <c r="C118" s="155" t="s">
        <v>101</v>
      </c>
      <c r="D118" s="162">
        <v>20528</v>
      </c>
      <c r="E118" s="155">
        <v>68</v>
      </c>
      <c r="G118" s="155" t="s">
        <v>101</v>
      </c>
      <c r="H118" s="162">
        <v>20900</v>
      </c>
      <c r="I118" s="155">
        <v>71</v>
      </c>
      <c r="K118" s="155" t="s">
        <v>101</v>
      </c>
      <c r="L118" s="162">
        <v>21024</v>
      </c>
      <c r="M118" s="155">
        <v>74</v>
      </c>
      <c r="O118" s="155" t="s">
        <v>101</v>
      </c>
      <c r="P118" s="162">
        <v>21001</v>
      </c>
      <c r="Q118" s="155">
        <v>77</v>
      </c>
      <c r="S118" s="155" t="s">
        <v>101</v>
      </c>
      <c r="T118" s="162">
        <v>20390</v>
      </c>
      <c r="U118" s="155">
        <v>78</v>
      </c>
      <c r="W118" s="155" t="s">
        <v>101</v>
      </c>
      <c r="X118" s="162">
        <v>20439</v>
      </c>
      <c r="Y118" s="155">
        <v>79</v>
      </c>
      <c r="AA118" s="155" t="s">
        <v>101</v>
      </c>
      <c r="AB118" s="162">
        <v>19722</v>
      </c>
      <c r="AC118" s="155">
        <v>80</v>
      </c>
      <c r="AD118" s="155">
        <v>84</v>
      </c>
      <c r="AE118" s="155" t="s">
        <v>101</v>
      </c>
      <c r="AF118" s="160">
        <v>19094</v>
      </c>
      <c r="AH118" s="155" t="s">
        <v>101</v>
      </c>
      <c r="AI118" s="155">
        <v>699.2</v>
      </c>
      <c r="AN118" s="155" t="s">
        <v>101</v>
      </c>
      <c r="AO118" s="162">
        <v>-39.833333333333336</v>
      </c>
      <c r="AP118" s="155">
        <v>99</v>
      </c>
      <c r="AR118" s="155" t="s">
        <v>101</v>
      </c>
      <c r="AS118" s="162">
        <v>-58.258064516129032</v>
      </c>
      <c r="AT118" s="155">
        <v>99</v>
      </c>
      <c r="AV118" s="155" t="s">
        <v>101</v>
      </c>
      <c r="AW118" s="162">
        <v>-74.230769230769226</v>
      </c>
      <c r="AX118" s="155">
        <v>98</v>
      </c>
      <c r="AZ118" s="155" t="s">
        <v>101</v>
      </c>
      <c r="BA118" s="162">
        <v>-90.80952380952381</v>
      </c>
      <c r="BB118" s="155">
        <v>99</v>
      </c>
      <c r="BD118" s="155" t="s">
        <v>101</v>
      </c>
      <c r="BE118" s="162">
        <v>-81</v>
      </c>
      <c r="BF118" s="155">
        <v>99</v>
      </c>
      <c r="BH118" s="155" t="s">
        <v>101</v>
      </c>
      <c r="BI118" s="162">
        <v>-122.27272727272727</v>
      </c>
      <c r="BJ118" s="155">
        <v>97</v>
      </c>
      <c r="BL118" s="155" t="s">
        <v>101</v>
      </c>
      <c r="BM118" s="162">
        <v>-104.66666666666667</v>
      </c>
      <c r="BN118" s="155">
        <v>95</v>
      </c>
      <c r="BP118" s="155" t="s">
        <v>101</v>
      </c>
      <c r="BQ118" s="162">
        <v>-1434</v>
      </c>
      <c r="BR118" s="155">
        <v>99</v>
      </c>
      <c r="BT118" s="155" t="s">
        <v>101</v>
      </c>
      <c r="BU118" s="162">
        <v>-1806</v>
      </c>
      <c r="BV118" s="155">
        <v>99</v>
      </c>
      <c r="BX118" s="155" t="s">
        <v>101</v>
      </c>
      <c r="BY118" s="162">
        <v>-1930</v>
      </c>
      <c r="BZ118" s="155">
        <v>98</v>
      </c>
      <c r="CB118" s="155" t="s">
        <v>101</v>
      </c>
      <c r="CC118" s="162">
        <v>-1907</v>
      </c>
      <c r="CD118" s="155">
        <v>99</v>
      </c>
      <c r="CF118" s="155" t="s">
        <v>101</v>
      </c>
      <c r="CG118" s="162">
        <v>-1296</v>
      </c>
      <c r="CH118" s="155">
        <v>99</v>
      </c>
      <c r="CJ118" s="155" t="s">
        <v>101</v>
      </c>
      <c r="CK118" s="162">
        <v>-1345</v>
      </c>
      <c r="CL118" s="155">
        <v>96</v>
      </c>
      <c r="CN118" s="155" t="s">
        <v>101</v>
      </c>
      <c r="CO118" s="162">
        <v>-628</v>
      </c>
      <c r="CP118" s="155">
        <v>94</v>
      </c>
    </row>
    <row r="119" spans="1:94" x14ac:dyDescent="0.2">
      <c r="A119" s="155" t="s">
        <v>211</v>
      </c>
      <c r="C119" s="155" t="s">
        <v>102</v>
      </c>
      <c r="D119" s="162">
        <v>26477</v>
      </c>
      <c r="E119" s="155">
        <v>57</v>
      </c>
      <c r="G119" s="155" t="s">
        <v>102</v>
      </c>
      <c r="H119" s="162">
        <v>29200</v>
      </c>
      <c r="I119" s="155">
        <v>58</v>
      </c>
      <c r="K119" s="155" t="s">
        <v>102</v>
      </c>
      <c r="L119" s="162">
        <v>30491</v>
      </c>
      <c r="M119" s="155">
        <v>58</v>
      </c>
      <c r="O119" s="155" t="s">
        <v>102</v>
      </c>
      <c r="P119" s="162">
        <v>29615</v>
      </c>
      <c r="Q119" s="155">
        <v>59</v>
      </c>
      <c r="S119" s="155" t="s">
        <v>102</v>
      </c>
      <c r="T119" s="162">
        <v>28676</v>
      </c>
      <c r="U119" s="155">
        <v>63</v>
      </c>
      <c r="W119" s="155" t="s">
        <v>102</v>
      </c>
      <c r="X119" s="162">
        <v>30665</v>
      </c>
      <c r="Y119" s="155">
        <v>63</v>
      </c>
      <c r="AA119" s="155" t="s">
        <v>102</v>
      </c>
      <c r="AB119" s="162">
        <v>32256</v>
      </c>
      <c r="AC119" s="155">
        <v>67</v>
      </c>
      <c r="AD119" s="155">
        <v>68</v>
      </c>
      <c r="AE119" s="155" t="s">
        <v>102</v>
      </c>
      <c r="AF119" s="160">
        <v>32921</v>
      </c>
      <c r="AH119" s="155" t="s">
        <v>102</v>
      </c>
      <c r="AI119" s="155">
        <v>875</v>
      </c>
      <c r="AN119" s="155" t="s">
        <v>102</v>
      </c>
      <c r="AO119" s="162">
        <v>179</v>
      </c>
      <c r="AP119" s="155">
        <v>71</v>
      </c>
      <c r="AR119" s="155" t="s">
        <v>102</v>
      </c>
      <c r="AS119" s="162">
        <v>120.03225806451613</v>
      </c>
      <c r="AT119" s="155">
        <v>75</v>
      </c>
      <c r="AV119" s="155" t="s">
        <v>102</v>
      </c>
      <c r="AW119" s="162">
        <v>93.461538461538467</v>
      </c>
      <c r="AX119" s="155">
        <v>82</v>
      </c>
      <c r="AZ119" s="155" t="s">
        <v>102</v>
      </c>
      <c r="BA119" s="162">
        <v>157.42857142857142</v>
      </c>
      <c r="BB119" s="155">
        <v>72</v>
      </c>
      <c r="BD119" s="155" t="s">
        <v>102</v>
      </c>
      <c r="BE119" s="162">
        <v>265.3125</v>
      </c>
      <c r="BF119" s="155">
        <v>64</v>
      </c>
      <c r="BH119" s="155" t="s">
        <v>102</v>
      </c>
      <c r="BI119" s="162">
        <v>205.09090909090909</v>
      </c>
      <c r="BJ119" s="155">
        <v>68</v>
      </c>
      <c r="BL119" s="155" t="s">
        <v>102</v>
      </c>
      <c r="BM119" s="162">
        <v>110.83333333333333</v>
      </c>
      <c r="BN119" s="155">
        <v>67</v>
      </c>
      <c r="BP119" s="155" t="s">
        <v>102</v>
      </c>
      <c r="BQ119" s="162">
        <v>6444</v>
      </c>
      <c r="BR119" s="155">
        <v>71</v>
      </c>
      <c r="BT119" s="155" t="s">
        <v>102</v>
      </c>
      <c r="BU119" s="162">
        <v>3721</v>
      </c>
      <c r="BV119" s="155">
        <v>76</v>
      </c>
      <c r="BX119" s="155" t="s">
        <v>102</v>
      </c>
      <c r="BY119" s="162">
        <v>2430</v>
      </c>
      <c r="BZ119" s="155">
        <v>82</v>
      </c>
      <c r="CB119" s="155" t="s">
        <v>102</v>
      </c>
      <c r="CC119" s="162">
        <v>3306</v>
      </c>
      <c r="CD119" s="155">
        <v>73</v>
      </c>
      <c r="CF119" s="155" t="s">
        <v>102</v>
      </c>
      <c r="CG119" s="162">
        <v>4245</v>
      </c>
      <c r="CH119" s="155">
        <v>66</v>
      </c>
      <c r="CJ119" s="155" t="s">
        <v>102</v>
      </c>
      <c r="CK119" s="162">
        <v>2256</v>
      </c>
      <c r="CL119" s="155">
        <v>70</v>
      </c>
      <c r="CN119" s="155" t="s">
        <v>102</v>
      </c>
      <c r="CO119" s="162">
        <v>665</v>
      </c>
      <c r="CP119" s="155">
        <v>69</v>
      </c>
    </row>
    <row r="120" spans="1:94" x14ac:dyDescent="0.2">
      <c r="A120" s="155" t="s">
        <v>212</v>
      </c>
      <c r="C120" s="155" t="s">
        <v>103</v>
      </c>
      <c r="D120" s="162">
        <v>24223</v>
      </c>
      <c r="E120" s="155">
        <v>62</v>
      </c>
      <c r="G120" s="155" t="s">
        <v>103</v>
      </c>
      <c r="H120" s="162">
        <v>33900</v>
      </c>
      <c r="I120" s="155">
        <v>50</v>
      </c>
      <c r="K120" s="155" t="s">
        <v>103</v>
      </c>
      <c r="L120" s="162">
        <v>35777</v>
      </c>
      <c r="M120" s="155">
        <v>51</v>
      </c>
      <c r="O120" s="155" t="s">
        <v>103</v>
      </c>
      <c r="P120" s="162">
        <v>44808</v>
      </c>
      <c r="Q120" s="155">
        <v>47</v>
      </c>
      <c r="S120" s="155" t="s">
        <v>103</v>
      </c>
      <c r="T120" s="162">
        <v>51271</v>
      </c>
      <c r="U120" s="155">
        <v>42</v>
      </c>
      <c r="W120" s="155" t="s">
        <v>103</v>
      </c>
      <c r="X120" s="162">
        <v>60627</v>
      </c>
      <c r="Y120" s="155">
        <v>36</v>
      </c>
      <c r="AA120" s="155" t="s">
        <v>103</v>
      </c>
      <c r="AB120" s="162">
        <v>73766</v>
      </c>
      <c r="AC120" s="155">
        <v>34</v>
      </c>
      <c r="AD120" s="155">
        <v>27</v>
      </c>
      <c r="AE120" s="155" t="s">
        <v>103</v>
      </c>
      <c r="AF120" s="160">
        <v>94945</v>
      </c>
      <c r="AH120" s="155" t="s">
        <v>103</v>
      </c>
      <c r="AI120" s="155">
        <v>854.9</v>
      </c>
      <c r="AN120" s="155" t="s">
        <v>103</v>
      </c>
      <c r="AO120" s="162">
        <v>1964.5</v>
      </c>
      <c r="AP120" s="155">
        <v>14</v>
      </c>
      <c r="AR120" s="155" t="s">
        <v>103</v>
      </c>
      <c r="AS120" s="162">
        <v>1969.1935483870968</v>
      </c>
      <c r="AT120" s="155">
        <v>14</v>
      </c>
      <c r="AV120" s="155" t="s">
        <v>103</v>
      </c>
      <c r="AW120" s="162">
        <v>2275.6923076923076</v>
      </c>
      <c r="AX120" s="155">
        <v>12</v>
      </c>
      <c r="AZ120" s="155" t="s">
        <v>103</v>
      </c>
      <c r="BA120" s="162">
        <v>2387.4761904761904</v>
      </c>
      <c r="BB120" s="155">
        <v>12</v>
      </c>
      <c r="BD120" s="155" t="s">
        <v>103</v>
      </c>
      <c r="BE120" s="162">
        <v>2729.625</v>
      </c>
      <c r="BF120" s="155">
        <v>12</v>
      </c>
      <c r="BH120" s="155" t="s">
        <v>103</v>
      </c>
      <c r="BI120" s="162">
        <v>3119.818181818182</v>
      </c>
      <c r="BJ120" s="155">
        <v>11</v>
      </c>
      <c r="BL120" s="155" t="s">
        <v>103</v>
      </c>
      <c r="BM120" s="162">
        <v>3529.8333333333335</v>
      </c>
      <c r="BN120" s="155">
        <v>11</v>
      </c>
      <c r="BP120" s="155" t="s">
        <v>103</v>
      </c>
      <c r="BQ120" s="162">
        <v>70722</v>
      </c>
      <c r="BR120" s="155">
        <v>14</v>
      </c>
      <c r="BT120" s="155" t="s">
        <v>103</v>
      </c>
      <c r="BU120" s="162">
        <v>61045</v>
      </c>
      <c r="BV120" s="155">
        <v>14</v>
      </c>
      <c r="BX120" s="155" t="s">
        <v>103</v>
      </c>
      <c r="BY120" s="162">
        <v>59168</v>
      </c>
      <c r="BZ120" s="155">
        <v>12</v>
      </c>
      <c r="CB120" s="155" t="s">
        <v>103</v>
      </c>
      <c r="CC120" s="162">
        <v>50137</v>
      </c>
      <c r="CD120" s="155">
        <v>12</v>
      </c>
      <c r="CF120" s="155" t="s">
        <v>103</v>
      </c>
      <c r="CG120" s="162">
        <v>43674</v>
      </c>
      <c r="CH120" s="155">
        <v>12</v>
      </c>
      <c r="CJ120" s="155" t="s">
        <v>103</v>
      </c>
      <c r="CK120" s="162">
        <v>34318</v>
      </c>
      <c r="CL120" s="155">
        <v>11</v>
      </c>
      <c r="CN120" s="155" t="s">
        <v>103</v>
      </c>
      <c r="CO120" s="162">
        <v>21179</v>
      </c>
      <c r="CP120" s="155">
        <v>11</v>
      </c>
    </row>
    <row r="121" spans="1:94" x14ac:dyDescent="0.2">
      <c r="A121" s="155" t="s">
        <v>213</v>
      </c>
      <c r="C121" s="155" t="s">
        <v>104</v>
      </c>
      <c r="D121" s="162">
        <v>145056</v>
      </c>
      <c r="E121" s="155">
        <v>7</v>
      </c>
      <c r="G121" s="155" t="s">
        <v>104</v>
      </c>
      <c r="H121" s="162">
        <v>153400</v>
      </c>
      <c r="I121" s="155">
        <v>7</v>
      </c>
      <c r="K121" s="155" t="s">
        <v>104</v>
      </c>
      <c r="L121" s="162">
        <v>160934</v>
      </c>
      <c r="M121" s="155">
        <v>7</v>
      </c>
      <c r="O121" s="155" t="s">
        <v>104</v>
      </c>
      <c r="P121" s="162">
        <v>167134</v>
      </c>
      <c r="Q121" s="155">
        <v>7</v>
      </c>
      <c r="S121" s="155" t="s">
        <v>104</v>
      </c>
      <c r="T121" s="162">
        <v>175204</v>
      </c>
      <c r="U121" s="155">
        <v>7</v>
      </c>
      <c r="W121" s="155" t="s">
        <v>104</v>
      </c>
      <c r="X121" s="162">
        <v>192997</v>
      </c>
      <c r="Y121" s="155">
        <v>7</v>
      </c>
      <c r="AA121" s="155" t="s">
        <v>104</v>
      </c>
      <c r="AB121" s="162">
        <v>206973</v>
      </c>
      <c r="AC121" s="155">
        <v>7</v>
      </c>
      <c r="AD121" s="155">
        <v>7</v>
      </c>
      <c r="AE121" s="155" t="s">
        <v>104</v>
      </c>
      <c r="AF121" s="160">
        <v>222174</v>
      </c>
      <c r="AH121" s="155" t="s">
        <v>104</v>
      </c>
      <c r="AI121" s="155">
        <v>656.3</v>
      </c>
      <c r="AN121" s="155" t="s">
        <v>104</v>
      </c>
      <c r="AO121" s="162">
        <v>2142.1666666666665</v>
      </c>
      <c r="AP121" s="155">
        <v>11</v>
      </c>
      <c r="AR121" s="155" t="s">
        <v>104</v>
      </c>
      <c r="AS121" s="162">
        <v>2218.516129032258</v>
      </c>
      <c r="AT121" s="155">
        <v>10</v>
      </c>
      <c r="AV121" s="155" t="s">
        <v>104</v>
      </c>
      <c r="AW121" s="162">
        <v>2355.3846153846152</v>
      </c>
      <c r="AX121" s="155">
        <v>11</v>
      </c>
      <c r="AZ121" s="155" t="s">
        <v>104</v>
      </c>
      <c r="BA121" s="162">
        <v>2620.9523809523807</v>
      </c>
      <c r="BB121" s="155">
        <v>11</v>
      </c>
      <c r="BD121" s="155" t="s">
        <v>104</v>
      </c>
      <c r="BE121" s="162">
        <v>2935.625</v>
      </c>
      <c r="BF121" s="155">
        <v>11</v>
      </c>
      <c r="BH121" s="155" t="s">
        <v>104</v>
      </c>
      <c r="BI121" s="162">
        <v>2652.4545454545455</v>
      </c>
      <c r="BJ121" s="155">
        <v>12</v>
      </c>
      <c r="BL121" s="155" t="s">
        <v>104</v>
      </c>
      <c r="BM121" s="162">
        <v>2533.5</v>
      </c>
      <c r="BN121" s="155">
        <v>12</v>
      </c>
      <c r="BP121" s="155" t="s">
        <v>104</v>
      </c>
      <c r="BQ121" s="162">
        <v>77118</v>
      </c>
      <c r="BR121" s="155">
        <v>11</v>
      </c>
      <c r="BT121" s="155" t="s">
        <v>104</v>
      </c>
      <c r="BU121" s="162">
        <v>68774</v>
      </c>
      <c r="BV121" s="155">
        <v>10</v>
      </c>
      <c r="BX121" s="155" t="s">
        <v>104</v>
      </c>
      <c r="BY121" s="162">
        <v>61240</v>
      </c>
      <c r="BZ121" s="155">
        <v>11</v>
      </c>
      <c r="CB121" s="155" t="s">
        <v>104</v>
      </c>
      <c r="CC121" s="162">
        <v>55040</v>
      </c>
      <c r="CD121" s="155">
        <v>11</v>
      </c>
      <c r="CF121" s="155" t="s">
        <v>104</v>
      </c>
      <c r="CG121" s="162">
        <v>46970</v>
      </c>
      <c r="CH121" s="155">
        <v>11</v>
      </c>
      <c r="CJ121" s="155" t="s">
        <v>104</v>
      </c>
      <c r="CK121" s="162">
        <v>29177</v>
      </c>
      <c r="CL121" s="155">
        <v>12</v>
      </c>
      <c r="CN121" s="155" t="s">
        <v>104</v>
      </c>
      <c r="CO121" s="162">
        <v>15201</v>
      </c>
      <c r="CP121" s="155">
        <v>12</v>
      </c>
    </row>
    <row r="122" spans="1:94" x14ac:dyDescent="0.2">
      <c r="A122" s="155" t="s">
        <v>214</v>
      </c>
      <c r="C122" s="155" t="s">
        <v>105</v>
      </c>
      <c r="D122" s="162">
        <v>60364</v>
      </c>
      <c r="E122" s="155">
        <v>25</v>
      </c>
      <c r="G122" s="155" t="s">
        <v>105</v>
      </c>
      <c r="H122" s="162">
        <v>68400</v>
      </c>
      <c r="I122" s="155">
        <v>25</v>
      </c>
      <c r="K122" s="155" t="s">
        <v>105</v>
      </c>
      <c r="L122" s="162">
        <v>72504</v>
      </c>
      <c r="M122" s="155">
        <v>24</v>
      </c>
      <c r="O122" s="155" t="s">
        <v>105</v>
      </c>
      <c r="P122" s="162">
        <v>74448</v>
      </c>
      <c r="Q122" s="155">
        <v>27</v>
      </c>
      <c r="S122" s="155" t="s">
        <v>105</v>
      </c>
      <c r="T122" s="162">
        <v>76046</v>
      </c>
      <c r="U122" s="155">
        <v>28</v>
      </c>
      <c r="W122" s="155" t="s">
        <v>105</v>
      </c>
      <c r="X122" s="162">
        <v>83235</v>
      </c>
      <c r="Y122" s="155">
        <v>28</v>
      </c>
      <c r="AA122" s="155" t="s">
        <v>105</v>
      </c>
      <c r="AB122" s="162">
        <v>89268</v>
      </c>
      <c r="AC122" s="155">
        <v>29</v>
      </c>
      <c r="AD122" s="155">
        <v>31</v>
      </c>
      <c r="AE122" s="155" t="s">
        <v>105</v>
      </c>
      <c r="AF122" s="160">
        <v>90054</v>
      </c>
      <c r="AH122" s="155" t="s">
        <v>105</v>
      </c>
      <c r="AI122" s="155">
        <v>506.7</v>
      </c>
      <c r="AN122" s="155" t="s">
        <v>105</v>
      </c>
      <c r="AO122" s="162">
        <v>824.72222222222217</v>
      </c>
      <c r="AP122" s="155">
        <v>33</v>
      </c>
      <c r="AR122" s="155" t="s">
        <v>105</v>
      </c>
      <c r="AS122" s="162">
        <v>698.51612903225805</v>
      </c>
      <c r="AT122" s="155">
        <v>37</v>
      </c>
      <c r="AV122" s="155" t="s">
        <v>105</v>
      </c>
      <c r="AW122" s="162">
        <v>675</v>
      </c>
      <c r="AX122" s="155">
        <v>38</v>
      </c>
      <c r="AZ122" s="155" t="s">
        <v>105</v>
      </c>
      <c r="BA122" s="162">
        <v>743.14285714285711</v>
      </c>
      <c r="BB122" s="155">
        <v>36</v>
      </c>
      <c r="BD122" s="155" t="s">
        <v>105</v>
      </c>
      <c r="BE122" s="162">
        <v>875.5</v>
      </c>
      <c r="BF122" s="155">
        <v>35</v>
      </c>
      <c r="BH122" s="155" t="s">
        <v>105</v>
      </c>
      <c r="BI122" s="162">
        <v>619.90909090909088</v>
      </c>
      <c r="BJ122" s="155">
        <v>41</v>
      </c>
      <c r="BL122" s="155" t="s">
        <v>105</v>
      </c>
      <c r="BM122" s="162">
        <v>131</v>
      </c>
      <c r="BN122" s="155">
        <v>65</v>
      </c>
      <c r="BP122" s="155" t="s">
        <v>105</v>
      </c>
      <c r="BQ122" s="162">
        <v>29690</v>
      </c>
      <c r="BR122" s="155">
        <v>33</v>
      </c>
      <c r="BT122" s="155" t="s">
        <v>105</v>
      </c>
      <c r="BU122" s="162">
        <v>21654</v>
      </c>
      <c r="BV122" s="155">
        <v>37</v>
      </c>
      <c r="BX122" s="155" t="s">
        <v>105</v>
      </c>
      <c r="BY122" s="162">
        <v>17550</v>
      </c>
      <c r="BZ122" s="155">
        <v>38</v>
      </c>
      <c r="CB122" s="155" t="s">
        <v>105</v>
      </c>
      <c r="CC122" s="162">
        <v>15606</v>
      </c>
      <c r="CD122" s="155">
        <v>36</v>
      </c>
      <c r="CF122" s="155" t="s">
        <v>105</v>
      </c>
      <c r="CG122" s="162">
        <v>14008</v>
      </c>
      <c r="CH122" s="155">
        <v>35</v>
      </c>
      <c r="CJ122" s="155" t="s">
        <v>105</v>
      </c>
      <c r="CK122" s="162">
        <v>6819</v>
      </c>
      <c r="CL122" s="155">
        <v>41</v>
      </c>
      <c r="CN122" s="155" t="s">
        <v>105</v>
      </c>
      <c r="CO122" s="162">
        <v>786</v>
      </c>
      <c r="CP122" s="155">
        <v>67</v>
      </c>
    </row>
    <row r="123" spans="1:94" x14ac:dyDescent="0.2">
      <c r="A123" s="155" t="s">
        <v>215</v>
      </c>
      <c r="C123" s="155" t="s">
        <v>106</v>
      </c>
      <c r="D123" s="162">
        <v>74629</v>
      </c>
      <c r="E123" s="155">
        <v>18</v>
      </c>
      <c r="G123" s="155" t="s">
        <v>106</v>
      </c>
      <c r="H123" s="162">
        <v>80000</v>
      </c>
      <c r="I123" s="155">
        <v>19</v>
      </c>
      <c r="K123" s="155" t="s">
        <v>106</v>
      </c>
      <c r="L123" s="162">
        <v>85895</v>
      </c>
      <c r="M123" s="155">
        <v>19</v>
      </c>
      <c r="O123" s="155" t="s">
        <v>106</v>
      </c>
      <c r="P123" s="162">
        <v>92230</v>
      </c>
      <c r="Q123" s="155">
        <v>19</v>
      </c>
      <c r="S123" s="155" t="s">
        <v>106</v>
      </c>
      <c r="T123" s="162">
        <v>99590</v>
      </c>
      <c r="U123" s="155">
        <v>19</v>
      </c>
      <c r="W123" s="155" t="s">
        <v>106</v>
      </c>
      <c r="X123" s="162">
        <v>111484</v>
      </c>
      <c r="Y123" s="155">
        <v>19</v>
      </c>
      <c r="AA123" s="155" t="s">
        <v>106</v>
      </c>
      <c r="AB123" s="162">
        <v>132243</v>
      </c>
      <c r="AC123" s="155">
        <v>14</v>
      </c>
      <c r="AD123" s="155">
        <v>11</v>
      </c>
      <c r="AE123" s="155" t="s">
        <v>106</v>
      </c>
      <c r="AF123" s="160">
        <v>156395</v>
      </c>
      <c r="AH123" s="155" t="s">
        <v>106</v>
      </c>
      <c r="AI123" s="155">
        <v>364.4</v>
      </c>
      <c r="AN123" s="155" t="s">
        <v>106</v>
      </c>
      <c r="AO123" s="162">
        <v>2271.2777777777778</v>
      </c>
      <c r="AP123" s="155">
        <v>10</v>
      </c>
      <c r="AR123" s="155" t="s">
        <v>106</v>
      </c>
      <c r="AS123" s="162">
        <v>2464.3548387096776</v>
      </c>
      <c r="AT123" s="155">
        <v>9</v>
      </c>
      <c r="AV123" s="155" t="s">
        <v>106</v>
      </c>
      <c r="AW123" s="162">
        <v>2711.5384615384614</v>
      </c>
      <c r="AX123" s="155">
        <v>9</v>
      </c>
      <c r="AZ123" s="155" t="s">
        <v>106</v>
      </c>
      <c r="BA123" s="162">
        <v>3055.4761904761904</v>
      </c>
      <c r="BB123" s="155">
        <v>9</v>
      </c>
      <c r="BD123" s="155" t="s">
        <v>106</v>
      </c>
      <c r="BE123" s="162">
        <v>3550.3125</v>
      </c>
      <c r="BF123" s="155">
        <v>9</v>
      </c>
      <c r="BH123" s="155" t="s">
        <v>106</v>
      </c>
      <c r="BI123" s="162">
        <v>4082.818181818182</v>
      </c>
      <c r="BJ123" s="155">
        <v>6</v>
      </c>
      <c r="BL123" s="155" t="s">
        <v>106</v>
      </c>
      <c r="BM123" s="162">
        <v>4025.3333333333335</v>
      </c>
      <c r="BN123" s="155">
        <v>7</v>
      </c>
      <c r="BP123" s="155" t="s">
        <v>106</v>
      </c>
      <c r="BQ123" s="162">
        <v>81766</v>
      </c>
      <c r="BR123" s="155">
        <v>10</v>
      </c>
      <c r="BT123" s="155" t="s">
        <v>106</v>
      </c>
      <c r="BU123" s="162">
        <v>76395</v>
      </c>
      <c r="BV123" s="155">
        <v>9</v>
      </c>
      <c r="BX123" s="155" t="s">
        <v>106</v>
      </c>
      <c r="BY123" s="162">
        <v>70500</v>
      </c>
      <c r="BZ123" s="155">
        <v>9</v>
      </c>
      <c r="CB123" s="155" t="s">
        <v>106</v>
      </c>
      <c r="CC123" s="162">
        <v>64165</v>
      </c>
      <c r="CD123" s="155">
        <v>9</v>
      </c>
      <c r="CF123" s="155" t="s">
        <v>106</v>
      </c>
      <c r="CG123" s="162">
        <v>56805</v>
      </c>
      <c r="CH123" s="155">
        <v>9</v>
      </c>
      <c r="CJ123" s="155" t="s">
        <v>106</v>
      </c>
      <c r="CK123" s="162">
        <v>44911</v>
      </c>
      <c r="CL123" s="155">
        <v>6</v>
      </c>
      <c r="CN123" s="155" t="s">
        <v>106</v>
      </c>
      <c r="CO123" s="162">
        <v>24152</v>
      </c>
      <c r="CP123" s="155">
        <v>7</v>
      </c>
    </row>
    <row r="124" spans="1:94" x14ac:dyDescent="0.2">
      <c r="A124" s="155" t="s">
        <v>216</v>
      </c>
      <c r="C124" s="155" t="s">
        <v>107</v>
      </c>
      <c r="D124" s="162">
        <v>56699</v>
      </c>
      <c r="E124" s="155">
        <v>29</v>
      </c>
      <c r="G124" s="155" t="s">
        <v>107</v>
      </c>
      <c r="H124" s="162">
        <v>63000</v>
      </c>
      <c r="I124" s="155">
        <v>28</v>
      </c>
      <c r="K124" s="155" t="s">
        <v>107</v>
      </c>
      <c r="L124" s="162">
        <v>67746</v>
      </c>
      <c r="M124" s="155">
        <v>28</v>
      </c>
      <c r="O124" s="155" t="s">
        <v>107</v>
      </c>
      <c r="P124" s="162">
        <v>69940</v>
      </c>
      <c r="Q124" s="155">
        <v>29</v>
      </c>
      <c r="S124" s="155" t="s">
        <v>107</v>
      </c>
      <c r="T124" s="162">
        <v>70846</v>
      </c>
      <c r="U124" s="155">
        <v>29</v>
      </c>
      <c r="W124" s="155" t="s">
        <v>107</v>
      </c>
      <c r="X124" s="162">
        <v>73822</v>
      </c>
      <c r="Y124" s="155">
        <v>31</v>
      </c>
      <c r="AA124" s="155" t="s">
        <v>107</v>
      </c>
      <c r="AB124" s="162">
        <v>77614</v>
      </c>
      <c r="AC124" s="155">
        <v>31</v>
      </c>
      <c r="AD124" s="155">
        <v>33</v>
      </c>
      <c r="AE124" s="155" t="s">
        <v>107</v>
      </c>
      <c r="AF124" s="160">
        <v>79841</v>
      </c>
      <c r="AH124" s="155" t="s">
        <v>107</v>
      </c>
      <c r="AI124" s="155">
        <v>471.7</v>
      </c>
      <c r="AN124" s="155" t="s">
        <v>107</v>
      </c>
      <c r="AO124" s="162">
        <v>642.83333333333337</v>
      </c>
      <c r="AP124" s="155">
        <v>40</v>
      </c>
      <c r="AR124" s="155" t="s">
        <v>107</v>
      </c>
      <c r="AS124" s="162">
        <v>543.25806451612902</v>
      </c>
      <c r="AT124" s="155">
        <v>43</v>
      </c>
      <c r="AV124" s="155" t="s">
        <v>107</v>
      </c>
      <c r="AW124" s="162">
        <v>465.19230769230768</v>
      </c>
      <c r="AX124" s="155">
        <v>47</v>
      </c>
      <c r="AZ124" s="155" t="s">
        <v>107</v>
      </c>
      <c r="BA124" s="162">
        <v>471.47619047619048</v>
      </c>
      <c r="BB124" s="155">
        <v>49</v>
      </c>
      <c r="BD124" s="155" t="s">
        <v>107</v>
      </c>
      <c r="BE124" s="162">
        <v>562.1875</v>
      </c>
      <c r="BF124" s="155">
        <v>46</v>
      </c>
      <c r="BH124" s="155" t="s">
        <v>107</v>
      </c>
      <c r="BI124" s="162">
        <v>547.18181818181813</v>
      </c>
      <c r="BJ124" s="155">
        <v>44</v>
      </c>
      <c r="BL124" s="155" t="s">
        <v>107</v>
      </c>
      <c r="BM124" s="162">
        <v>371.16666666666669</v>
      </c>
      <c r="BN124" s="155">
        <v>46</v>
      </c>
      <c r="BP124" s="155" t="s">
        <v>107</v>
      </c>
      <c r="BQ124" s="162">
        <v>23142</v>
      </c>
      <c r="BR124" s="155">
        <v>40</v>
      </c>
      <c r="BT124" s="155" t="s">
        <v>107</v>
      </c>
      <c r="BU124" s="162">
        <v>16841</v>
      </c>
      <c r="BV124" s="155">
        <v>43</v>
      </c>
      <c r="BX124" s="155" t="s">
        <v>107</v>
      </c>
      <c r="BY124" s="162">
        <v>12095</v>
      </c>
      <c r="BZ124" s="155">
        <v>48</v>
      </c>
      <c r="CB124" s="155" t="s">
        <v>107</v>
      </c>
      <c r="CC124" s="162">
        <v>9901</v>
      </c>
      <c r="CD124" s="155">
        <v>49</v>
      </c>
      <c r="CF124" s="155" t="s">
        <v>107</v>
      </c>
      <c r="CG124" s="162">
        <v>8995</v>
      </c>
      <c r="CH124" s="155">
        <v>46</v>
      </c>
      <c r="CJ124" s="155" t="s">
        <v>107</v>
      </c>
      <c r="CK124" s="162">
        <v>6019</v>
      </c>
      <c r="CL124" s="155">
        <v>45</v>
      </c>
      <c r="CN124" s="155" t="s">
        <v>107</v>
      </c>
      <c r="CO124" s="162">
        <v>2227</v>
      </c>
      <c r="CP124" s="155">
        <v>47</v>
      </c>
    </row>
    <row r="125" spans="1:94" x14ac:dyDescent="0.2">
      <c r="A125" s="155" t="s">
        <v>217</v>
      </c>
      <c r="C125" s="155" t="s">
        <v>108</v>
      </c>
      <c r="D125" s="162">
        <v>5453</v>
      </c>
      <c r="E125" s="155">
        <v>98</v>
      </c>
      <c r="G125" s="155" t="s">
        <v>108</v>
      </c>
      <c r="H125" s="162">
        <v>5800</v>
      </c>
      <c r="I125" s="155">
        <v>97</v>
      </c>
      <c r="K125" s="155" t="s">
        <v>108</v>
      </c>
      <c r="L125" s="162">
        <v>5829</v>
      </c>
      <c r="M125" s="155">
        <v>99</v>
      </c>
      <c r="O125" s="155" t="s">
        <v>108</v>
      </c>
      <c r="P125" s="162">
        <v>5597</v>
      </c>
      <c r="Q125" s="155">
        <v>99</v>
      </c>
      <c r="S125" s="155" t="s">
        <v>108</v>
      </c>
      <c r="T125" s="162">
        <v>5937</v>
      </c>
      <c r="U125" s="155">
        <v>98</v>
      </c>
      <c r="W125" s="155" t="s">
        <v>108</v>
      </c>
      <c r="X125" s="162">
        <v>6366</v>
      </c>
      <c r="Y125" s="155">
        <v>98</v>
      </c>
      <c r="AA125" s="155" t="s">
        <v>108</v>
      </c>
      <c r="AB125" s="162">
        <v>6929</v>
      </c>
      <c r="AC125" s="155">
        <v>98</v>
      </c>
      <c r="AD125" s="155">
        <v>97</v>
      </c>
      <c r="AE125" s="155" t="s">
        <v>108</v>
      </c>
      <c r="AF125" s="160">
        <v>9271</v>
      </c>
      <c r="AH125" s="155" t="s">
        <v>108</v>
      </c>
      <c r="AI125" s="155">
        <v>240.7</v>
      </c>
      <c r="AN125" s="155" t="s">
        <v>108</v>
      </c>
      <c r="AO125" s="162">
        <v>106.05555555555556</v>
      </c>
      <c r="AP125" s="155">
        <v>83</v>
      </c>
      <c r="AR125" s="155" t="s">
        <v>108</v>
      </c>
      <c r="AS125" s="162">
        <v>111.96774193548387</v>
      </c>
      <c r="AT125" s="155">
        <v>78</v>
      </c>
      <c r="AV125" s="155" t="s">
        <v>108</v>
      </c>
      <c r="AW125" s="162">
        <v>132.38461538461539</v>
      </c>
      <c r="AX125" s="155">
        <v>72</v>
      </c>
      <c r="AZ125" s="155" t="s">
        <v>108</v>
      </c>
      <c r="BA125" s="162">
        <v>174.95238095238096</v>
      </c>
      <c r="BB125" s="155">
        <v>71</v>
      </c>
      <c r="BD125" s="155" t="s">
        <v>108</v>
      </c>
      <c r="BE125" s="162">
        <v>208.375</v>
      </c>
      <c r="BF125" s="155">
        <v>70</v>
      </c>
      <c r="BH125" s="155" t="s">
        <v>108</v>
      </c>
      <c r="BI125" s="162">
        <v>264.09090909090907</v>
      </c>
      <c r="BJ125" s="155">
        <v>60</v>
      </c>
      <c r="BL125" s="155" t="s">
        <v>108</v>
      </c>
      <c r="BM125" s="162">
        <v>390.33333333333331</v>
      </c>
      <c r="BN125" s="155">
        <v>43</v>
      </c>
      <c r="BP125" s="155" t="s">
        <v>108</v>
      </c>
      <c r="BQ125" s="162">
        <v>3818</v>
      </c>
      <c r="BR125" s="155">
        <v>83</v>
      </c>
      <c r="BT125" s="155" t="s">
        <v>108</v>
      </c>
      <c r="BU125" s="162">
        <v>3471</v>
      </c>
      <c r="BV125" s="155">
        <v>79</v>
      </c>
      <c r="BX125" s="155" t="s">
        <v>108</v>
      </c>
      <c r="BY125" s="162">
        <v>3442</v>
      </c>
      <c r="BZ125" s="155">
        <v>73</v>
      </c>
      <c r="CB125" s="155" t="s">
        <v>108</v>
      </c>
      <c r="CC125" s="162">
        <v>3674</v>
      </c>
      <c r="CD125" s="155">
        <v>71</v>
      </c>
      <c r="CF125" s="155" t="s">
        <v>108</v>
      </c>
      <c r="CG125" s="162">
        <v>3334</v>
      </c>
      <c r="CH125" s="155">
        <v>70</v>
      </c>
      <c r="CJ125" s="155" t="s">
        <v>108</v>
      </c>
      <c r="CK125" s="162">
        <v>2905</v>
      </c>
      <c r="CL125" s="155">
        <v>62</v>
      </c>
      <c r="CN125" s="155" t="s">
        <v>108</v>
      </c>
      <c r="CO125" s="162">
        <v>2342</v>
      </c>
      <c r="CP125" s="155">
        <v>44</v>
      </c>
    </row>
    <row r="126" spans="1:94" x14ac:dyDescent="0.2">
      <c r="A126" s="155" t="s">
        <v>218</v>
      </c>
      <c r="C126" s="155" t="s">
        <v>109</v>
      </c>
      <c r="D126" s="162">
        <v>31603</v>
      </c>
      <c r="E126" s="155">
        <v>50</v>
      </c>
      <c r="G126" s="155" t="s">
        <v>109</v>
      </c>
      <c r="H126" s="162">
        <v>37400</v>
      </c>
      <c r="I126" s="155">
        <v>48</v>
      </c>
      <c r="K126" s="155" t="s">
        <v>109</v>
      </c>
      <c r="L126" s="162">
        <v>41092</v>
      </c>
      <c r="M126" s="155">
        <v>46</v>
      </c>
      <c r="O126" s="155" t="s">
        <v>109</v>
      </c>
      <c r="P126" s="162">
        <v>48320</v>
      </c>
      <c r="Q126" s="155">
        <v>43</v>
      </c>
      <c r="S126" s="155" t="s">
        <v>109</v>
      </c>
      <c r="T126" s="162">
        <v>52687</v>
      </c>
      <c r="U126" s="155">
        <v>40</v>
      </c>
      <c r="W126" s="155" t="s">
        <v>109</v>
      </c>
      <c r="X126" s="162">
        <v>57035</v>
      </c>
      <c r="Y126" s="155">
        <v>41</v>
      </c>
      <c r="AA126" s="155" t="s">
        <v>109</v>
      </c>
      <c r="AB126" s="162">
        <v>59403</v>
      </c>
      <c r="AC126" s="155">
        <v>41</v>
      </c>
      <c r="AD126" s="155">
        <v>39</v>
      </c>
      <c r="AE126" s="155" t="s">
        <v>109</v>
      </c>
      <c r="AF126" s="160">
        <v>63584</v>
      </c>
      <c r="AH126" s="155" t="s">
        <v>109</v>
      </c>
      <c r="AI126" s="155">
        <v>531.4</v>
      </c>
      <c r="AN126" s="155" t="s">
        <v>109</v>
      </c>
      <c r="AO126" s="162">
        <v>888.36111111111109</v>
      </c>
      <c r="AP126" s="155">
        <v>30</v>
      </c>
      <c r="AR126" s="155" t="s">
        <v>109</v>
      </c>
      <c r="AS126" s="162">
        <v>844.64516129032256</v>
      </c>
      <c r="AT126" s="155">
        <v>32</v>
      </c>
      <c r="AV126" s="155" t="s">
        <v>109</v>
      </c>
      <c r="AW126" s="162">
        <v>865.07692307692309</v>
      </c>
      <c r="AX126" s="155">
        <v>33</v>
      </c>
      <c r="AZ126" s="155" t="s">
        <v>109</v>
      </c>
      <c r="BA126" s="162">
        <v>726.85714285714289</v>
      </c>
      <c r="BB126" s="155">
        <v>38</v>
      </c>
      <c r="BD126" s="155" t="s">
        <v>109</v>
      </c>
      <c r="BE126" s="162">
        <v>681.0625</v>
      </c>
      <c r="BF126" s="155">
        <v>41</v>
      </c>
      <c r="BH126" s="155" t="s">
        <v>109</v>
      </c>
      <c r="BI126" s="162">
        <v>595.36363636363637</v>
      </c>
      <c r="BJ126" s="155">
        <v>42</v>
      </c>
      <c r="BL126" s="155" t="s">
        <v>109</v>
      </c>
      <c r="BM126" s="162">
        <v>696.83333333333337</v>
      </c>
      <c r="BN126" s="155">
        <v>36</v>
      </c>
      <c r="BP126" s="155" t="s">
        <v>109</v>
      </c>
      <c r="BQ126" s="162">
        <v>31981</v>
      </c>
      <c r="BR126" s="155">
        <v>30</v>
      </c>
      <c r="BT126" s="155" t="s">
        <v>109</v>
      </c>
      <c r="BU126" s="162">
        <v>26184</v>
      </c>
      <c r="BV126" s="155">
        <v>32</v>
      </c>
      <c r="BX126" s="155" t="s">
        <v>109</v>
      </c>
      <c r="BY126" s="162">
        <v>22492</v>
      </c>
      <c r="BZ126" s="155">
        <v>33</v>
      </c>
      <c r="CB126" s="155" t="s">
        <v>109</v>
      </c>
      <c r="CC126" s="162">
        <v>15264</v>
      </c>
      <c r="CD126" s="155">
        <v>38</v>
      </c>
      <c r="CF126" s="155" t="s">
        <v>109</v>
      </c>
      <c r="CG126" s="162">
        <v>10897</v>
      </c>
      <c r="CH126" s="155">
        <v>41</v>
      </c>
      <c r="CJ126" s="155" t="s">
        <v>109</v>
      </c>
      <c r="CK126" s="162">
        <v>6549</v>
      </c>
      <c r="CL126" s="155">
        <v>42</v>
      </c>
      <c r="CN126" s="155" t="s">
        <v>109</v>
      </c>
      <c r="CO126" s="162">
        <v>4181</v>
      </c>
      <c r="CP126" s="155">
        <v>36</v>
      </c>
    </row>
    <row r="127" spans="1:94" x14ac:dyDescent="0.2">
      <c r="A127" s="155" t="s">
        <v>219</v>
      </c>
      <c r="C127" s="155" t="s">
        <v>110</v>
      </c>
      <c r="D127" s="162">
        <v>19055</v>
      </c>
      <c r="E127" s="155">
        <v>73</v>
      </c>
      <c r="G127" s="155" t="s">
        <v>110</v>
      </c>
      <c r="H127" s="162">
        <v>20400</v>
      </c>
      <c r="I127" s="155">
        <v>74</v>
      </c>
      <c r="K127" s="155" t="s">
        <v>110</v>
      </c>
      <c r="L127" s="162">
        <v>20705</v>
      </c>
      <c r="M127" s="155">
        <v>75</v>
      </c>
      <c r="O127" s="155" t="s">
        <v>110</v>
      </c>
      <c r="P127" s="162">
        <v>21577</v>
      </c>
      <c r="Q127" s="155">
        <v>76</v>
      </c>
      <c r="S127" s="155" t="s">
        <v>110</v>
      </c>
      <c r="T127" s="162">
        <v>20671</v>
      </c>
      <c r="U127" s="155">
        <v>77</v>
      </c>
      <c r="W127" s="155" t="s">
        <v>110</v>
      </c>
      <c r="X127" s="162">
        <v>21790</v>
      </c>
      <c r="Y127" s="155">
        <v>77</v>
      </c>
      <c r="AA127" s="155" t="s">
        <v>110</v>
      </c>
      <c r="AB127" s="162">
        <v>23550</v>
      </c>
      <c r="AC127" s="155">
        <v>76</v>
      </c>
      <c r="AD127" s="155">
        <v>78</v>
      </c>
      <c r="AE127" s="155" t="s">
        <v>110</v>
      </c>
      <c r="AF127" s="160">
        <v>23546</v>
      </c>
      <c r="AH127" s="155" t="s">
        <v>110</v>
      </c>
      <c r="AI127" s="155">
        <v>425.7</v>
      </c>
      <c r="AN127" s="155" t="s">
        <v>110</v>
      </c>
      <c r="AO127" s="162">
        <v>124.75</v>
      </c>
      <c r="AP127" s="155">
        <v>78</v>
      </c>
      <c r="AR127" s="155" t="s">
        <v>110</v>
      </c>
      <c r="AS127" s="162">
        <v>101.48387096774194</v>
      </c>
      <c r="AT127" s="155">
        <v>84</v>
      </c>
      <c r="AV127" s="155" t="s">
        <v>110</v>
      </c>
      <c r="AW127" s="162">
        <v>109.26923076923077</v>
      </c>
      <c r="AX127" s="155">
        <v>79</v>
      </c>
      <c r="AZ127" s="155" t="s">
        <v>110</v>
      </c>
      <c r="BA127" s="162">
        <v>93.761904761904759</v>
      </c>
      <c r="BB127" s="155">
        <v>81</v>
      </c>
      <c r="BD127" s="155" t="s">
        <v>110</v>
      </c>
      <c r="BE127" s="162">
        <v>179.6875</v>
      </c>
      <c r="BF127" s="155">
        <v>74</v>
      </c>
      <c r="BH127" s="155" t="s">
        <v>110</v>
      </c>
      <c r="BI127" s="162">
        <v>159.63636363636363</v>
      </c>
      <c r="BJ127" s="155">
        <v>76</v>
      </c>
      <c r="BL127" s="155" t="s">
        <v>110</v>
      </c>
      <c r="BM127" s="162">
        <v>-0.66666666666666663</v>
      </c>
      <c r="BN127" s="155">
        <v>84</v>
      </c>
      <c r="BP127" s="155" t="s">
        <v>110</v>
      </c>
      <c r="BQ127" s="162">
        <v>4491</v>
      </c>
      <c r="BR127" s="155">
        <v>78</v>
      </c>
      <c r="BT127" s="155" t="s">
        <v>110</v>
      </c>
      <c r="BU127" s="162">
        <v>3146</v>
      </c>
      <c r="BV127" s="155">
        <v>84</v>
      </c>
      <c r="BX127" s="155" t="s">
        <v>110</v>
      </c>
      <c r="BY127" s="162">
        <v>2841</v>
      </c>
      <c r="BZ127" s="155">
        <v>80</v>
      </c>
      <c r="CB127" s="155" t="s">
        <v>110</v>
      </c>
      <c r="CC127" s="162">
        <v>1969</v>
      </c>
      <c r="CD127" s="155">
        <v>82</v>
      </c>
      <c r="CF127" s="155" t="s">
        <v>110</v>
      </c>
      <c r="CG127" s="162">
        <v>2875</v>
      </c>
      <c r="CH127" s="155">
        <v>75</v>
      </c>
      <c r="CJ127" s="155" t="s">
        <v>110</v>
      </c>
      <c r="CK127" s="162">
        <v>1756</v>
      </c>
      <c r="CL127" s="155">
        <v>78</v>
      </c>
      <c r="CN127" s="155" t="s">
        <v>110</v>
      </c>
      <c r="CO127" s="162">
        <v>-4</v>
      </c>
      <c r="CP127" s="155">
        <v>84</v>
      </c>
    </row>
    <row r="128" spans="1:94" x14ac:dyDescent="0.2">
      <c r="A128" s="155" t="s">
        <v>220</v>
      </c>
      <c r="C128" s="155" t="s">
        <v>111</v>
      </c>
      <c r="D128" s="162">
        <v>90873</v>
      </c>
      <c r="E128" s="155">
        <v>12</v>
      </c>
      <c r="G128" s="155" t="s">
        <v>111</v>
      </c>
      <c r="H128" s="162">
        <v>99100</v>
      </c>
      <c r="I128" s="155">
        <v>11</v>
      </c>
      <c r="K128" s="155" t="s">
        <v>111</v>
      </c>
      <c r="L128" s="162">
        <v>105208</v>
      </c>
      <c r="M128" s="155">
        <v>11</v>
      </c>
      <c r="O128" s="155" t="s">
        <v>111</v>
      </c>
      <c r="P128" s="162">
        <v>112094</v>
      </c>
      <c r="Q128" s="155">
        <v>11</v>
      </c>
      <c r="S128" s="155" t="s">
        <v>111</v>
      </c>
      <c r="T128" s="162">
        <v>118945</v>
      </c>
      <c r="U128" s="155">
        <v>12</v>
      </c>
      <c r="W128" s="155" t="s">
        <v>111</v>
      </c>
      <c r="X128" s="162">
        <v>129003</v>
      </c>
      <c r="Y128" s="155">
        <v>12</v>
      </c>
      <c r="AA128" s="155" t="s">
        <v>111</v>
      </c>
      <c r="AB128" s="162">
        <v>142488</v>
      </c>
      <c r="AC128" s="155">
        <v>12</v>
      </c>
      <c r="AD128" s="155">
        <v>13</v>
      </c>
      <c r="AE128" s="155" t="s">
        <v>111</v>
      </c>
      <c r="AF128" s="160">
        <v>153784</v>
      </c>
      <c r="AH128" s="155" t="s">
        <v>111</v>
      </c>
      <c r="AI128" s="155">
        <v>400</v>
      </c>
      <c r="AN128" s="155" t="s">
        <v>111</v>
      </c>
      <c r="AO128" s="162">
        <v>1747.5277777777778</v>
      </c>
      <c r="AP128" s="155">
        <v>16</v>
      </c>
      <c r="AR128" s="155" t="s">
        <v>111</v>
      </c>
      <c r="AS128" s="162">
        <v>1764</v>
      </c>
      <c r="AT128" s="155">
        <v>16</v>
      </c>
      <c r="AV128" s="155" t="s">
        <v>111</v>
      </c>
      <c r="AW128" s="162">
        <v>1868.3076923076924</v>
      </c>
      <c r="AX128" s="155">
        <v>16</v>
      </c>
      <c r="AZ128" s="155" t="s">
        <v>111</v>
      </c>
      <c r="BA128" s="162">
        <v>1985.2380952380952</v>
      </c>
      <c r="BB128" s="155">
        <v>16</v>
      </c>
      <c r="BD128" s="155" t="s">
        <v>111</v>
      </c>
      <c r="BE128" s="162">
        <v>2177.4375</v>
      </c>
      <c r="BF128" s="155">
        <v>15</v>
      </c>
      <c r="BH128" s="155" t="s">
        <v>111</v>
      </c>
      <c r="BI128" s="162">
        <v>2252.818181818182</v>
      </c>
      <c r="BJ128" s="155">
        <v>14</v>
      </c>
      <c r="BL128" s="155" t="s">
        <v>111</v>
      </c>
      <c r="BM128" s="162">
        <v>1882.6666666666667</v>
      </c>
      <c r="BN128" s="155">
        <v>15</v>
      </c>
      <c r="BP128" s="155" t="s">
        <v>111</v>
      </c>
      <c r="BQ128" s="162">
        <v>62911</v>
      </c>
      <c r="BR128" s="155">
        <v>16</v>
      </c>
      <c r="BT128" s="155" t="s">
        <v>111</v>
      </c>
      <c r="BU128" s="162">
        <v>54684</v>
      </c>
      <c r="BV128" s="155">
        <v>16</v>
      </c>
      <c r="BX128" s="155" t="s">
        <v>111</v>
      </c>
      <c r="BY128" s="162">
        <v>48576</v>
      </c>
      <c r="BZ128" s="155">
        <v>16</v>
      </c>
      <c r="CB128" s="155" t="s">
        <v>111</v>
      </c>
      <c r="CC128" s="162">
        <v>41690</v>
      </c>
      <c r="CD128" s="155">
        <v>16</v>
      </c>
      <c r="CF128" s="155" t="s">
        <v>111</v>
      </c>
      <c r="CG128" s="162">
        <v>34839</v>
      </c>
      <c r="CH128" s="155">
        <v>15</v>
      </c>
      <c r="CJ128" s="155" t="s">
        <v>111</v>
      </c>
      <c r="CK128" s="162">
        <v>24781</v>
      </c>
      <c r="CL128" s="155">
        <v>14</v>
      </c>
      <c r="CN128" s="155" t="s">
        <v>111</v>
      </c>
      <c r="CO128" s="162">
        <v>11296</v>
      </c>
      <c r="CP128" s="155">
        <v>15</v>
      </c>
    </row>
    <row r="129" spans="1:94" x14ac:dyDescent="0.2">
      <c r="A129" s="155" t="s">
        <v>221</v>
      </c>
      <c r="C129" s="155" t="s">
        <v>112</v>
      </c>
      <c r="D129" s="162">
        <v>29554</v>
      </c>
      <c r="E129" s="155">
        <v>53</v>
      </c>
      <c r="G129" s="155" t="s">
        <v>112</v>
      </c>
      <c r="H129" s="162">
        <v>31100</v>
      </c>
      <c r="I129" s="155">
        <v>54</v>
      </c>
      <c r="K129" s="155" t="s">
        <v>112</v>
      </c>
      <c r="L129" s="162">
        <v>33415</v>
      </c>
      <c r="M129" s="155">
        <v>54</v>
      </c>
      <c r="O129" s="155" t="s">
        <v>112</v>
      </c>
      <c r="P129" s="162">
        <v>35811</v>
      </c>
      <c r="Q129" s="155">
        <v>54</v>
      </c>
      <c r="S129" s="155" t="s">
        <v>112</v>
      </c>
      <c r="T129" s="162">
        <v>39216</v>
      </c>
      <c r="U129" s="155">
        <v>51</v>
      </c>
      <c r="W129" s="155" t="s">
        <v>112</v>
      </c>
      <c r="X129" s="162">
        <v>43886</v>
      </c>
      <c r="Y129" s="155">
        <v>51</v>
      </c>
      <c r="AA129" s="155" t="s">
        <v>112</v>
      </c>
      <c r="AB129" s="162">
        <v>49724</v>
      </c>
      <c r="AC129" s="155">
        <v>47</v>
      </c>
      <c r="AD129" s="155">
        <v>41</v>
      </c>
      <c r="AE129" s="155" t="s">
        <v>112</v>
      </c>
      <c r="AF129" s="160">
        <v>60052</v>
      </c>
      <c r="AH129" s="155" t="s">
        <v>112</v>
      </c>
      <c r="AI129" s="155">
        <v>683.1</v>
      </c>
      <c r="AN129" s="155" t="s">
        <v>112</v>
      </c>
      <c r="AO129" s="162">
        <v>847.16666666666663</v>
      </c>
      <c r="AP129" s="155">
        <v>31</v>
      </c>
      <c r="AR129" s="155" t="s">
        <v>112</v>
      </c>
      <c r="AS129" s="162">
        <v>933.93548387096769</v>
      </c>
      <c r="AT129" s="155">
        <v>28</v>
      </c>
      <c r="AV129" s="155" t="s">
        <v>112</v>
      </c>
      <c r="AW129" s="162">
        <v>1024.5</v>
      </c>
      <c r="AX129" s="155">
        <v>28</v>
      </c>
      <c r="AZ129" s="155" t="s">
        <v>112</v>
      </c>
      <c r="BA129" s="162">
        <v>1154.3333333333333</v>
      </c>
      <c r="BB129" s="155">
        <v>27</v>
      </c>
      <c r="BD129" s="155" t="s">
        <v>112</v>
      </c>
      <c r="BE129" s="162">
        <v>1302.25</v>
      </c>
      <c r="BF129" s="155">
        <v>27</v>
      </c>
      <c r="BH129" s="155" t="s">
        <v>112</v>
      </c>
      <c r="BI129" s="162">
        <v>1469.6363636363637</v>
      </c>
      <c r="BJ129" s="155">
        <v>21</v>
      </c>
      <c r="BL129" s="155" t="s">
        <v>112</v>
      </c>
      <c r="BM129" s="162">
        <v>1721.3333333333333</v>
      </c>
      <c r="BN129" s="155">
        <v>17</v>
      </c>
      <c r="BP129" s="155" t="s">
        <v>112</v>
      </c>
      <c r="BQ129" s="162">
        <v>30498</v>
      </c>
      <c r="BR129" s="155">
        <v>31</v>
      </c>
      <c r="BT129" s="155" t="s">
        <v>112</v>
      </c>
      <c r="BU129" s="162">
        <v>28952</v>
      </c>
      <c r="BV129" s="155">
        <v>28</v>
      </c>
      <c r="BX129" s="155" t="s">
        <v>112</v>
      </c>
      <c r="BY129" s="162">
        <v>26637</v>
      </c>
      <c r="BZ129" s="155">
        <v>28</v>
      </c>
      <c r="CB129" s="155" t="s">
        <v>112</v>
      </c>
      <c r="CC129" s="162">
        <v>24241</v>
      </c>
      <c r="CD129" s="155">
        <v>27</v>
      </c>
      <c r="CF129" s="155" t="s">
        <v>112</v>
      </c>
      <c r="CG129" s="162">
        <v>20836</v>
      </c>
      <c r="CH129" s="155">
        <v>27</v>
      </c>
      <c r="CJ129" s="155" t="s">
        <v>112</v>
      </c>
      <c r="CK129" s="162">
        <v>16166</v>
      </c>
      <c r="CL129" s="155">
        <v>21</v>
      </c>
      <c r="CN129" s="155" t="s">
        <v>112</v>
      </c>
      <c r="CO129" s="162">
        <v>10328</v>
      </c>
      <c r="CP129" s="155">
        <v>17</v>
      </c>
    </row>
    <row r="130" spans="1:94" x14ac:dyDescent="0.2">
      <c r="A130" s="155" t="s">
        <v>222</v>
      </c>
      <c r="C130" s="155" t="s">
        <v>113</v>
      </c>
      <c r="D130" s="162">
        <v>16330</v>
      </c>
      <c r="E130" s="155">
        <v>77</v>
      </c>
      <c r="G130" s="155" t="s">
        <v>113</v>
      </c>
      <c r="H130" s="162">
        <v>17700</v>
      </c>
      <c r="I130" s="155">
        <v>78</v>
      </c>
      <c r="K130" s="155" t="s">
        <v>113</v>
      </c>
      <c r="L130" s="162">
        <v>18933</v>
      </c>
      <c r="M130" s="155">
        <v>78</v>
      </c>
      <c r="O130" s="155" t="s">
        <v>113</v>
      </c>
      <c r="P130" s="162">
        <v>19675</v>
      </c>
      <c r="Q130" s="155">
        <v>78</v>
      </c>
      <c r="S130" s="155" t="s">
        <v>113</v>
      </c>
      <c r="T130" s="162">
        <v>20226</v>
      </c>
      <c r="U130" s="155">
        <v>79</v>
      </c>
      <c r="W130" s="155" t="s">
        <v>113</v>
      </c>
      <c r="X130" s="162">
        <v>21980</v>
      </c>
      <c r="Y130" s="155">
        <v>76</v>
      </c>
      <c r="AA130" s="155" t="s">
        <v>113</v>
      </c>
      <c r="AB130" s="162">
        <v>24390</v>
      </c>
      <c r="AC130" s="155">
        <v>75</v>
      </c>
      <c r="AD130" s="155">
        <v>72</v>
      </c>
      <c r="AE130" s="155" t="s">
        <v>113</v>
      </c>
      <c r="AF130" s="160">
        <v>26309</v>
      </c>
      <c r="AH130" s="155" t="s">
        <v>113</v>
      </c>
      <c r="AI130" s="155">
        <v>455.2</v>
      </c>
      <c r="AN130" s="155" t="s">
        <v>113</v>
      </c>
      <c r="AO130" s="162">
        <v>277.19444444444446</v>
      </c>
      <c r="AP130" s="155">
        <v>66</v>
      </c>
      <c r="AR130" s="155" t="s">
        <v>113</v>
      </c>
      <c r="AS130" s="162">
        <v>277.70967741935482</v>
      </c>
      <c r="AT130" s="155">
        <v>63</v>
      </c>
      <c r="AV130" s="155" t="s">
        <v>113</v>
      </c>
      <c r="AW130" s="162">
        <v>283.69230769230768</v>
      </c>
      <c r="AX130" s="155">
        <v>61</v>
      </c>
      <c r="AZ130" s="155" t="s">
        <v>113</v>
      </c>
      <c r="BA130" s="162">
        <v>315.90476190476193</v>
      </c>
      <c r="BB130" s="155">
        <v>60</v>
      </c>
      <c r="BD130" s="155" t="s">
        <v>113</v>
      </c>
      <c r="BE130" s="162">
        <v>380.1875</v>
      </c>
      <c r="BF130" s="155">
        <v>58</v>
      </c>
      <c r="BH130" s="155" t="s">
        <v>113</v>
      </c>
      <c r="BI130" s="162">
        <v>393.54545454545456</v>
      </c>
      <c r="BJ130" s="155">
        <v>55</v>
      </c>
      <c r="BL130" s="155" t="s">
        <v>113</v>
      </c>
      <c r="BM130" s="162">
        <v>319.83333333333331</v>
      </c>
      <c r="BN130" s="155">
        <v>47</v>
      </c>
      <c r="BP130" s="155" t="s">
        <v>113</v>
      </c>
      <c r="BQ130" s="162">
        <v>9979</v>
      </c>
      <c r="BR130" s="155">
        <v>66</v>
      </c>
      <c r="BT130" s="155" t="s">
        <v>113</v>
      </c>
      <c r="BU130" s="162">
        <v>8609</v>
      </c>
      <c r="BV130" s="155">
        <v>63</v>
      </c>
      <c r="BX130" s="155" t="s">
        <v>113</v>
      </c>
      <c r="BY130" s="162">
        <v>7376</v>
      </c>
      <c r="BZ130" s="155">
        <v>62</v>
      </c>
      <c r="CB130" s="155" t="s">
        <v>113</v>
      </c>
      <c r="CC130" s="162">
        <v>6634</v>
      </c>
      <c r="CD130" s="155">
        <v>62</v>
      </c>
      <c r="CF130" s="155" t="s">
        <v>113</v>
      </c>
      <c r="CG130" s="162">
        <v>6083</v>
      </c>
      <c r="CH130" s="155">
        <v>60</v>
      </c>
      <c r="CJ130" s="155" t="s">
        <v>113</v>
      </c>
      <c r="CK130" s="162">
        <v>4329</v>
      </c>
      <c r="CL130" s="155">
        <v>57</v>
      </c>
      <c r="CN130" s="155" t="s">
        <v>113</v>
      </c>
      <c r="CO130" s="162">
        <v>1919</v>
      </c>
      <c r="CP130" s="155">
        <v>48</v>
      </c>
    </row>
    <row r="131" spans="1:94" x14ac:dyDescent="0.2">
      <c r="A131" s="155" t="s">
        <v>223</v>
      </c>
      <c r="C131" s="155" t="s">
        <v>114</v>
      </c>
      <c r="D131" s="162">
        <v>10764</v>
      </c>
      <c r="E131" s="155">
        <v>87</v>
      </c>
      <c r="G131" s="155" t="s">
        <v>114</v>
      </c>
      <c r="H131" s="162">
        <v>11400</v>
      </c>
      <c r="I131" s="155">
        <v>87</v>
      </c>
      <c r="K131" s="155" t="s">
        <v>114</v>
      </c>
      <c r="L131" s="162">
        <v>12558</v>
      </c>
      <c r="M131" s="155">
        <v>88</v>
      </c>
      <c r="O131" s="155" t="s">
        <v>114</v>
      </c>
      <c r="P131" s="162">
        <v>13056</v>
      </c>
      <c r="Q131" s="155">
        <v>88</v>
      </c>
      <c r="S131" s="155" t="s">
        <v>114</v>
      </c>
      <c r="T131" s="162">
        <v>13540</v>
      </c>
      <c r="U131" s="155">
        <v>89</v>
      </c>
      <c r="W131" s="155" t="s">
        <v>114</v>
      </c>
      <c r="X131" s="162">
        <v>14090</v>
      </c>
      <c r="Y131" s="155">
        <v>89</v>
      </c>
      <c r="AA131" s="155" t="s">
        <v>114</v>
      </c>
      <c r="AB131" s="162">
        <v>14121</v>
      </c>
      <c r="AC131" s="155">
        <v>88</v>
      </c>
      <c r="AD131" s="155">
        <v>88</v>
      </c>
      <c r="AE131" s="155" t="s">
        <v>114</v>
      </c>
      <c r="AF131" s="160">
        <v>14695</v>
      </c>
      <c r="AH131" s="155" t="s">
        <v>114</v>
      </c>
      <c r="AI131" s="155">
        <v>172.6</v>
      </c>
      <c r="AN131" s="155" t="s">
        <v>114</v>
      </c>
      <c r="AO131" s="162">
        <v>109.19444444444444</v>
      </c>
      <c r="AP131" s="155">
        <v>82</v>
      </c>
      <c r="AR131" s="155" t="s">
        <v>114</v>
      </c>
      <c r="AS131" s="162">
        <v>106.29032258064517</v>
      </c>
      <c r="AT131" s="155">
        <v>80</v>
      </c>
      <c r="AV131" s="155" t="s">
        <v>114</v>
      </c>
      <c r="AW131" s="162">
        <v>82.192307692307693</v>
      </c>
      <c r="AX131" s="155">
        <v>84</v>
      </c>
      <c r="AZ131" s="155" t="s">
        <v>114</v>
      </c>
      <c r="BA131" s="162">
        <v>78.047619047619051</v>
      </c>
      <c r="BB131" s="155">
        <v>84</v>
      </c>
      <c r="BD131" s="155" t="s">
        <v>114</v>
      </c>
      <c r="BE131" s="162">
        <v>72.1875</v>
      </c>
      <c r="BF131" s="155">
        <v>88</v>
      </c>
      <c r="BH131" s="155" t="s">
        <v>114</v>
      </c>
      <c r="BI131" s="162">
        <v>55</v>
      </c>
      <c r="BJ131" s="155">
        <v>89</v>
      </c>
      <c r="BL131" s="155" t="s">
        <v>114</v>
      </c>
      <c r="BM131" s="162">
        <v>95.666666666666671</v>
      </c>
      <c r="BN131" s="155">
        <v>71</v>
      </c>
      <c r="BP131" s="155" t="s">
        <v>114</v>
      </c>
      <c r="BQ131" s="162">
        <v>3931</v>
      </c>
      <c r="BR131" s="155">
        <v>82</v>
      </c>
      <c r="BT131" s="155" t="s">
        <v>114</v>
      </c>
      <c r="BU131" s="162">
        <v>3295</v>
      </c>
      <c r="BV131" s="155">
        <v>80</v>
      </c>
      <c r="BX131" s="155" t="s">
        <v>114</v>
      </c>
      <c r="BY131" s="162">
        <v>2137</v>
      </c>
      <c r="BZ131" s="155">
        <v>84</v>
      </c>
      <c r="CB131" s="155" t="s">
        <v>114</v>
      </c>
      <c r="CC131" s="162">
        <v>1639</v>
      </c>
      <c r="CD131" s="155">
        <v>84</v>
      </c>
      <c r="CF131" s="155" t="s">
        <v>114</v>
      </c>
      <c r="CG131" s="162">
        <v>1155</v>
      </c>
      <c r="CH131" s="155">
        <v>88</v>
      </c>
      <c r="CJ131" s="155" t="s">
        <v>114</v>
      </c>
      <c r="CK131" s="162">
        <v>605</v>
      </c>
      <c r="CL131" s="155">
        <v>89</v>
      </c>
      <c r="CN131" s="155" t="s">
        <v>114</v>
      </c>
      <c r="CO131" s="162">
        <v>574</v>
      </c>
      <c r="CP131" s="155">
        <v>74</v>
      </c>
    </row>
    <row r="132" spans="1:94" x14ac:dyDescent="0.2">
      <c r="A132" s="155" t="s">
        <v>224</v>
      </c>
      <c r="C132" s="155" t="s">
        <v>115</v>
      </c>
      <c r="D132" s="162">
        <v>5180</v>
      </c>
      <c r="E132" s="155">
        <v>99</v>
      </c>
      <c r="G132" s="155" t="s">
        <v>115</v>
      </c>
      <c r="H132" s="162">
        <v>5800</v>
      </c>
      <c r="I132" s="155">
        <v>98</v>
      </c>
      <c r="K132" s="155" t="s">
        <v>115</v>
      </c>
      <c r="L132" s="162">
        <v>6619</v>
      </c>
      <c r="M132" s="155">
        <v>97</v>
      </c>
      <c r="O132" s="155" t="s">
        <v>115</v>
      </c>
      <c r="P132" s="162">
        <v>7005</v>
      </c>
      <c r="Q132" s="155">
        <v>97</v>
      </c>
      <c r="S132" s="155" t="s">
        <v>115</v>
      </c>
      <c r="T132" s="162">
        <v>7167</v>
      </c>
      <c r="U132" s="155">
        <v>97</v>
      </c>
      <c r="W132" s="155" t="s">
        <v>115</v>
      </c>
      <c r="X132" s="162">
        <v>7889</v>
      </c>
      <c r="Y132" s="155">
        <v>96</v>
      </c>
      <c r="AA132" s="155" t="s">
        <v>115</v>
      </c>
      <c r="AB132" s="162">
        <v>8817</v>
      </c>
      <c r="AC132" s="155">
        <v>96</v>
      </c>
      <c r="AD132" s="155">
        <v>96</v>
      </c>
      <c r="AE132" s="155" t="s">
        <v>115</v>
      </c>
      <c r="AF132" s="160">
        <v>10008</v>
      </c>
      <c r="AH132" s="155" t="s">
        <v>115</v>
      </c>
      <c r="AI132" s="155">
        <v>214.7</v>
      </c>
      <c r="AN132" s="155" t="s">
        <v>115</v>
      </c>
      <c r="AO132" s="162">
        <v>134.11111111111111</v>
      </c>
      <c r="AP132" s="155">
        <v>76</v>
      </c>
      <c r="AR132" s="155" t="s">
        <v>115</v>
      </c>
      <c r="AS132" s="162">
        <v>135.74193548387098</v>
      </c>
      <c r="AT132" s="155">
        <v>74</v>
      </c>
      <c r="AV132" s="155" t="s">
        <v>115</v>
      </c>
      <c r="AW132" s="162">
        <v>130.34615384615384</v>
      </c>
      <c r="AX132" s="155">
        <v>73</v>
      </c>
      <c r="AZ132" s="155" t="s">
        <v>115</v>
      </c>
      <c r="BA132" s="162">
        <v>143</v>
      </c>
      <c r="BB132" s="155">
        <v>74</v>
      </c>
      <c r="BD132" s="155" t="s">
        <v>115</v>
      </c>
      <c r="BE132" s="162">
        <v>177.5625</v>
      </c>
      <c r="BF132" s="155">
        <v>75</v>
      </c>
      <c r="BH132" s="155" t="s">
        <v>115</v>
      </c>
      <c r="BI132" s="162">
        <v>192.63636363636363</v>
      </c>
      <c r="BJ132" s="155">
        <v>71</v>
      </c>
      <c r="BL132" s="155" t="s">
        <v>115</v>
      </c>
      <c r="BM132" s="162">
        <v>198.5</v>
      </c>
      <c r="BN132" s="155">
        <v>55</v>
      </c>
      <c r="BP132" s="155" t="s">
        <v>115</v>
      </c>
      <c r="BQ132" s="162">
        <v>4828</v>
      </c>
      <c r="BR132" s="155">
        <v>76</v>
      </c>
      <c r="BT132" s="155" t="s">
        <v>115</v>
      </c>
      <c r="BU132" s="162">
        <v>4208</v>
      </c>
      <c r="BV132" s="155">
        <v>74</v>
      </c>
      <c r="BX132" s="155" t="s">
        <v>115</v>
      </c>
      <c r="BY132" s="162">
        <v>3389</v>
      </c>
      <c r="BZ132" s="155">
        <v>74</v>
      </c>
      <c r="CB132" s="155" t="s">
        <v>115</v>
      </c>
      <c r="CC132" s="162">
        <v>3003</v>
      </c>
      <c r="CD132" s="155">
        <v>75</v>
      </c>
      <c r="CF132" s="155" t="s">
        <v>115</v>
      </c>
      <c r="CG132" s="162">
        <v>2841</v>
      </c>
      <c r="CH132" s="155">
        <v>76</v>
      </c>
      <c r="CJ132" s="155" t="s">
        <v>115</v>
      </c>
      <c r="CK132" s="162">
        <v>2119</v>
      </c>
      <c r="CL132" s="155">
        <v>74</v>
      </c>
      <c r="CN132" s="155" t="s">
        <v>115</v>
      </c>
      <c r="CO132" s="162">
        <v>1191</v>
      </c>
      <c r="CP132" s="155">
        <v>56</v>
      </c>
    </row>
    <row r="133" spans="1:94" x14ac:dyDescent="0.2">
      <c r="A133" s="155" t="s">
        <v>225</v>
      </c>
      <c r="C133" s="155" t="s">
        <v>116</v>
      </c>
      <c r="D133" s="162">
        <v>72556</v>
      </c>
      <c r="E133" s="155">
        <v>20</v>
      </c>
      <c r="G133" s="155" t="s">
        <v>116</v>
      </c>
      <c r="H133" s="162">
        <v>80300</v>
      </c>
      <c r="I133" s="155">
        <v>18</v>
      </c>
      <c r="K133" s="155" t="s">
        <v>116</v>
      </c>
      <c r="L133" s="162">
        <v>83435</v>
      </c>
      <c r="M133" s="155">
        <v>20</v>
      </c>
      <c r="O133" s="155" t="s">
        <v>116</v>
      </c>
      <c r="P133" s="162">
        <v>84172</v>
      </c>
      <c r="Q133" s="155">
        <v>22</v>
      </c>
      <c r="S133" s="155" t="s">
        <v>116</v>
      </c>
      <c r="T133" s="162">
        <v>85221</v>
      </c>
      <c r="U133" s="155">
        <v>23</v>
      </c>
      <c r="W133" s="155" t="s">
        <v>116</v>
      </c>
      <c r="X133" s="162">
        <v>90738</v>
      </c>
      <c r="Y133" s="155">
        <v>24</v>
      </c>
      <c r="AA133" s="155" t="s">
        <v>116</v>
      </c>
      <c r="AB133" s="162">
        <v>96577</v>
      </c>
      <c r="AC133" s="155">
        <v>24</v>
      </c>
      <c r="AD133" s="155">
        <v>26</v>
      </c>
      <c r="AE133" s="155" t="s">
        <v>116</v>
      </c>
      <c r="AF133" s="160">
        <v>98373</v>
      </c>
      <c r="AH133" s="155" t="s">
        <v>116</v>
      </c>
      <c r="AI133" s="155">
        <v>464.3</v>
      </c>
      <c r="AN133" s="155" t="s">
        <v>116</v>
      </c>
      <c r="AO133" s="162">
        <v>717.13888888888891</v>
      </c>
      <c r="AP133" s="155">
        <v>39</v>
      </c>
      <c r="AR133" s="155" t="s">
        <v>116</v>
      </c>
      <c r="AS133" s="162">
        <v>583</v>
      </c>
      <c r="AT133" s="155">
        <v>41</v>
      </c>
      <c r="AV133" s="155" t="s">
        <v>116</v>
      </c>
      <c r="AW133" s="162">
        <v>574.53846153846155</v>
      </c>
      <c r="AX133" s="155">
        <v>41</v>
      </c>
      <c r="AZ133" s="155" t="s">
        <v>116</v>
      </c>
      <c r="BA133" s="162">
        <v>676.23809523809518</v>
      </c>
      <c r="BB133" s="155">
        <v>40</v>
      </c>
      <c r="BD133" s="155" t="s">
        <v>116</v>
      </c>
      <c r="BE133" s="162">
        <v>822</v>
      </c>
      <c r="BF133" s="155">
        <v>36</v>
      </c>
      <c r="BH133" s="155" t="s">
        <v>116</v>
      </c>
      <c r="BI133" s="162">
        <v>694.09090909090912</v>
      </c>
      <c r="BJ133" s="155">
        <v>39</v>
      </c>
      <c r="BL133" s="155" t="s">
        <v>116</v>
      </c>
      <c r="BM133" s="162">
        <v>299.33333333333331</v>
      </c>
      <c r="BN133" s="155">
        <v>48</v>
      </c>
      <c r="BP133" s="155" t="s">
        <v>116</v>
      </c>
      <c r="BQ133" s="162">
        <v>25817</v>
      </c>
      <c r="BR133" s="155">
        <v>39</v>
      </c>
      <c r="BT133" s="155" t="s">
        <v>116</v>
      </c>
      <c r="BU133" s="162">
        <v>18073</v>
      </c>
      <c r="BV133" s="155">
        <v>41</v>
      </c>
      <c r="BX133" s="155" t="s">
        <v>116</v>
      </c>
      <c r="BY133" s="162">
        <v>14938</v>
      </c>
      <c r="BZ133" s="155">
        <v>41</v>
      </c>
      <c r="CB133" s="155" t="s">
        <v>116</v>
      </c>
      <c r="CC133" s="162">
        <v>14201</v>
      </c>
      <c r="CD133" s="155">
        <v>40</v>
      </c>
      <c r="CF133" s="155" t="s">
        <v>116</v>
      </c>
      <c r="CG133" s="162">
        <v>13152</v>
      </c>
      <c r="CH133" s="155">
        <v>36</v>
      </c>
      <c r="CJ133" s="155" t="s">
        <v>116</v>
      </c>
      <c r="CK133" s="162">
        <v>7635</v>
      </c>
      <c r="CL133" s="155">
        <v>39</v>
      </c>
      <c r="CN133" s="155" t="s">
        <v>116</v>
      </c>
      <c r="CO133" s="162">
        <v>1796</v>
      </c>
      <c r="CP133" s="155">
        <v>49</v>
      </c>
    </row>
    <row r="134" spans="1:94" x14ac:dyDescent="0.2">
      <c r="A134" s="155" t="s">
        <v>226</v>
      </c>
      <c r="C134" s="155" t="s">
        <v>117</v>
      </c>
      <c r="D134" s="162">
        <v>46937</v>
      </c>
      <c r="E134" s="155">
        <v>38</v>
      </c>
      <c r="G134" s="155" t="s">
        <v>117</v>
      </c>
      <c r="H134" s="162">
        <v>49900</v>
      </c>
      <c r="I134" s="155">
        <v>39</v>
      </c>
      <c r="K134" s="155" t="s">
        <v>117</v>
      </c>
      <c r="L134" s="162">
        <v>51037</v>
      </c>
      <c r="M134" s="155">
        <v>39</v>
      </c>
      <c r="O134" s="155" t="s">
        <v>117</v>
      </c>
      <c r="P134" s="162">
        <v>50675</v>
      </c>
      <c r="Q134" s="155">
        <v>40</v>
      </c>
      <c r="S134" s="155" t="s">
        <v>117</v>
      </c>
      <c r="T134" s="162">
        <v>49559</v>
      </c>
      <c r="U134" s="155">
        <v>44</v>
      </c>
      <c r="W134" s="155" t="s">
        <v>117</v>
      </c>
      <c r="X134" s="162">
        <v>52177</v>
      </c>
      <c r="Y134" s="155">
        <v>45</v>
      </c>
      <c r="AA134" s="155" t="s">
        <v>117</v>
      </c>
      <c r="AB134" s="162">
        <v>54761</v>
      </c>
      <c r="AC134" s="155">
        <v>45</v>
      </c>
      <c r="AD134" s="155">
        <v>48</v>
      </c>
      <c r="AE134" s="155" t="s">
        <v>117</v>
      </c>
      <c r="AF134" s="160">
        <v>54637</v>
      </c>
      <c r="AH134" s="155" t="s">
        <v>117</v>
      </c>
      <c r="AI134" s="155">
        <v>936.8</v>
      </c>
      <c r="AN134" s="155" t="s">
        <v>117</v>
      </c>
      <c r="AO134" s="162">
        <v>213.88888888888889</v>
      </c>
      <c r="AP134" s="155">
        <v>68</v>
      </c>
      <c r="AR134" s="155" t="s">
        <v>117</v>
      </c>
      <c r="AS134" s="162">
        <v>152.80645161290323</v>
      </c>
      <c r="AT134" s="155">
        <v>71</v>
      </c>
      <c r="AV134" s="155" t="s">
        <v>117</v>
      </c>
      <c r="AW134" s="162">
        <v>138.46153846153845</v>
      </c>
      <c r="AX134" s="155">
        <v>70</v>
      </c>
      <c r="AZ134" s="155" t="s">
        <v>117</v>
      </c>
      <c r="BA134" s="162">
        <v>188.66666666666666</v>
      </c>
      <c r="BB134" s="155">
        <v>70</v>
      </c>
      <c r="BD134" s="155" t="s">
        <v>117</v>
      </c>
      <c r="BE134" s="162">
        <v>317.375</v>
      </c>
      <c r="BF134" s="155">
        <v>60</v>
      </c>
      <c r="BH134" s="155" t="s">
        <v>117</v>
      </c>
      <c r="BI134" s="162">
        <v>223.63636363636363</v>
      </c>
      <c r="BJ134" s="155">
        <v>66</v>
      </c>
      <c r="BL134" s="155" t="s">
        <v>117</v>
      </c>
      <c r="BM134" s="162">
        <v>-20.666666666666668</v>
      </c>
      <c r="BN134" s="155">
        <v>88</v>
      </c>
      <c r="BP134" s="155" t="s">
        <v>117</v>
      </c>
      <c r="BQ134" s="162">
        <v>7700</v>
      </c>
      <c r="BR134" s="155">
        <v>68</v>
      </c>
      <c r="BT134" s="155" t="s">
        <v>117</v>
      </c>
      <c r="BU134" s="162">
        <v>4737</v>
      </c>
      <c r="BV134" s="155">
        <v>71</v>
      </c>
      <c r="BX134" s="155" t="s">
        <v>117</v>
      </c>
      <c r="BY134" s="162">
        <v>3600</v>
      </c>
      <c r="BZ134" s="155">
        <v>70</v>
      </c>
      <c r="CB134" s="155" t="s">
        <v>117</v>
      </c>
      <c r="CC134" s="162">
        <v>3962</v>
      </c>
      <c r="CD134" s="155">
        <v>70</v>
      </c>
      <c r="CF134" s="155" t="s">
        <v>117</v>
      </c>
      <c r="CG134" s="162">
        <v>5078</v>
      </c>
      <c r="CH134" s="155">
        <v>62</v>
      </c>
      <c r="CJ134" s="155" t="s">
        <v>117</v>
      </c>
      <c r="CK134" s="162">
        <v>2460</v>
      </c>
      <c r="CL134" s="155">
        <v>68</v>
      </c>
      <c r="CN134" s="155" t="s">
        <v>117</v>
      </c>
      <c r="CO134" s="162">
        <v>-124</v>
      </c>
      <c r="CP134" s="155">
        <v>88</v>
      </c>
    </row>
    <row r="135" spans="1:94" x14ac:dyDescent="0.2">
      <c r="A135" s="155" t="s">
        <v>227</v>
      </c>
      <c r="C135" s="155" t="s">
        <v>118</v>
      </c>
      <c r="D135" s="162">
        <v>62554</v>
      </c>
      <c r="E135" s="155">
        <v>23</v>
      </c>
      <c r="G135" s="155" t="s">
        <v>118</v>
      </c>
      <c r="H135" s="162">
        <v>69500</v>
      </c>
      <c r="I135" s="155">
        <v>23</v>
      </c>
      <c r="K135" s="155" t="s">
        <v>118</v>
      </c>
      <c r="L135" s="162">
        <v>71043</v>
      </c>
      <c r="M135" s="155">
        <v>25</v>
      </c>
      <c r="O135" s="155" t="s">
        <v>118</v>
      </c>
      <c r="P135" s="162">
        <v>79439</v>
      </c>
      <c r="Q135" s="155">
        <v>24</v>
      </c>
      <c r="S135" s="155" t="s">
        <v>118</v>
      </c>
      <c r="T135" s="162">
        <v>82131</v>
      </c>
      <c r="U135" s="155">
        <v>25</v>
      </c>
      <c r="W135" s="155" t="s">
        <v>118</v>
      </c>
      <c r="X135" s="162">
        <v>85998</v>
      </c>
      <c r="Y135" s="155">
        <v>26</v>
      </c>
      <c r="AA135" s="155" t="s">
        <v>118</v>
      </c>
      <c r="AB135" s="162">
        <v>91660</v>
      </c>
      <c r="AC135" s="155">
        <v>26</v>
      </c>
      <c r="AD135" s="155">
        <v>28</v>
      </c>
      <c r="AE135" s="155" t="s">
        <v>118</v>
      </c>
      <c r="AF135" s="160">
        <v>94875</v>
      </c>
      <c r="AH135" s="155" t="s">
        <v>118</v>
      </c>
      <c r="AI135" s="155">
        <v>695.6</v>
      </c>
      <c r="AN135" s="155" t="s">
        <v>118</v>
      </c>
      <c r="AO135" s="162">
        <v>897.80555555555554</v>
      </c>
      <c r="AP135" s="155">
        <v>29</v>
      </c>
      <c r="AR135" s="155" t="s">
        <v>118</v>
      </c>
      <c r="AS135" s="162">
        <v>818.54838709677415</v>
      </c>
      <c r="AT135" s="155">
        <v>33</v>
      </c>
      <c r="AV135" s="155" t="s">
        <v>118</v>
      </c>
      <c r="AW135" s="162">
        <v>916.61538461538464</v>
      </c>
      <c r="AX135" s="155">
        <v>32</v>
      </c>
      <c r="AZ135" s="155" t="s">
        <v>118</v>
      </c>
      <c r="BA135" s="162">
        <v>735.04761904761904</v>
      </c>
      <c r="BB135" s="155">
        <v>37</v>
      </c>
      <c r="BD135" s="155" t="s">
        <v>118</v>
      </c>
      <c r="BE135" s="162">
        <v>796.5</v>
      </c>
      <c r="BF135" s="155">
        <v>37</v>
      </c>
      <c r="BH135" s="155" t="s">
        <v>118</v>
      </c>
      <c r="BI135" s="162">
        <v>807</v>
      </c>
      <c r="BJ135" s="155">
        <v>34</v>
      </c>
      <c r="BL135" s="155" t="s">
        <v>118</v>
      </c>
      <c r="BM135" s="162">
        <v>535.83333333333337</v>
      </c>
      <c r="BN135" s="155">
        <v>40</v>
      </c>
      <c r="BP135" s="155" t="s">
        <v>118</v>
      </c>
      <c r="BQ135" s="162">
        <v>32321</v>
      </c>
      <c r="BR135" s="155">
        <v>29</v>
      </c>
      <c r="BT135" s="155" t="s">
        <v>118</v>
      </c>
      <c r="BU135" s="162">
        <v>25375</v>
      </c>
      <c r="BV135" s="155">
        <v>33</v>
      </c>
      <c r="BX135" s="155" t="s">
        <v>118</v>
      </c>
      <c r="BY135" s="162">
        <v>23832</v>
      </c>
      <c r="BZ135" s="155">
        <v>32</v>
      </c>
      <c r="CB135" s="155" t="s">
        <v>118</v>
      </c>
      <c r="CC135" s="162">
        <v>15436</v>
      </c>
      <c r="CD135" s="155">
        <v>37</v>
      </c>
      <c r="CF135" s="155" t="s">
        <v>118</v>
      </c>
      <c r="CG135" s="162">
        <v>12744</v>
      </c>
      <c r="CH135" s="155">
        <v>37</v>
      </c>
      <c r="CJ135" s="155" t="s">
        <v>118</v>
      </c>
      <c r="CK135" s="162">
        <v>8877</v>
      </c>
      <c r="CL135" s="155">
        <v>34</v>
      </c>
      <c r="CN135" s="155" t="s">
        <v>118</v>
      </c>
      <c r="CO135" s="162">
        <v>3215</v>
      </c>
      <c r="CP135" s="155">
        <v>40</v>
      </c>
    </row>
    <row r="136" spans="1:94" x14ac:dyDescent="0.2">
      <c r="A136" s="155" t="s">
        <v>228</v>
      </c>
      <c r="C136" s="155" t="s">
        <v>119</v>
      </c>
      <c r="D136" s="162">
        <v>212042</v>
      </c>
      <c r="E136" s="155">
        <v>5</v>
      </c>
      <c r="G136" s="155" t="s">
        <v>119</v>
      </c>
      <c r="H136" s="162">
        <v>233800</v>
      </c>
      <c r="I136" s="155">
        <v>4</v>
      </c>
      <c r="K136" s="155" t="s">
        <v>119</v>
      </c>
      <c r="L136" s="162">
        <v>247160</v>
      </c>
      <c r="M136" s="155">
        <v>4</v>
      </c>
      <c r="O136" s="155" t="s">
        <v>119</v>
      </c>
      <c r="P136" s="162">
        <v>261674</v>
      </c>
      <c r="Q136" s="155">
        <v>4</v>
      </c>
      <c r="S136" s="155" t="s">
        <v>119</v>
      </c>
      <c r="T136" s="162">
        <v>275834</v>
      </c>
      <c r="U136" s="155">
        <v>4</v>
      </c>
      <c r="W136" s="155" t="s">
        <v>119</v>
      </c>
      <c r="X136" s="162">
        <v>294091</v>
      </c>
      <c r="Y136" s="155">
        <v>4</v>
      </c>
      <c r="AA136" s="155" t="s">
        <v>119</v>
      </c>
      <c r="AB136" s="162">
        <v>302814</v>
      </c>
      <c r="AC136" s="155">
        <v>5</v>
      </c>
      <c r="AD136" s="155">
        <v>5</v>
      </c>
      <c r="AE136" s="155" t="s">
        <v>119</v>
      </c>
      <c r="AF136" s="160">
        <v>299060</v>
      </c>
      <c r="AH136" s="155" t="s">
        <v>119</v>
      </c>
      <c r="AI136" s="155">
        <v>653.1</v>
      </c>
      <c r="AN136" s="155" t="s">
        <v>119</v>
      </c>
      <c r="AO136" s="162">
        <v>2417.1666666666665</v>
      </c>
      <c r="AP136" s="155">
        <v>9</v>
      </c>
      <c r="AR136" s="155" t="s">
        <v>119</v>
      </c>
      <c r="AS136" s="162">
        <v>2105.1612903225805</v>
      </c>
      <c r="AT136" s="155">
        <v>13</v>
      </c>
      <c r="AV136" s="155" t="s">
        <v>119</v>
      </c>
      <c r="AW136" s="162">
        <v>1996.1538461538462</v>
      </c>
      <c r="AX136" s="155">
        <v>14</v>
      </c>
      <c r="AZ136" s="155" t="s">
        <v>119</v>
      </c>
      <c r="BA136" s="162">
        <v>1780.2857142857142</v>
      </c>
      <c r="BB136" s="155">
        <v>18</v>
      </c>
      <c r="BD136" s="155" t="s">
        <v>119</v>
      </c>
      <c r="BE136" s="162">
        <v>1451.625</v>
      </c>
      <c r="BF136" s="155">
        <v>25</v>
      </c>
      <c r="BH136" s="155" t="s">
        <v>119</v>
      </c>
      <c r="BI136" s="162">
        <v>451.72727272727275</v>
      </c>
      <c r="BJ136" s="155">
        <v>51</v>
      </c>
      <c r="BL136" s="155" t="s">
        <v>119</v>
      </c>
      <c r="BM136" s="162">
        <v>-625.66666666666663</v>
      </c>
      <c r="BN136" s="155">
        <v>100</v>
      </c>
      <c r="BP136" s="155" t="s">
        <v>119</v>
      </c>
      <c r="BQ136" s="162">
        <v>87018</v>
      </c>
      <c r="BR136" s="155">
        <v>9</v>
      </c>
      <c r="BT136" s="155" t="s">
        <v>119</v>
      </c>
      <c r="BU136" s="162">
        <v>65260</v>
      </c>
      <c r="BV136" s="155">
        <v>13</v>
      </c>
      <c r="BX136" s="155" t="s">
        <v>119</v>
      </c>
      <c r="BY136" s="162">
        <v>51900</v>
      </c>
      <c r="BZ136" s="155">
        <v>14</v>
      </c>
      <c r="CB136" s="155" t="s">
        <v>119</v>
      </c>
      <c r="CC136" s="162">
        <v>37386</v>
      </c>
      <c r="CD136" s="155">
        <v>18</v>
      </c>
      <c r="CF136" s="155" t="s">
        <v>119</v>
      </c>
      <c r="CG136" s="162">
        <v>23226</v>
      </c>
      <c r="CH136" s="155">
        <v>25</v>
      </c>
      <c r="CJ136" s="155" t="s">
        <v>119</v>
      </c>
      <c r="CK136" s="162">
        <v>4969</v>
      </c>
      <c r="CL136" s="155">
        <v>53</v>
      </c>
      <c r="CN136" s="155" t="s">
        <v>119</v>
      </c>
      <c r="CO136" s="162">
        <v>-3754</v>
      </c>
      <c r="CP136" s="155">
        <v>100</v>
      </c>
    </row>
    <row r="137" spans="1:94" x14ac:dyDescent="0.2">
      <c r="A137" s="155" t="s">
        <v>229</v>
      </c>
      <c r="C137" s="155" t="s">
        <v>120</v>
      </c>
      <c r="D137" s="162">
        <v>6976</v>
      </c>
      <c r="E137" s="155">
        <v>95</v>
      </c>
      <c r="G137" s="155" t="s">
        <v>120</v>
      </c>
      <c r="H137" s="162">
        <v>10000</v>
      </c>
      <c r="I137" s="155">
        <v>88</v>
      </c>
      <c r="K137" s="155" t="s">
        <v>120</v>
      </c>
      <c r="L137" s="162">
        <v>11089</v>
      </c>
      <c r="M137" s="155">
        <v>89</v>
      </c>
      <c r="O137" s="155" t="s">
        <v>120</v>
      </c>
      <c r="P137" s="162">
        <v>12545</v>
      </c>
      <c r="Q137" s="155">
        <v>89</v>
      </c>
      <c r="S137" s="155" t="s">
        <v>120</v>
      </c>
      <c r="T137" s="162">
        <v>13799</v>
      </c>
      <c r="U137" s="155">
        <v>88</v>
      </c>
      <c r="W137" s="155" t="s">
        <v>120</v>
      </c>
      <c r="X137" s="162">
        <v>16047</v>
      </c>
      <c r="Y137" s="155">
        <v>85</v>
      </c>
      <c r="AA137" s="155" t="s">
        <v>120</v>
      </c>
      <c r="AB137" s="162">
        <v>18341</v>
      </c>
      <c r="AC137" s="155">
        <v>84</v>
      </c>
      <c r="AD137" s="155">
        <v>76</v>
      </c>
      <c r="AE137" s="155" t="s">
        <v>120</v>
      </c>
      <c r="AF137" s="160">
        <v>23770</v>
      </c>
      <c r="AH137" s="155" t="s">
        <v>120</v>
      </c>
      <c r="AI137" s="155">
        <v>261.7</v>
      </c>
      <c r="AN137" s="155" t="s">
        <v>120</v>
      </c>
      <c r="AO137" s="162">
        <v>466.5</v>
      </c>
      <c r="AP137" s="155">
        <v>50</v>
      </c>
      <c r="AR137" s="155" t="s">
        <v>120</v>
      </c>
      <c r="AS137" s="162">
        <v>444.19354838709677</v>
      </c>
      <c r="AT137" s="155">
        <v>47</v>
      </c>
      <c r="AV137" s="155" t="s">
        <v>120</v>
      </c>
      <c r="AW137" s="162">
        <v>487.73076923076923</v>
      </c>
      <c r="AX137" s="155">
        <v>46</v>
      </c>
      <c r="AZ137" s="155" t="s">
        <v>120</v>
      </c>
      <c r="BA137" s="162">
        <v>534.52380952380952</v>
      </c>
      <c r="BB137" s="155">
        <v>46</v>
      </c>
      <c r="BD137" s="155" t="s">
        <v>120</v>
      </c>
      <c r="BE137" s="162">
        <v>623.1875</v>
      </c>
      <c r="BF137" s="155">
        <v>44</v>
      </c>
      <c r="BH137" s="155" t="s">
        <v>120</v>
      </c>
      <c r="BI137" s="162">
        <v>702.09090909090912</v>
      </c>
      <c r="BJ137" s="155">
        <v>38</v>
      </c>
      <c r="BL137" s="155" t="s">
        <v>120</v>
      </c>
      <c r="BM137" s="162">
        <v>904.83333333333337</v>
      </c>
      <c r="BN137" s="155">
        <v>31</v>
      </c>
      <c r="BP137" s="155" t="s">
        <v>120</v>
      </c>
      <c r="BQ137" s="162">
        <v>16794</v>
      </c>
      <c r="BR137" s="155">
        <v>50</v>
      </c>
      <c r="BT137" s="155" t="s">
        <v>120</v>
      </c>
      <c r="BU137" s="162">
        <v>13770</v>
      </c>
      <c r="BV137" s="155">
        <v>48</v>
      </c>
      <c r="BX137" s="155" t="s">
        <v>120</v>
      </c>
      <c r="BY137" s="162">
        <v>12681</v>
      </c>
      <c r="BZ137" s="155">
        <v>46</v>
      </c>
      <c r="CB137" s="155" t="s">
        <v>120</v>
      </c>
      <c r="CC137" s="162">
        <v>11225</v>
      </c>
      <c r="CD137" s="155">
        <v>46</v>
      </c>
      <c r="CF137" s="155" t="s">
        <v>120</v>
      </c>
      <c r="CG137" s="162">
        <v>9971</v>
      </c>
      <c r="CH137" s="155">
        <v>44</v>
      </c>
      <c r="CJ137" s="155" t="s">
        <v>120</v>
      </c>
      <c r="CK137" s="162">
        <v>7723</v>
      </c>
      <c r="CL137" s="155">
        <v>38</v>
      </c>
      <c r="CN137" s="155" t="s">
        <v>120</v>
      </c>
      <c r="CO137" s="162">
        <v>5429</v>
      </c>
      <c r="CP137" s="155">
        <v>31</v>
      </c>
    </row>
    <row r="138" spans="1:94" x14ac:dyDescent="0.2">
      <c r="A138" s="155" t="s">
        <v>230</v>
      </c>
      <c r="C138" s="155" t="s">
        <v>121</v>
      </c>
      <c r="D138" s="162">
        <v>6995</v>
      </c>
      <c r="E138" s="155">
        <v>94</v>
      </c>
      <c r="G138" s="155" t="s">
        <v>121</v>
      </c>
      <c r="H138" s="162">
        <v>9800</v>
      </c>
      <c r="I138" s="155">
        <v>90</v>
      </c>
      <c r="K138" s="155" t="s">
        <v>121</v>
      </c>
      <c r="L138" s="162">
        <v>13377</v>
      </c>
      <c r="M138" s="155">
        <v>86</v>
      </c>
      <c r="O138" s="155" t="s">
        <v>121</v>
      </c>
      <c r="P138" s="162">
        <v>17027</v>
      </c>
      <c r="Q138" s="155">
        <v>80</v>
      </c>
      <c r="S138" s="155" t="s">
        <v>121</v>
      </c>
      <c r="T138" s="162">
        <v>22929</v>
      </c>
      <c r="U138" s="155">
        <v>73</v>
      </c>
      <c r="W138" s="155" t="s">
        <v>121</v>
      </c>
      <c r="X138" s="162">
        <v>25909</v>
      </c>
      <c r="Y138" s="155">
        <v>71</v>
      </c>
      <c r="AA138" s="155" t="s">
        <v>121</v>
      </c>
      <c r="AB138" s="162">
        <v>30195</v>
      </c>
      <c r="AC138" s="155">
        <v>68</v>
      </c>
      <c r="AD138" s="155">
        <v>67</v>
      </c>
      <c r="AE138" s="155" t="s">
        <v>121</v>
      </c>
      <c r="AF138" s="160">
        <v>33935</v>
      </c>
      <c r="AH138" s="155" t="s">
        <v>121</v>
      </c>
      <c r="AI138" s="155">
        <v>381.7</v>
      </c>
      <c r="AN138" s="155" t="s">
        <v>121</v>
      </c>
      <c r="AO138" s="162">
        <v>748.33333333333337</v>
      </c>
      <c r="AP138" s="155">
        <v>36</v>
      </c>
      <c r="AR138" s="155" t="s">
        <v>121</v>
      </c>
      <c r="AS138" s="162">
        <v>778.54838709677415</v>
      </c>
      <c r="AT138" s="155">
        <v>34</v>
      </c>
      <c r="AV138" s="155" t="s">
        <v>121</v>
      </c>
      <c r="AW138" s="162">
        <v>790.69230769230774</v>
      </c>
      <c r="AX138" s="155">
        <v>35</v>
      </c>
      <c r="AZ138" s="155" t="s">
        <v>121</v>
      </c>
      <c r="BA138" s="162">
        <v>805.14285714285711</v>
      </c>
      <c r="BB138" s="155">
        <v>35</v>
      </c>
      <c r="BD138" s="155" t="s">
        <v>121</v>
      </c>
      <c r="BE138" s="162">
        <v>687.875</v>
      </c>
      <c r="BF138" s="155">
        <v>40</v>
      </c>
      <c r="BH138" s="155" t="s">
        <v>121</v>
      </c>
      <c r="BI138" s="162">
        <v>729.63636363636363</v>
      </c>
      <c r="BJ138" s="155">
        <v>36</v>
      </c>
      <c r="BL138" s="155" t="s">
        <v>121</v>
      </c>
      <c r="BM138" s="162">
        <v>623.33333333333337</v>
      </c>
      <c r="BN138" s="155">
        <v>37</v>
      </c>
      <c r="BP138" s="155" t="s">
        <v>121</v>
      </c>
      <c r="BQ138" s="162">
        <v>26940</v>
      </c>
      <c r="BR138" s="155">
        <v>36</v>
      </c>
      <c r="BT138" s="155" t="s">
        <v>121</v>
      </c>
      <c r="BU138" s="162">
        <v>24135</v>
      </c>
      <c r="BV138" s="155">
        <v>34</v>
      </c>
      <c r="BX138" s="155" t="s">
        <v>121</v>
      </c>
      <c r="BY138" s="162">
        <v>20558</v>
      </c>
      <c r="BZ138" s="155">
        <v>35</v>
      </c>
      <c r="CB138" s="155" t="s">
        <v>121</v>
      </c>
      <c r="CC138" s="162">
        <v>16908</v>
      </c>
      <c r="CD138" s="155">
        <v>35</v>
      </c>
      <c r="CF138" s="155" t="s">
        <v>121</v>
      </c>
      <c r="CG138" s="162">
        <v>11006</v>
      </c>
      <c r="CH138" s="155">
        <v>40</v>
      </c>
      <c r="CJ138" s="155" t="s">
        <v>121</v>
      </c>
      <c r="CK138" s="162">
        <v>8026</v>
      </c>
      <c r="CL138" s="155">
        <v>36</v>
      </c>
      <c r="CN138" s="155" t="s">
        <v>121</v>
      </c>
      <c r="CO138" s="162">
        <v>3740</v>
      </c>
      <c r="CP138" s="155">
        <v>37</v>
      </c>
    </row>
    <row r="139" spans="1:94" x14ac:dyDescent="0.2">
      <c r="A139" s="155" t="s">
        <v>231</v>
      </c>
      <c r="C139" s="155" t="s">
        <v>122</v>
      </c>
      <c r="D139" s="162">
        <v>95627</v>
      </c>
      <c r="E139" s="155">
        <v>11</v>
      </c>
      <c r="G139" s="155" t="s">
        <v>122</v>
      </c>
      <c r="H139" s="162">
        <v>103900</v>
      </c>
      <c r="I139" s="155">
        <v>10</v>
      </c>
      <c r="K139" s="155" t="s">
        <v>122</v>
      </c>
      <c r="L139" s="162">
        <v>113162</v>
      </c>
      <c r="M139" s="155">
        <v>9</v>
      </c>
      <c r="O139" s="155" t="s">
        <v>122</v>
      </c>
      <c r="P139" s="162">
        <v>120053</v>
      </c>
      <c r="Q139" s="155">
        <v>10</v>
      </c>
      <c r="S139" s="155" t="s">
        <v>122</v>
      </c>
      <c r="T139" s="162">
        <v>127175</v>
      </c>
      <c r="U139" s="155">
        <v>10</v>
      </c>
      <c r="W139" s="155" t="s">
        <v>122</v>
      </c>
      <c r="X139" s="162">
        <v>136679</v>
      </c>
      <c r="Y139" s="155">
        <v>11</v>
      </c>
      <c r="AA139" s="155" t="s">
        <v>122</v>
      </c>
      <c r="AB139" s="162">
        <v>147665</v>
      </c>
      <c r="AC139" s="155">
        <v>11</v>
      </c>
      <c r="AD139" s="155">
        <v>12</v>
      </c>
      <c r="AE139" s="155" t="s">
        <v>122</v>
      </c>
      <c r="AF139" s="160">
        <v>156236</v>
      </c>
      <c r="AH139" s="155" t="s">
        <v>122</v>
      </c>
      <c r="AI139" s="155">
        <v>552.20000000000005</v>
      </c>
      <c r="AN139" s="155" t="s">
        <v>122</v>
      </c>
      <c r="AO139" s="162">
        <v>1683.5833333333333</v>
      </c>
      <c r="AP139" s="155">
        <v>18</v>
      </c>
      <c r="AR139" s="155" t="s">
        <v>122</v>
      </c>
      <c r="AS139" s="162">
        <v>1688.258064516129</v>
      </c>
      <c r="AT139" s="155">
        <v>17</v>
      </c>
      <c r="AV139" s="155" t="s">
        <v>122</v>
      </c>
      <c r="AW139" s="162">
        <v>1656.6923076923076</v>
      </c>
      <c r="AX139" s="155">
        <v>19</v>
      </c>
      <c r="AZ139" s="155" t="s">
        <v>122</v>
      </c>
      <c r="BA139" s="162">
        <v>1723</v>
      </c>
      <c r="BB139" s="155">
        <v>20</v>
      </c>
      <c r="BD139" s="155" t="s">
        <v>122</v>
      </c>
      <c r="BE139" s="162">
        <v>1816.3125</v>
      </c>
      <c r="BF139" s="155">
        <v>18</v>
      </c>
      <c r="BH139" s="155" t="s">
        <v>122</v>
      </c>
      <c r="BI139" s="162">
        <v>1777.909090909091</v>
      </c>
      <c r="BJ139" s="155">
        <v>18</v>
      </c>
      <c r="BL139" s="155" t="s">
        <v>122</v>
      </c>
      <c r="BM139" s="162">
        <v>1428.5</v>
      </c>
      <c r="BN139" s="155">
        <v>21</v>
      </c>
      <c r="BP139" s="155" t="s">
        <v>122</v>
      </c>
      <c r="BQ139" s="162">
        <v>60609</v>
      </c>
      <c r="BR139" s="155">
        <v>18</v>
      </c>
      <c r="BT139" s="155" t="s">
        <v>122</v>
      </c>
      <c r="BU139" s="162">
        <v>52336</v>
      </c>
      <c r="BV139" s="155">
        <v>17</v>
      </c>
      <c r="BX139" s="155" t="s">
        <v>122</v>
      </c>
      <c r="BY139" s="162">
        <v>43074</v>
      </c>
      <c r="BZ139" s="155">
        <v>19</v>
      </c>
      <c r="CB139" s="155" t="s">
        <v>122</v>
      </c>
      <c r="CC139" s="162">
        <v>36183</v>
      </c>
      <c r="CD139" s="155">
        <v>20</v>
      </c>
      <c r="CF139" s="155" t="s">
        <v>122</v>
      </c>
      <c r="CG139" s="162">
        <v>29061</v>
      </c>
      <c r="CH139" s="155">
        <v>18</v>
      </c>
      <c r="CJ139" s="155" t="s">
        <v>122</v>
      </c>
      <c r="CK139" s="162">
        <v>19557</v>
      </c>
      <c r="CL139" s="155">
        <v>18</v>
      </c>
      <c r="CN139" s="155" t="s">
        <v>122</v>
      </c>
      <c r="CO139" s="162">
        <v>8571</v>
      </c>
      <c r="CP139" s="155">
        <v>21</v>
      </c>
    </row>
    <row r="140" spans="1:94" x14ac:dyDescent="0.2">
      <c r="A140" s="155" t="s">
        <v>232</v>
      </c>
      <c r="C140" s="155" t="s">
        <v>123</v>
      </c>
      <c r="D140" s="162">
        <v>18855</v>
      </c>
      <c r="E140" s="155">
        <v>74</v>
      </c>
      <c r="G140" s="155" t="s">
        <v>123</v>
      </c>
      <c r="H140" s="162">
        <v>21800</v>
      </c>
      <c r="I140" s="155">
        <v>69</v>
      </c>
      <c r="K140" s="155" t="s">
        <v>123</v>
      </c>
      <c r="L140" s="162">
        <v>24599</v>
      </c>
      <c r="M140" s="155">
        <v>67</v>
      </c>
      <c r="O140" s="155" t="s">
        <v>123</v>
      </c>
      <c r="P140" s="162">
        <v>26345</v>
      </c>
      <c r="Q140" s="155">
        <v>65</v>
      </c>
      <c r="S140" s="155" t="s">
        <v>123</v>
      </c>
      <c r="T140" s="162">
        <v>28032</v>
      </c>
      <c r="U140" s="155">
        <v>64</v>
      </c>
      <c r="W140" s="155" t="s">
        <v>123</v>
      </c>
      <c r="X140" s="162">
        <v>30366</v>
      </c>
      <c r="Y140" s="155">
        <v>65</v>
      </c>
      <c r="AA140" s="155" t="s">
        <v>123</v>
      </c>
      <c r="AB140" s="162">
        <v>35066</v>
      </c>
      <c r="AC140" s="155">
        <v>62</v>
      </c>
      <c r="AD140" s="155">
        <v>60</v>
      </c>
      <c r="AE140" s="155" t="s">
        <v>123</v>
      </c>
      <c r="AF140" s="160">
        <v>40035</v>
      </c>
      <c r="AH140" s="155" t="s">
        <v>123</v>
      </c>
      <c r="AI140" s="155">
        <v>265.2</v>
      </c>
      <c r="AN140" s="155" t="s">
        <v>123</v>
      </c>
      <c r="AO140" s="162">
        <v>588.33333333333337</v>
      </c>
      <c r="AP140" s="155">
        <v>44</v>
      </c>
      <c r="AR140" s="155" t="s">
        <v>123</v>
      </c>
      <c r="AS140" s="162">
        <v>588.22580645161293</v>
      </c>
      <c r="AT140" s="155">
        <v>40</v>
      </c>
      <c r="AV140" s="155" t="s">
        <v>123</v>
      </c>
      <c r="AW140" s="162">
        <v>593.69230769230774</v>
      </c>
      <c r="AX140" s="155">
        <v>40</v>
      </c>
      <c r="AZ140" s="155" t="s">
        <v>123</v>
      </c>
      <c r="BA140" s="162">
        <v>651.90476190476193</v>
      </c>
      <c r="BB140" s="155">
        <v>41</v>
      </c>
      <c r="BD140" s="155" t="s">
        <v>123</v>
      </c>
      <c r="BE140" s="162">
        <v>750.1875</v>
      </c>
      <c r="BF140" s="155">
        <v>39</v>
      </c>
      <c r="BH140" s="155" t="s">
        <v>123</v>
      </c>
      <c r="BI140" s="162">
        <v>879</v>
      </c>
      <c r="BJ140" s="155">
        <v>33</v>
      </c>
      <c r="BL140" s="155" t="s">
        <v>123</v>
      </c>
      <c r="BM140" s="162">
        <v>828.16666666666663</v>
      </c>
      <c r="BN140" s="155">
        <v>32</v>
      </c>
      <c r="BP140" s="155" t="s">
        <v>123</v>
      </c>
      <c r="BQ140" s="162">
        <v>21180</v>
      </c>
      <c r="BR140" s="155">
        <v>44</v>
      </c>
      <c r="BT140" s="155" t="s">
        <v>123</v>
      </c>
      <c r="BU140" s="162">
        <v>18235</v>
      </c>
      <c r="BV140" s="155">
        <v>40</v>
      </c>
      <c r="BX140" s="155" t="s">
        <v>123</v>
      </c>
      <c r="BY140" s="162">
        <v>15436</v>
      </c>
      <c r="BZ140" s="155">
        <v>40</v>
      </c>
      <c r="CB140" s="155" t="s">
        <v>123</v>
      </c>
      <c r="CC140" s="162">
        <v>13690</v>
      </c>
      <c r="CD140" s="155">
        <v>41</v>
      </c>
      <c r="CF140" s="155" t="s">
        <v>123</v>
      </c>
      <c r="CG140" s="162">
        <v>12003</v>
      </c>
      <c r="CH140" s="155">
        <v>39</v>
      </c>
      <c r="CJ140" s="155" t="s">
        <v>123</v>
      </c>
      <c r="CK140" s="162">
        <v>9669</v>
      </c>
      <c r="CL140" s="155">
        <v>33</v>
      </c>
      <c r="CN140" s="155" t="s">
        <v>123</v>
      </c>
      <c r="CO140" s="162">
        <v>4969</v>
      </c>
      <c r="CP140" s="155">
        <v>32</v>
      </c>
    </row>
    <row r="141" spans="1:94" x14ac:dyDescent="0.2">
      <c r="A141" s="155" t="s">
        <v>233</v>
      </c>
      <c r="C141" s="155" t="s">
        <v>124</v>
      </c>
      <c r="D141" s="162">
        <v>38015</v>
      </c>
      <c r="E141" s="155">
        <v>45</v>
      </c>
      <c r="G141" s="155" t="s">
        <v>124</v>
      </c>
      <c r="H141" s="162">
        <v>40100</v>
      </c>
      <c r="I141" s="155">
        <v>45</v>
      </c>
      <c r="K141" s="155" t="s">
        <v>124</v>
      </c>
      <c r="L141" s="162">
        <v>40952</v>
      </c>
      <c r="M141" s="155">
        <v>47</v>
      </c>
      <c r="O141" s="155" t="s">
        <v>124</v>
      </c>
      <c r="P141" s="162">
        <v>40541</v>
      </c>
      <c r="Q141" s="155">
        <v>49</v>
      </c>
      <c r="S141" s="155" t="s">
        <v>124</v>
      </c>
      <c r="T141" s="162">
        <v>40116</v>
      </c>
      <c r="U141" s="155">
        <v>50</v>
      </c>
      <c r="W141" s="155" t="s">
        <v>124</v>
      </c>
      <c r="X141" s="162">
        <v>44793</v>
      </c>
      <c r="Y141" s="155">
        <v>49</v>
      </c>
      <c r="AA141" s="155" t="s">
        <v>124</v>
      </c>
      <c r="AB141" s="162">
        <v>49197</v>
      </c>
      <c r="AC141" s="155">
        <v>49</v>
      </c>
      <c r="AD141" s="155">
        <v>51</v>
      </c>
      <c r="AE141" s="155" t="s">
        <v>124</v>
      </c>
      <c r="AF141" s="160">
        <v>52790</v>
      </c>
      <c r="AH141" s="155" t="s">
        <v>124</v>
      </c>
      <c r="AI141" s="155">
        <v>817.8</v>
      </c>
      <c r="AN141" s="155" t="s">
        <v>124</v>
      </c>
      <c r="AO141" s="162">
        <v>410.41666666666669</v>
      </c>
      <c r="AP141" s="155">
        <v>55</v>
      </c>
      <c r="AR141" s="155" t="s">
        <v>124</v>
      </c>
      <c r="AS141" s="162">
        <v>409.35483870967744</v>
      </c>
      <c r="AT141" s="155">
        <v>53</v>
      </c>
      <c r="AV141" s="155" t="s">
        <v>124</v>
      </c>
      <c r="AW141" s="162">
        <v>455.30769230769232</v>
      </c>
      <c r="AX141" s="155">
        <v>48</v>
      </c>
      <c r="AZ141" s="155" t="s">
        <v>124</v>
      </c>
      <c r="BA141" s="162">
        <v>583.28571428571433</v>
      </c>
      <c r="BB141" s="155">
        <v>43</v>
      </c>
      <c r="BD141" s="155" t="s">
        <v>124</v>
      </c>
      <c r="BE141" s="162">
        <v>792.125</v>
      </c>
      <c r="BF141" s="155">
        <v>38</v>
      </c>
      <c r="BH141" s="155" t="s">
        <v>124</v>
      </c>
      <c r="BI141" s="162">
        <v>727</v>
      </c>
      <c r="BJ141" s="155">
        <v>37</v>
      </c>
      <c r="BL141" s="155" t="s">
        <v>124</v>
      </c>
      <c r="BM141" s="162">
        <v>598.83333333333337</v>
      </c>
      <c r="BN141" s="155">
        <v>38</v>
      </c>
      <c r="BP141" s="155" t="s">
        <v>124</v>
      </c>
      <c r="BQ141" s="162">
        <v>14775</v>
      </c>
      <c r="BR141" s="155">
        <v>55</v>
      </c>
      <c r="BT141" s="155" t="s">
        <v>124</v>
      </c>
      <c r="BU141" s="162">
        <v>12690</v>
      </c>
      <c r="BV141" s="155">
        <v>54</v>
      </c>
      <c r="BX141" s="155" t="s">
        <v>124</v>
      </c>
      <c r="BY141" s="162">
        <v>11838</v>
      </c>
      <c r="BZ141" s="155">
        <v>49</v>
      </c>
      <c r="CB141" s="155" t="s">
        <v>124</v>
      </c>
      <c r="CC141" s="162">
        <v>12249</v>
      </c>
      <c r="CD141" s="155">
        <v>43</v>
      </c>
      <c r="CF141" s="155" t="s">
        <v>124</v>
      </c>
      <c r="CG141" s="162">
        <v>12674</v>
      </c>
      <c r="CH141" s="155">
        <v>38</v>
      </c>
      <c r="CJ141" s="155" t="s">
        <v>124</v>
      </c>
      <c r="CK141" s="162">
        <v>7997</v>
      </c>
      <c r="CL141" s="155">
        <v>37</v>
      </c>
      <c r="CN141" s="155" t="s">
        <v>124</v>
      </c>
      <c r="CO141" s="162">
        <v>3593</v>
      </c>
      <c r="CP141" s="155">
        <v>38</v>
      </c>
    </row>
    <row r="142" spans="1:94" x14ac:dyDescent="0.2">
      <c r="A142" s="155" t="s">
        <v>234</v>
      </c>
      <c r="C142" s="155" t="s">
        <v>125</v>
      </c>
      <c r="D142" s="162">
        <v>132681</v>
      </c>
      <c r="E142" s="155">
        <v>8</v>
      </c>
      <c r="G142" s="155" t="s">
        <v>125</v>
      </c>
      <c r="H142" s="162">
        <v>143100</v>
      </c>
      <c r="I142" s="155">
        <v>8</v>
      </c>
      <c r="K142" s="155" t="s">
        <v>125</v>
      </c>
      <c r="L142" s="162">
        <v>152236</v>
      </c>
      <c r="M142" s="155">
        <v>8</v>
      </c>
      <c r="O142" s="155" t="s">
        <v>125</v>
      </c>
      <c r="P142" s="162">
        <v>163959</v>
      </c>
      <c r="Q142" s="155">
        <v>8</v>
      </c>
      <c r="S142" s="155" t="s">
        <v>125</v>
      </c>
      <c r="T142" s="162">
        <v>183145</v>
      </c>
      <c r="U142" s="155">
        <v>6</v>
      </c>
      <c r="W142" s="155" t="s">
        <v>125</v>
      </c>
      <c r="X142" s="162">
        <v>202872</v>
      </c>
      <c r="Y142" s="155">
        <v>6</v>
      </c>
      <c r="AA142" s="155" t="s">
        <v>125</v>
      </c>
      <c r="AB142" s="162">
        <v>224531</v>
      </c>
      <c r="AC142" s="155">
        <v>6</v>
      </c>
      <c r="AD142" s="155">
        <v>6</v>
      </c>
      <c r="AE142" s="155" t="s">
        <v>125</v>
      </c>
      <c r="AF142" s="160">
        <v>246896</v>
      </c>
      <c r="AH142" s="155" t="s">
        <v>125</v>
      </c>
      <c r="AI142" s="155">
        <v>290.60000000000002</v>
      </c>
      <c r="AN142" s="155" t="s">
        <v>125</v>
      </c>
      <c r="AO142" s="162">
        <v>3172.6388888888887</v>
      </c>
      <c r="AP142" s="155">
        <v>6</v>
      </c>
      <c r="AR142" s="155" t="s">
        <v>125</v>
      </c>
      <c r="AS142" s="162">
        <v>3348.2580645161293</v>
      </c>
      <c r="AT142" s="155">
        <v>5</v>
      </c>
      <c r="AV142" s="155" t="s">
        <v>125</v>
      </c>
      <c r="AW142" s="162">
        <v>3640.7692307692309</v>
      </c>
      <c r="AX142" s="155">
        <v>5</v>
      </c>
      <c r="AZ142" s="155" t="s">
        <v>125</v>
      </c>
      <c r="BA142" s="162">
        <v>3949.3809523809523</v>
      </c>
      <c r="BB142" s="155">
        <v>5</v>
      </c>
      <c r="BD142" s="155" t="s">
        <v>125</v>
      </c>
      <c r="BE142" s="162">
        <v>3984.4375</v>
      </c>
      <c r="BF142" s="155">
        <v>7</v>
      </c>
      <c r="BH142" s="155" t="s">
        <v>125</v>
      </c>
      <c r="BI142" s="162">
        <v>4002.181818181818</v>
      </c>
      <c r="BJ142" s="155">
        <v>7</v>
      </c>
      <c r="BL142" s="155" t="s">
        <v>125</v>
      </c>
      <c r="BM142" s="162">
        <v>3727.5</v>
      </c>
      <c r="BN142" s="155">
        <v>9</v>
      </c>
      <c r="BP142" s="155" t="s">
        <v>125</v>
      </c>
      <c r="BQ142" s="162">
        <v>114215</v>
      </c>
      <c r="BR142" s="155">
        <v>6</v>
      </c>
      <c r="BT142" s="155" t="s">
        <v>125</v>
      </c>
      <c r="BU142" s="162">
        <v>103796</v>
      </c>
      <c r="BV142" s="155">
        <v>5</v>
      </c>
      <c r="BX142" s="155" t="s">
        <v>125</v>
      </c>
      <c r="BY142" s="162">
        <v>94660</v>
      </c>
      <c r="BZ142" s="155">
        <v>5</v>
      </c>
      <c r="CB142" s="155" t="s">
        <v>125</v>
      </c>
      <c r="CC142" s="162">
        <v>82937</v>
      </c>
      <c r="CD142" s="155">
        <v>5</v>
      </c>
      <c r="CF142" s="155" t="s">
        <v>125</v>
      </c>
      <c r="CG142" s="162">
        <v>63751</v>
      </c>
      <c r="CH142" s="155">
        <v>7</v>
      </c>
      <c r="CJ142" s="155" t="s">
        <v>125</v>
      </c>
      <c r="CK142" s="162">
        <v>44024</v>
      </c>
      <c r="CL142" s="155">
        <v>7</v>
      </c>
      <c r="CN142" s="155" t="s">
        <v>125</v>
      </c>
      <c r="CO142" s="162">
        <v>22365</v>
      </c>
      <c r="CP142" s="155">
        <v>9</v>
      </c>
    </row>
    <row r="143" spans="1:94" x14ac:dyDescent="0.2">
      <c r="A143" s="155" t="s">
        <v>235</v>
      </c>
      <c r="C143" s="155" t="s">
        <v>126</v>
      </c>
      <c r="D143" s="162">
        <v>52341</v>
      </c>
      <c r="E143" s="155">
        <v>33</v>
      </c>
      <c r="G143" s="155" t="s">
        <v>126</v>
      </c>
      <c r="H143" s="162">
        <v>54000</v>
      </c>
      <c r="I143" s="155">
        <v>36</v>
      </c>
      <c r="K143" s="155" t="s">
        <v>126</v>
      </c>
      <c r="L143" s="162">
        <v>55988</v>
      </c>
      <c r="M143" s="155">
        <v>36</v>
      </c>
      <c r="O143" s="155" t="s">
        <v>126</v>
      </c>
      <c r="P143" s="162">
        <v>57697</v>
      </c>
      <c r="Q143" s="155">
        <v>36</v>
      </c>
      <c r="S143" s="155" t="s">
        <v>126</v>
      </c>
      <c r="T143" s="162">
        <v>56608</v>
      </c>
      <c r="U143" s="155">
        <v>38</v>
      </c>
      <c r="W143" s="155" t="s">
        <v>126</v>
      </c>
      <c r="X143" s="162">
        <v>57001</v>
      </c>
      <c r="Y143" s="155">
        <v>42</v>
      </c>
      <c r="AA143" s="155" t="s">
        <v>126</v>
      </c>
      <c r="AB143" s="162">
        <v>55309</v>
      </c>
      <c r="AC143" s="155">
        <v>44</v>
      </c>
      <c r="AD143" s="155">
        <v>50</v>
      </c>
      <c r="AE143" s="155" t="s">
        <v>126</v>
      </c>
      <c r="AF143" s="160">
        <v>53964</v>
      </c>
      <c r="AH143" s="155" t="s">
        <v>126</v>
      </c>
      <c r="AI143" s="155">
        <v>505.1</v>
      </c>
      <c r="AN143" s="155" t="s">
        <v>126</v>
      </c>
      <c r="AO143" s="162">
        <v>45.083333333333336</v>
      </c>
      <c r="AP143" s="155">
        <v>90</v>
      </c>
      <c r="AR143" s="155" t="s">
        <v>126</v>
      </c>
      <c r="AS143" s="162">
        <v>-1.1612903225806452</v>
      </c>
      <c r="AT143" s="155">
        <v>94</v>
      </c>
      <c r="AV143" s="155" t="s">
        <v>126</v>
      </c>
      <c r="AW143" s="162">
        <v>-77.84615384615384</v>
      </c>
      <c r="AX143" s="155">
        <v>99</v>
      </c>
      <c r="AZ143" s="155" t="s">
        <v>126</v>
      </c>
      <c r="BA143" s="162">
        <v>-177.76190476190476</v>
      </c>
      <c r="BB143" s="155">
        <v>100</v>
      </c>
      <c r="BD143" s="155" t="s">
        <v>126</v>
      </c>
      <c r="BE143" s="162">
        <v>-165.25</v>
      </c>
      <c r="BF143" s="155">
        <v>100</v>
      </c>
      <c r="BH143" s="155" t="s">
        <v>126</v>
      </c>
      <c r="BI143" s="162">
        <v>-276.09090909090907</v>
      </c>
      <c r="BJ143" s="155">
        <v>100</v>
      </c>
      <c r="BL143" s="155" t="s">
        <v>126</v>
      </c>
      <c r="BM143" s="162">
        <v>-224.16666666666666</v>
      </c>
      <c r="BN143" s="155">
        <v>97</v>
      </c>
      <c r="BP143" s="155" t="s">
        <v>126</v>
      </c>
      <c r="BQ143" s="162">
        <v>1623</v>
      </c>
      <c r="BR143" s="155">
        <v>90</v>
      </c>
      <c r="BT143" s="155" t="s">
        <v>126</v>
      </c>
      <c r="BU143" s="162">
        <v>-36</v>
      </c>
      <c r="BV143" s="155">
        <v>94</v>
      </c>
      <c r="BX143" s="155" t="s">
        <v>126</v>
      </c>
      <c r="BY143" s="162">
        <v>-2024</v>
      </c>
      <c r="BZ143" s="155">
        <v>99</v>
      </c>
      <c r="CB143" s="155" t="s">
        <v>126</v>
      </c>
      <c r="CC143" s="162">
        <v>-3733</v>
      </c>
      <c r="CD143" s="155">
        <v>100</v>
      </c>
      <c r="CF143" s="155" t="s">
        <v>126</v>
      </c>
      <c r="CG143" s="162">
        <v>-2644</v>
      </c>
      <c r="CH143" s="155">
        <v>100</v>
      </c>
      <c r="CJ143" s="155" t="s">
        <v>126</v>
      </c>
      <c r="CK143" s="162">
        <v>-3037</v>
      </c>
      <c r="CL143" s="155">
        <v>100</v>
      </c>
      <c r="CN143" s="155" t="s">
        <v>126</v>
      </c>
      <c r="CO143" s="162">
        <v>-1345</v>
      </c>
      <c r="CP143" s="155">
        <v>97</v>
      </c>
    </row>
    <row r="144" spans="1:94" x14ac:dyDescent="0.2">
      <c r="A144" s="155" t="s">
        <v>236</v>
      </c>
      <c r="C144" s="155" t="s">
        <v>127</v>
      </c>
      <c r="D144" s="162">
        <v>215118</v>
      </c>
      <c r="E144" s="155">
        <v>4</v>
      </c>
      <c r="G144" s="155" t="s">
        <v>127</v>
      </c>
      <c r="H144" s="162">
        <v>229400</v>
      </c>
      <c r="I144" s="155">
        <v>5</v>
      </c>
      <c r="K144" s="155" t="s">
        <v>127</v>
      </c>
      <c r="L144" s="162">
        <v>243704</v>
      </c>
      <c r="M144" s="155">
        <v>5</v>
      </c>
      <c r="O144" s="155" t="s">
        <v>127</v>
      </c>
      <c r="P144" s="162">
        <v>257028</v>
      </c>
      <c r="Q144" s="155">
        <v>5</v>
      </c>
      <c r="S144" s="155" t="s">
        <v>127</v>
      </c>
      <c r="T144" s="162">
        <v>266855</v>
      </c>
      <c r="U144" s="155">
        <v>5</v>
      </c>
      <c r="W144" s="155" t="s">
        <v>127</v>
      </c>
      <c r="X144" s="162">
        <v>288923</v>
      </c>
      <c r="Y144" s="155">
        <v>5</v>
      </c>
      <c r="AA144" s="155" t="s">
        <v>127</v>
      </c>
      <c r="AB144" s="162">
        <v>306931</v>
      </c>
      <c r="AC144" s="155">
        <v>4</v>
      </c>
      <c r="AD144" s="155">
        <v>4</v>
      </c>
      <c r="AE144" s="155" t="s">
        <v>127</v>
      </c>
      <c r="AF144" s="160">
        <v>332355</v>
      </c>
      <c r="AH144" s="155" t="s">
        <v>127</v>
      </c>
      <c r="AI144" s="155">
        <v>409.7</v>
      </c>
      <c r="AN144" s="155" t="s">
        <v>127</v>
      </c>
      <c r="AO144" s="162">
        <v>3256.5833333333335</v>
      </c>
      <c r="AP144" s="155">
        <v>5</v>
      </c>
      <c r="AR144" s="155" t="s">
        <v>127</v>
      </c>
      <c r="AS144" s="162">
        <v>3321.1290322580644</v>
      </c>
      <c r="AT144" s="155">
        <v>6</v>
      </c>
      <c r="AV144" s="155" t="s">
        <v>127</v>
      </c>
      <c r="AW144" s="162">
        <v>3409.6538461538462</v>
      </c>
      <c r="AX144" s="155">
        <v>6</v>
      </c>
      <c r="AZ144" s="155" t="s">
        <v>127</v>
      </c>
      <c r="BA144" s="162">
        <v>3587</v>
      </c>
      <c r="BB144" s="155">
        <v>7</v>
      </c>
      <c r="BD144" s="155" t="s">
        <v>127</v>
      </c>
      <c r="BE144" s="162">
        <v>4093.75</v>
      </c>
      <c r="BF144" s="155">
        <v>6</v>
      </c>
      <c r="BH144" s="155" t="s">
        <v>127</v>
      </c>
      <c r="BI144" s="162">
        <v>3948.3636363636365</v>
      </c>
      <c r="BJ144" s="155">
        <v>8</v>
      </c>
      <c r="BL144" s="155" t="s">
        <v>127</v>
      </c>
      <c r="BM144" s="162">
        <v>4237.333333333333</v>
      </c>
      <c r="BN144" s="155">
        <v>6</v>
      </c>
      <c r="BP144" s="155" t="s">
        <v>127</v>
      </c>
      <c r="BQ144" s="162">
        <v>117237</v>
      </c>
      <c r="BR144" s="155">
        <v>5</v>
      </c>
      <c r="BT144" s="155" t="s">
        <v>127</v>
      </c>
      <c r="BU144" s="162">
        <v>102955</v>
      </c>
      <c r="BV144" s="155">
        <v>6</v>
      </c>
      <c r="BX144" s="155" t="s">
        <v>127</v>
      </c>
      <c r="BY144" s="162">
        <v>88651</v>
      </c>
      <c r="BZ144" s="155">
        <v>6</v>
      </c>
      <c r="CB144" s="155" t="s">
        <v>127</v>
      </c>
      <c r="CC144" s="162">
        <v>75327</v>
      </c>
      <c r="CD144" s="155">
        <v>7</v>
      </c>
      <c r="CF144" s="155" t="s">
        <v>127</v>
      </c>
      <c r="CG144" s="162">
        <v>65500</v>
      </c>
      <c r="CH144" s="155">
        <v>6</v>
      </c>
      <c r="CJ144" s="155" t="s">
        <v>127</v>
      </c>
      <c r="CK144" s="162">
        <v>43432</v>
      </c>
      <c r="CL144" s="155">
        <v>8</v>
      </c>
      <c r="CN144" s="155" t="s">
        <v>127</v>
      </c>
      <c r="CO144" s="162">
        <v>25424</v>
      </c>
      <c r="CP144" s="155">
        <v>6</v>
      </c>
    </row>
    <row r="145" spans="1:94" x14ac:dyDescent="0.2">
      <c r="A145" s="155" t="s">
        <v>237</v>
      </c>
      <c r="C145" s="155" t="s">
        <v>128</v>
      </c>
      <c r="D145" s="162">
        <v>26820</v>
      </c>
      <c r="E145" s="155">
        <v>56</v>
      </c>
      <c r="G145" s="155" t="s">
        <v>128</v>
      </c>
      <c r="H145" s="162">
        <v>28700</v>
      </c>
      <c r="I145" s="155">
        <v>59</v>
      </c>
      <c r="K145" s="155" t="s">
        <v>128</v>
      </c>
      <c r="L145" s="162">
        <v>30055</v>
      </c>
      <c r="M145" s="155">
        <v>59</v>
      </c>
      <c r="O145" s="155" t="s">
        <v>128</v>
      </c>
      <c r="P145" s="162">
        <v>32708</v>
      </c>
      <c r="Q145" s="155">
        <v>58</v>
      </c>
      <c r="S145" s="155" t="s">
        <v>128</v>
      </c>
      <c r="T145" s="162">
        <v>36571</v>
      </c>
      <c r="U145" s="155">
        <v>56</v>
      </c>
      <c r="W145" s="155" t="s">
        <v>128</v>
      </c>
      <c r="X145" s="162">
        <v>41804</v>
      </c>
      <c r="Y145" s="155">
        <v>53</v>
      </c>
      <c r="AA145" s="155" t="s">
        <v>128</v>
      </c>
      <c r="AB145" s="162">
        <v>47613</v>
      </c>
      <c r="AC145" s="155">
        <v>51</v>
      </c>
      <c r="AD145" s="155">
        <v>46</v>
      </c>
      <c r="AE145" s="155" t="s">
        <v>128</v>
      </c>
      <c r="AF145" s="160">
        <v>55886</v>
      </c>
      <c r="AH145" s="155" t="s">
        <v>128</v>
      </c>
      <c r="AI145" s="155">
        <v>491.6</v>
      </c>
      <c r="AN145" s="155" t="s">
        <v>128</v>
      </c>
      <c r="AO145" s="162">
        <v>807.38888888888891</v>
      </c>
      <c r="AP145" s="155">
        <v>34</v>
      </c>
      <c r="AR145" s="155" t="s">
        <v>128</v>
      </c>
      <c r="AS145" s="162">
        <v>876.9677419354839</v>
      </c>
      <c r="AT145" s="155">
        <v>31</v>
      </c>
      <c r="AV145" s="155" t="s">
        <v>128</v>
      </c>
      <c r="AW145" s="162">
        <v>993.5</v>
      </c>
      <c r="AX145" s="155">
        <v>30</v>
      </c>
      <c r="AZ145" s="155" t="s">
        <v>128</v>
      </c>
      <c r="BA145" s="162">
        <v>1103.7142857142858</v>
      </c>
      <c r="BB145" s="155">
        <v>29</v>
      </c>
      <c r="BD145" s="155" t="s">
        <v>128</v>
      </c>
      <c r="BE145" s="162">
        <v>1207.1875</v>
      </c>
      <c r="BF145" s="155">
        <v>30</v>
      </c>
      <c r="BH145" s="155" t="s">
        <v>128</v>
      </c>
      <c r="BI145" s="162">
        <v>1280.1818181818182</v>
      </c>
      <c r="BJ145" s="155">
        <v>26</v>
      </c>
      <c r="BL145" s="155" t="s">
        <v>128</v>
      </c>
      <c r="BM145" s="162">
        <v>1378.8333333333333</v>
      </c>
      <c r="BN145" s="155">
        <v>23</v>
      </c>
      <c r="BP145" s="155" t="s">
        <v>128</v>
      </c>
      <c r="BQ145" s="162">
        <v>29066</v>
      </c>
      <c r="BR145" s="155">
        <v>34</v>
      </c>
      <c r="BT145" s="155" t="s">
        <v>128</v>
      </c>
      <c r="BU145" s="162">
        <v>27186</v>
      </c>
      <c r="BV145" s="155">
        <v>31</v>
      </c>
      <c r="BX145" s="155" t="s">
        <v>128</v>
      </c>
      <c r="BY145" s="162">
        <v>25831</v>
      </c>
      <c r="BZ145" s="155">
        <v>30</v>
      </c>
      <c r="CB145" s="155" t="s">
        <v>128</v>
      </c>
      <c r="CC145" s="162">
        <v>23178</v>
      </c>
      <c r="CD145" s="155">
        <v>29</v>
      </c>
      <c r="CF145" s="155" t="s">
        <v>128</v>
      </c>
      <c r="CG145" s="162">
        <v>19315</v>
      </c>
      <c r="CH145" s="155">
        <v>30</v>
      </c>
      <c r="CJ145" s="155" t="s">
        <v>128</v>
      </c>
      <c r="CK145" s="162">
        <v>14082</v>
      </c>
      <c r="CL145" s="155">
        <v>26</v>
      </c>
      <c r="CN145" s="155" t="s">
        <v>128</v>
      </c>
      <c r="CO145" s="162">
        <v>8273</v>
      </c>
      <c r="CP145" s="155">
        <v>23</v>
      </c>
    </row>
    <row r="146" spans="1:94" x14ac:dyDescent="0.2">
      <c r="A146" s="155" t="s">
        <v>238</v>
      </c>
      <c r="C146" s="155" t="s">
        <v>129</v>
      </c>
      <c r="D146" s="162">
        <v>148415</v>
      </c>
      <c r="E146" s="155">
        <v>6</v>
      </c>
      <c r="G146" s="155" t="s">
        <v>129</v>
      </c>
      <c r="H146" s="162">
        <v>156900</v>
      </c>
      <c r="I146" s="155">
        <v>6</v>
      </c>
      <c r="K146" s="155" t="s">
        <v>129</v>
      </c>
      <c r="L146" s="162">
        <v>162568</v>
      </c>
      <c r="M146" s="155">
        <v>6</v>
      </c>
      <c r="O146" s="155" t="s">
        <v>129</v>
      </c>
      <c r="P146" s="162">
        <v>171767</v>
      </c>
      <c r="Q146" s="155">
        <v>6</v>
      </c>
      <c r="S146" s="155" t="s">
        <v>129</v>
      </c>
      <c r="T146" s="162">
        <v>175132</v>
      </c>
      <c r="U146" s="155">
        <v>8</v>
      </c>
      <c r="W146" s="155" t="s">
        <v>129</v>
      </c>
      <c r="X146" s="162">
        <v>182916</v>
      </c>
      <c r="Y146" s="155">
        <v>8</v>
      </c>
      <c r="AA146" s="155" t="s">
        <v>129</v>
      </c>
      <c r="AB146" s="162">
        <v>190700</v>
      </c>
      <c r="AC146" s="155">
        <v>8</v>
      </c>
      <c r="AD146" s="155">
        <v>8</v>
      </c>
      <c r="AE146" s="155" t="s">
        <v>129</v>
      </c>
      <c r="AF146" s="160">
        <v>199397</v>
      </c>
      <c r="AH146" s="155" t="s">
        <v>129</v>
      </c>
      <c r="AI146" s="155">
        <v>356.5</v>
      </c>
      <c r="AN146" s="155" t="s">
        <v>129</v>
      </c>
      <c r="AO146" s="162">
        <v>1416.1666666666667</v>
      </c>
      <c r="AP146" s="155">
        <v>21</v>
      </c>
      <c r="AR146" s="155" t="s">
        <v>129</v>
      </c>
      <c r="AS146" s="162">
        <v>1370.8709677419354</v>
      </c>
      <c r="AT146" s="155">
        <v>22</v>
      </c>
      <c r="AV146" s="155" t="s">
        <v>129</v>
      </c>
      <c r="AW146" s="162">
        <v>1416.5</v>
      </c>
      <c r="AX146" s="155">
        <v>24</v>
      </c>
      <c r="AZ146" s="155" t="s">
        <v>129</v>
      </c>
      <c r="BA146" s="162">
        <v>1315.7142857142858</v>
      </c>
      <c r="BB146" s="155">
        <v>24</v>
      </c>
      <c r="BD146" s="155" t="s">
        <v>129</v>
      </c>
      <c r="BE146" s="162">
        <v>1516.5625</v>
      </c>
      <c r="BF146" s="155">
        <v>22</v>
      </c>
      <c r="BH146" s="155" t="s">
        <v>129</v>
      </c>
      <c r="BI146" s="162">
        <v>1498.2727272727273</v>
      </c>
      <c r="BJ146" s="155">
        <v>20</v>
      </c>
      <c r="BL146" s="155" t="s">
        <v>129</v>
      </c>
      <c r="BM146" s="162">
        <v>1449.5</v>
      </c>
      <c r="BN146" s="155">
        <v>20</v>
      </c>
      <c r="BP146" s="155" t="s">
        <v>129</v>
      </c>
      <c r="BQ146" s="162">
        <v>50982</v>
      </c>
      <c r="BR146" s="155">
        <v>21</v>
      </c>
      <c r="BT146" s="155" t="s">
        <v>129</v>
      </c>
      <c r="BU146" s="162">
        <v>42497</v>
      </c>
      <c r="BV146" s="155">
        <v>22</v>
      </c>
      <c r="BX146" s="155" t="s">
        <v>129</v>
      </c>
      <c r="BY146" s="162">
        <v>36829</v>
      </c>
      <c r="BZ146" s="155">
        <v>24</v>
      </c>
      <c r="CB146" s="155" t="s">
        <v>129</v>
      </c>
      <c r="CC146" s="162">
        <v>27630</v>
      </c>
      <c r="CD146" s="155">
        <v>24</v>
      </c>
      <c r="CF146" s="155" t="s">
        <v>129</v>
      </c>
      <c r="CG146" s="162">
        <v>24265</v>
      </c>
      <c r="CH146" s="155">
        <v>22</v>
      </c>
      <c r="CJ146" s="155" t="s">
        <v>129</v>
      </c>
      <c r="CK146" s="162">
        <v>16481</v>
      </c>
      <c r="CL146" s="155">
        <v>20</v>
      </c>
      <c r="CN146" s="155" t="s">
        <v>129</v>
      </c>
      <c r="CO146" s="162">
        <v>8697</v>
      </c>
      <c r="CP146" s="155">
        <v>20</v>
      </c>
    </row>
    <row r="147" spans="1:94" x14ac:dyDescent="0.2">
      <c r="A147" s="155" t="s">
        <v>239</v>
      </c>
      <c r="C147" s="155" t="s">
        <v>130</v>
      </c>
      <c r="D147" s="162">
        <v>8524</v>
      </c>
      <c r="E147" s="155">
        <v>91</v>
      </c>
      <c r="G147" s="155" t="s">
        <v>130</v>
      </c>
      <c r="H147" s="162">
        <v>8700</v>
      </c>
      <c r="I147" s="155">
        <v>95</v>
      </c>
      <c r="K147" s="155" t="s">
        <v>130</v>
      </c>
      <c r="L147" s="162">
        <v>8875</v>
      </c>
      <c r="M147" s="155">
        <v>95</v>
      </c>
      <c r="O147" s="155" t="s">
        <v>130</v>
      </c>
      <c r="P147" s="162">
        <v>9116</v>
      </c>
      <c r="Q147" s="155">
        <v>95</v>
      </c>
      <c r="S147" s="155" t="s">
        <v>130</v>
      </c>
      <c r="T147" s="162">
        <v>9337</v>
      </c>
      <c r="U147" s="155">
        <v>95</v>
      </c>
      <c r="W147" s="155" t="s">
        <v>130</v>
      </c>
      <c r="X147" s="162">
        <v>9957</v>
      </c>
      <c r="Y147" s="155">
        <v>95</v>
      </c>
      <c r="AA147" s="155" t="s">
        <v>130</v>
      </c>
      <c r="AB147" s="162">
        <v>10507</v>
      </c>
      <c r="AC147" s="155">
        <v>94</v>
      </c>
      <c r="AD147" s="155">
        <v>93</v>
      </c>
      <c r="AE147" s="155" t="s">
        <v>130</v>
      </c>
      <c r="AF147" s="160">
        <v>11527</v>
      </c>
      <c r="AH147" s="155" t="s">
        <v>130</v>
      </c>
      <c r="AI147" s="155">
        <v>340.6</v>
      </c>
      <c r="AN147" s="155" t="s">
        <v>130</v>
      </c>
      <c r="AO147" s="162">
        <v>83.416666666666671</v>
      </c>
      <c r="AP147" s="155">
        <v>85</v>
      </c>
      <c r="AR147" s="155" t="s">
        <v>130</v>
      </c>
      <c r="AS147" s="162">
        <v>91.193548387096769</v>
      </c>
      <c r="AT147" s="155">
        <v>85</v>
      </c>
      <c r="AV147" s="155" t="s">
        <v>130</v>
      </c>
      <c r="AW147" s="162">
        <v>102</v>
      </c>
      <c r="AX147" s="155">
        <v>80</v>
      </c>
      <c r="AZ147" s="155" t="s">
        <v>130</v>
      </c>
      <c r="BA147" s="162">
        <v>114.80952380952381</v>
      </c>
      <c r="BB147" s="155">
        <v>79</v>
      </c>
      <c r="BD147" s="155" t="s">
        <v>130</v>
      </c>
      <c r="BE147" s="162">
        <v>136.875</v>
      </c>
      <c r="BF147" s="155">
        <v>78</v>
      </c>
      <c r="BH147" s="155" t="s">
        <v>130</v>
      </c>
      <c r="BI147" s="162">
        <v>142.72727272727272</v>
      </c>
      <c r="BJ147" s="155">
        <v>79</v>
      </c>
      <c r="BL147" s="155" t="s">
        <v>130</v>
      </c>
      <c r="BM147" s="162">
        <v>170</v>
      </c>
      <c r="BN147" s="155">
        <v>61</v>
      </c>
      <c r="BP147" s="155" t="s">
        <v>130</v>
      </c>
      <c r="BQ147" s="162">
        <v>3003</v>
      </c>
      <c r="BR147" s="155">
        <v>85</v>
      </c>
      <c r="BT147" s="155" t="s">
        <v>130</v>
      </c>
      <c r="BU147" s="162">
        <v>2827</v>
      </c>
      <c r="BV147" s="155">
        <v>85</v>
      </c>
      <c r="BX147" s="155" t="s">
        <v>130</v>
      </c>
      <c r="BY147" s="162">
        <v>2652</v>
      </c>
      <c r="BZ147" s="155">
        <v>81</v>
      </c>
      <c r="CB147" s="155" t="s">
        <v>130</v>
      </c>
      <c r="CC147" s="162">
        <v>2411</v>
      </c>
      <c r="CD147" s="155">
        <v>80</v>
      </c>
      <c r="CF147" s="155" t="s">
        <v>130</v>
      </c>
      <c r="CG147" s="162">
        <v>2190</v>
      </c>
      <c r="CH147" s="155">
        <v>79</v>
      </c>
      <c r="CJ147" s="155" t="s">
        <v>130</v>
      </c>
      <c r="CK147" s="162">
        <v>1570</v>
      </c>
      <c r="CL147" s="155">
        <v>80</v>
      </c>
      <c r="CN147" s="155" t="s">
        <v>130</v>
      </c>
      <c r="CO147" s="162">
        <v>1020</v>
      </c>
      <c r="CP147" s="155">
        <v>63</v>
      </c>
    </row>
    <row r="148" spans="1:94" x14ac:dyDescent="0.2">
      <c r="A148" s="155" t="s">
        <v>240</v>
      </c>
      <c r="C148" s="155" t="s">
        <v>131</v>
      </c>
      <c r="D148" s="162">
        <v>6562</v>
      </c>
      <c r="E148" s="155">
        <v>96</v>
      </c>
      <c r="G148" s="155" t="s">
        <v>131</v>
      </c>
      <c r="H148" s="162">
        <v>6700</v>
      </c>
      <c r="I148" s="155">
        <v>96</v>
      </c>
      <c r="K148" s="155" t="s">
        <v>131</v>
      </c>
      <c r="L148" s="162">
        <v>7217</v>
      </c>
      <c r="M148" s="155">
        <v>96</v>
      </c>
      <c r="O148" s="155" t="s">
        <v>131</v>
      </c>
      <c r="P148" s="162">
        <v>7271</v>
      </c>
      <c r="Q148" s="155">
        <v>96</v>
      </c>
      <c r="S148" s="155" t="s">
        <v>131</v>
      </c>
      <c r="T148" s="162">
        <v>7191</v>
      </c>
      <c r="U148" s="155">
        <v>96</v>
      </c>
      <c r="W148" s="155" t="s">
        <v>131</v>
      </c>
      <c r="X148" s="162">
        <v>7710</v>
      </c>
      <c r="Y148" s="155">
        <v>97</v>
      </c>
      <c r="AA148" s="155" t="s">
        <v>131</v>
      </c>
      <c r="AB148" s="162">
        <v>7993</v>
      </c>
      <c r="AC148" s="155">
        <v>97</v>
      </c>
      <c r="AD148" s="155">
        <v>98</v>
      </c>
      <c r="AE148" s="155" t="s">
        <v>131</v>
      </c>
      <c r="AF148" s="160">
        <v>7995</v>
      </c>
      <c r="AH148" s="155" t="s">
        <v>131</v>
      </c>
      <c r="AI148" s="155">
        <v>292.10000000000002</v>
      </c>
      <c r="AN148" s="155" t="s">
        <v>131</v>
      </c>
      <c r="AO148" s="162">
        <v>39.805555555555557</v>
      </c>
      <c r="AP148" s="155">
        <v>91</v>
      </c>
      <c r="AR148" s="155" t="s">
        <v>131</v>
      </c>
      <c r="AS148" s="162">
        <v>41.774193548387096</v>
      </c>
      <c r="AT148" s="155">
        <v>88</v>
      </c>
      <c r="AV148" s="155" t="s">
        <v>131</v>
      </c>
      <c r="AW148" s="162">
        <v>29.923076923076923</v>
      </c>
      <c r="AX148" s="155">
        <v>88</v>
      </c>
      <c r="AZ148" s="155" t="s">
        <v>131</v>
      </c>
      <c r="BA148" s="162">
        <v>34.476190476190474</v>
      </c>
      <c r="BB148" s="155">
        <v>89</v>
      </c>
      <c r="BD148" s="155" t="s">
        <v>131</v>
      </c>
      <c r="BE148" s="162">
        <v>50.25</v>
      </c>
      <c r="BF148" s="155">
        <v>90</v>
      </c>
      <c r="BH148" s="155" t="s">
        <v>131</v>
      </c>
      <c r="BI148" s="162">
        <v>25.90909090909091</v>
      </c>
      <c r="BJ148" s="155">
        <v>91</v>
      </c>
      <c r="BL148" s="155" t="s">
        <v>131</v>
      </c>
      <c r="BM148" s="162">
        <v>0.33333333333333331</v>
      </c>
      <c r="BN148" s="155">
        <v>83</v>
      </c>
      <c r="BP148" s="155" t="s">
        <v>131</v>
      </c>
      <c r="BQ148" s="162">
        <v>1433</v>
      </c>
      <c r="BR148" s="155">
        <v>91</v>
      </c>
      <c r="BT148" s="155" t="s">
        <v>131</v>
      </c>
      <c r="BU148" s="162">
        <v>1295</v>
      </c>
      <c r="BV148" s="155">
        <v>88</v>
      </c>
      <c r="BX148" s="155" t="s">
        <v>131</v>
      </c>
      <c r="BY148" s="162">
        <v>778</v>
      </c>
      <c r="BZ148" s="155">
        <v>88</v>
      </c>
      <c r="CB148" s="155" t="s">
        <v>131</v>
      </c>
      <c r="CC148" s="162">
        <v>724</v>
      </c>
      <c r="CD148" s="155">
        <v>89</v>
      </c>
      <c r="CF148" s="155" t="s">
        <v>131</v>
      </c>
      <c r="CG148" s="162">
        <v>804</v>
      </c>
      <c r="CH148" s="155">
        <v>90</v>
      </c>
      <c r="CJ148" s="155" t="s">
        <v>131</v>
      </c>
      <c r="CK148" s="162">
        <v>285</v>
      </c>
      <c r="CL148" s="155">
        <v>91</v>
      </c>
      <c r="CN148" s="155" t="s">
        <v>131</v>
      </c>
      <c r="CO148" s="162">
        <v>2</v>
      </c>
      <c r="CP148" s="155">
        <v>83</v>
      </c>
    </row>
    <row r="149" spans="1:94" x14ac:dyDescent="0.2">
      <c r="A149" s="155" t="s">
        <v>241</v>
      </c>
      <c r="C149" s="155" t="s">
        <v>132</v>
      </c>
      <c r="D149" s="162">
        <v>32762</v>
      </c>
      <c r="E149" s="155">
        <v>47</v>
      </c>
      <c r="G149" s="155" t="s">
        <v>132</v>
      </c>
      <c r="H149" s="162">
        <v>33600</v>
      </c>
      <c r="I149" s="155">
        <v>51</v>
      </c>
      <c r="K149" s="155" t="s">
        <v>132</v>
      </c>
      <c r="L149" s="162">
        <v>34043</v>
      </c>
      <c r="M149" s="155">
        <v>53</v>
      </c>
      <c r="O149" s="155" t="s">
        <v>132</v>
      </c>
      <c r="P149" s="162">
        <v>35973</v>
      </c>
      <c r="Q149" s="155">
        <v>52</v>
      </c>
      <c r="S149" s="155" t="s">
        <v>132</v>
      </c>
      <c r="T149" s="162">
        <v>38465</v>
      </c>
      <c r="U149" s="155">
        <v>53</v>
      </c>
      <c r="W149" s="155" t="s">
        <v>132</v>
      </c>
      <c r="X149" s="162">
        <v>42281</v>
      </c>
      <c r="Y149" s="155">
        <v>52</v>
      </c>
      <c r="AA149" s="155" t="s">
        <v>132</v>
      </c>
      <c r="AB149" s="162">
        <v>48759</v>
      </c>
      <c r="AC149" s="155">
        <v>50</v>
      </c>
      <c r="AD149" s="155">
        <v>49</v>
      </c>
      <c r="AE149" s="155" t="s">
        <v>132</v>
      </c>
      <c r="AF149" s="160">
        <v>54473</v>
      </c>
      <c r="AH149" s="155" t="s">
        <v>132</v>
      </c>
      <c r="AI149" s="155">
        <v>531.20000000000005</v>
      </c>
      <c r="AN149" s="155" t="s">
        <v>132</v>
      </c>
      <c r="AO149" s="162">
        <v>603.08333333333337</v>
      </c>
      <c r="AP149" s="155">
        <v>42</v>
      </c>
      <c r="AR149" s="155" t="s">
        <v>132</v>
      </c>
      <c r="AS149" s="162">
        <v>673.32258064516134</v>
      </c>
      <c r="AT149" s="155">
        <v>39</v>
      </c>
      <c r="AV149" s="155" t="s">
        <v>132</v>
      </c>
      <c r="AW149" s="162">
        <v>785.76923076923072</v>
      </c>
      <c r="AX149" s="155">
        <v>36</v>
      </c>
      <c r="AZ149" s="155" t="s">
        <v>132</v>
      </c>
      <c r="BA149" s="162">
        <v>880.95238095238096</v>
      </c>
      <c r="BB149" s="155">
        <v>32</v>
      </c>
      <c r="BD149" s="155" t="s">
        <v>132</v>
      </c>
      <c r="BE149" s="162">
        <v>1000.5</v>
      </c>
      <c r="BF149" s="155">
        <v>32</v>
      </c>
      <c r="BH149" s="155" t="s">
        <v>132</v>
      </c>
      <c r="BI149" s="162">
        <v>1108.3636363636363</v>
      </c>
      <c r="BJ149" s="155">
        <v>29</v>
      </c>
      <c r="BL149" s="155" t="s">
        <v>132</v>
      </c>
      <c r="BM149" s="162">
        <v>952.33333333333337</v>
      </c>
      <c r="BN149" s="155">
        <v>28</v>
      </c>
      <c r="BP149" s="155" t="s">
        <v>132</v>
      </c>
      <c r="BQ149" s="162">
        <v>21711</v>
      </c>
      <c r="BR149" s="155">
        <v>42</v>
      </c>
      <c r="BT149" s="155" t="s">
        <v>132</v>
      </c>
      <c r="BU149" s="162">
        <v>20873</v>
      </c>
      <c r="BV149" s="155">
        <v>39</v>
      </c>
      <c r="BX149" s="155" t="s">
        <v>132</v>
      </c>
      <c r="BY149" s="162">
        <v>20430</v>
      </c>
      <c r="BZ149" s="155">
        <v>36</v>
      </c>
      <c r="CB149" s="155" t="s">
        <v>132</v>
      </c>
      <c r="CC149" s="162">
        <v>18500</v>
      </c>
      <c r="CD149" s="155">
        <v>32</v>
      </c>
      <c r="CF149" s="155" t="s">
        <v>132</v>
      </c>
      <c r="CG149" s="162">
        <v>16008</v>
      </c>
      <c r="CH149" s="155">
        <v>32</v>
      </c>
      <c r="CJ149" s="155" t="s">
        <v>132</v>
      </c>
      <c r="CK149" s="162">
        <v>12192</v>
      </c>
      <c r="CL149" s="155">
        <v>29</v>
      </c>
      <c r="CN149" s="155" t="s">
        <v>132</v>
      </c>
      <c r="CO149" s="162">
        <v>5714</v>
      </c>
      <c r="CP149" s="155">
        <v>28</v>
      </c>
    </row>
    <row r="150" spans="1:94" x14ac:dyDescent="0.2">
      <c r="A150" s="155" t="s">
        <v>242</v>
      </c>
      <c r="C150" s="155" t="s">
        <v>133</v>
      </c>
      <c r="D150" s="162">
        <v>14967</v>
      </c>
      <c r="E150" s="155">
        <v>81</v>
      </c>
      <c r="G150" s="155" t="s">
        <v>133</v>
      </c>
      <c r="H150" s="162">
        <v>14900</v>
      </c>
      <c r="I150" s="155">
        <v>82</v>
      </c>
      <c r="K150" s="155" t="s">
        <v>133</v>
      </c>
      <c r="L150" s="162">
        <v>16117</v>
      </c>
      <c r="M150" s="155">
        <v>81</v>
      </c>
      <c r="O150" s="155" t="s">
        <v>133</v>
      </c>
      <c r="P150" s="162">
        <v>15944</v>
      </c>
      <c r="Q150" s="155">
        <v>82</v>
      </c>
      <c r="S150" s="155" t="s">
        <v>133</v>
      </c>
      <c r="T150" s="162">
        <v>15440</v>
      </c>
      <c r="U150" s="155">
        <v>83</v>
      </c>
      <c r="W150" s="155" t="s">
        <v>133</v>
      </c>
      <c r="X150" s="162">
        <v>17260</v>
      </c>
      <c r="Y150" s="155">
        <v>82</v>
      </c>
      <c r="AA150" s="155" t="s">
        <v>133</v>
      </c>
      <c r="AB150" s="162">
        <v>19057</v>
      </c>
      <c r="AC150" s="155">
        <v>82</v>
      </c>
      <c r="AD150" s="155">
        <v>81</v>
      </c>
      <c r="AE150" s="155" t="s">
        <v>133</v>
      </c>
      <c r="AF150" s="160">
        <v>20157</v>
      </c>
      <c r="AH150" s="155" t="s">
        <v>133</v>
      </c>
      <c r="AI150" s="155">
        <v>265.39999999999998</v>
      </c>
      <c r="AN150" s="155" t="s">
        <v>133</v>
      </c>
      <c r="AO150" s="162">
        <v>144.16666666666666</v>
      </c>
      <c r="AP150" s="155">
        <v>74</v>
      </c>
      <c r="AR150" s="155" t="s">
        <v>133</v>
      </c>
      <c r="AS150" s="162">
        <v>169.58064516129033</v>
      </c>
      <c r="AT150" s="155">
        <v>69</v>
      </c>
      <c r="AV150" s="155" t="s">
        <v>133</v>
      </c>
      <c r="AW150" s="162">
        <v>155.38461538461539</v>
      </c>
      <c r="AX150" s="155">
        <v>69</v>
      </c>
      <c r="AZ150" s="155" t="s">
        <v>133</v>
      </c>
      <c r="BA150" s="162">
        <v>200.61904761904762</v>
      </c>
      <c r="BB150" s="155">
        <v>67</v>
      </c>
      <c r="BD150" s="155" t="s">
        <v>133</v>
      </c>
      <c r="BE150" s="162">
        <v>294.8125</v>
      </c>
      <c r="BF150" s="155">
        <v>62</v>
      </c>
      <c r="BH150" s="155" t="s">
        <v>133</v>
      </c>
      <c r="BI150" s="162">
        <v>263.36363636363637</v>
      </c>
      <c r="BJ150" s="155">
        <v>61</v>
      </c>
      <c r="BL150" s="155" t="s">
        <v>133</v>
      </c>
      <c r="BM150" s="162">
        <v>183.33333333333334</v>
      </c>
      <c r="BN150" s="155">
        <v>57</v>
      </c>
      <c r="BP150" s="155" t="s">
        <v>133</v>
      </c>
      <c r="BQ150" s="162">
        <v>5190</v>
      </c>
      <c r="BR150" s="155">
        <v>74</v>
      </c>
      <c r="BT150" s="155" t="s">
        <v>133</v>
      </c>
      <c r="BU150" s="162">
        <v>5257</v>
      </c>
      <c r="BV150" s="155">
        <v>69</v>
      </c>
      <c r="BX150" s="155" t="s">
        <v>133</v>
      </c>
      <c r="BY150" s="162">
        <v>4040</v>
      </c>
      <c r="BZ150" s="155">
        <v>69</v>
      </c>
      <c r="CB150" s="155" t="s">
        <v>133</v>
      </c>
      <c r="CC150" s="162">
        <v>4213</v>
      </c>
      <c r="CD150" s="155">
        <v>67</v>
      </c>
      <c r="CF150" s="155" t="s">
        <v>133</v>
      </c>
      <c r="CG150" s="162">
        <v>4717</v>
      </c>
      <c r="CH150" s="155">
        <v>64</v>
      </c>
      <c r="CJ150" s="155" t="s">
        <v>133</v>
      </c>
      <c r="CK150" s="162">
        <v>2897</v>
      </c>
      <c r="CL150" s="155">
        <v>63</v>
      </c>
      <c r="CN150" s="155" t="s">
        <v>133</v>
      </c>
      <c r="CO150" s="162">
        <v>1100</v>
      </c>
      <c r="CP150" s="155">
        <v>59</v>
      </c>
    </row>
    <row r="151" spans="1:94" x14ac:dyDescent="0.2">
      <c r="A151" s="155" t="s">
        <v>243</v>
      </c>
      <c r="C151" s="155" t="s">
        <v>134</v>
      </c>
      <c r="D151" s="162">
        <v>288645</v>
      </c>
      <c r="E151" s="155">
        <v>2</v>
      </c>
      <c r="G151" s="155" t="s">
        <v>134</v>
      </c>
      <c r="H151" s="162">
        <v>302000</v>
      </c>
      <c r="I151" s="155">
        <v>2</v>
      </c>
      <c r="K151" s="155" t="s">
        <v>134</v>
      </c>
      <c r="L151" s="162">
        <v>317154</v>
      </c>
      <c r="M151" s="155">
        <v>2</v>
      </c>
      <c r="O151" s="155" t="s">
        <v>134</v>
      </c>
      <c r="P151" s="162">
        <v>329656</v>
      </c>
      <c r="Q151" s="155">
        <v>3</v>
      </c>
      <c r="S151" s="155" t="s">
        <v>134</v>
      </c>
      <c r="T151" s="162">
        <v>349135</v>
      </c>
      <c r="U151" s="155">
        <v>3</v>
      </c>
      <c r="W151" s="155" t="s">
        <v>134</v>
      </c>
      <c r="X151" s="162">
        <v>387665</v>
      </c>
      <c r="Y151" s="155">
        <v>3</v>
      </c>
      <c r="AA151" s="155" t="s">
        <v>134</v>
      </c>
      <c r="AB151" s="162">
        <v>422355</v>
      </c>
      <c r="AC151" s="155">
        <v>3</v>
      </c>
      <c r="AD151" s="155">
        <v>3</v>
      </c>
      <c r="AE151" s="155" t="s">
        <v>134</v>
      </c>
      <c r="AF151" s="160">
        <v>451905</v>
      </c>
      <c r="AH151" s="155" t="s">
        <v>134</v>
      </c>
      <c r="AI151" s="155">
        <v>650.1</v>
      </c>
      <c r="AN151" s="155" t="s">
        <v>134</v>
      </c>
      <c r="AO151" s="162">
        <v>4535</v>
      </c>
      <c r="AP151" s="155">
        <v>3</v>
      </c>
      <c r="AR151" s="155" t="s">
        <v>134</v>
      </c>
      <c r="AS151" s="162">
        <v>4835.6451612903229</v>
      </c>
      <c r="AT151" s="155">
        <v>3</v>
      </c>
      <c r="AV151" s="155" t="s">
        <v>134</v>
      </c>
      <c r="AW151" s="162">
        <v>5182.7307692307695</v>
      </c>
      <c r="AX151" s="155">
        <v>3</v>
      </c>
      <c r="AZ151" s="155" t="s">
        <v>134</v>
      </c>
      <c r="BA151" s="162">
        <v>5821.3809523809523</v>
      </c>
      <c r="BB151" s="155">
        <v>3</v>
      </c>
      <c r="BD151" s="155" t="s">
        <v>134</v>
      </c>
      <c r="BE151" s="162">
        <v>6423.125</v>
      </c>
      <c r="BF151" s="155">
        <v>3</v>
      </c>
      <c r="BH151" s="155" t="s">
        <v>134</v>
      </c>
      <c r="BI151" s="162">
        <v>5840</v>
      </c>
      <c r="BJ151" s="155">
        <v>4</v>
      </c>
      <c r="BL151" s="155" t="s">
        <v>134</v>
      </c>
      <c r="BM151" s="162">
        <v>4925</v>
      </c>
      <c r="BN151" s="155">
        <v>4</v>
      </c>
      <c r="BP151" s="155" t="s">
        <v>134</v>
      </c>
      <c r="BQ151" s="162">
        <v>163260</v>
      </c>
      <c r="BR151" s="155">
        <v>3</v>
      </c>
      <c r="BT151" s="155" t="s">
        <v>134</v>
      </c>
      <c r="BU151" s="162">
        <v>149905</v>
      </c>
      <c r="BV151" s="155">
        <v>3</v>
      </c>
      <c r="BX151" s="155" t="s">
        <v>134</v>
      </c>
      <c r="BY151" s="162">
        <v>134751</v>
      </c>
      <c r="BZ151" s="155">
        <v>3</v>
      </c>
      <c r="CB151" s="155" t="s">
        <v>134</v>
      </c>
      <c r="CC151" s="162">
        <v>122249</v>
      </c>
      <c r="CD151" s="155">
        <v>3</v>
      </c>
      <c r="CF151" s="155" t="s">
        <v>134</v>
      </c>
      <c r="CG151" s="162">
        <v>102770</v>
      </c>
      <c r="CH151" s="155">
        <v>3</v>
      </c>
      <c r="CJ151" s="155" t="s">
        <v>134</v>
      </c>
      <c r="CK151" s="162">
        <v>64240</v>
      </c>
      <c r="CL151" s="155">
        <v>4</v>
      </c>
      <c r="CN151" s="155" t="s">
        <v>134</v>
      </c>
      <c r="CO151" s="162">
        <v>29550</v>
      </c>
      <c r="CP151" s="155">
        <v>4</v>
      </c>
    </row>
    <row r="152" spans="1:94" x14ac:dyDescent="0.2">
      <c r="A152" s="155" t="s">
        <v>244</v>
      </c>
      <c r="C152" s="155" t="s">
        <v>135</v>
      </c>
      <c r="D152" s="162">
        <v>54354</v>
      </c>
      <c r="E152" s="155">
        <v>32</v>
      </c>
      <c r="G152" s="155" t="s">
        <v>135</v>
      </c>
      <c r="H152" s="162">
        <v>55200</v>
      </c>
      <c r="I152" s="155">
        <v>35</v>
      </c>
      <c r="K152" s="155" t="s">
        <v>135</v>
      </c>
      <c r="L152" s="162">
        <v>55076</v>
      </c>
      <c r="M152" s="155">
        <v>37</v>
      </c>
      <c r="O152" s="155" t="s">
        <v>135</v>
      </c>
      <c r="P152" s="162">
        <v>55104</v>
      </c>
      <c r="Q152" s="155">
        <v>38</v>
      </c>
      <c r="S152" s="155" t="s">
        <v>135</v>
      </c>
      <c r="T152" s="162">
        <v>55671</v>
      </c>
      <c r="U152" s="155">
        <v>39</v>
      </c>
      <c r="W152" s="155" t="s">
        <v>135</v>
      </c>
      <c r="X152" s="162">
        <v>58187</v>
      </c>
      <c r="Y152" s="155">
        <v>39</v>
      </c>
      <c r="AA152" s="155" t="s">
        <v>135</v>
      </c>
      <c r="AB152" s="162">
        <v>57297</v>
      </c>
      <c r="AC152" s="155">
        <v>43</v>
      </c>
      <c r="AD152" s="155">
        <v>47</v>
      </c>
      <c r="AE152" s="155" t="s">
        <v>135</v>
      </c>
      <c r="AF152" s="160">
        <v>55521</v>
      </c>
      <c r="AH152" s="155" t="s">
        <v>135</v>
      </c>
      <c r="AI152" s="155">
        <v>725.4</v>
      </c>
      <c r="AN152" s="155" t="s">
        <v>135</v>
      </c>
      <c r="AO152" s="162">
        <v>32.416666666666664</v>
      </c>
      <c r="AP152" s="155">
        <v>92</v>
      </c>
      <c r="AR152" s="155" t="s">
        <v>135</v>
      </c>
      <c r="AS152" s="162">
        <v>10.35483870967742</v>
      </c>
      <c r="AT152" s="155">
        <v>92</v>
      </c>
      <c r="AV152" s="155" t="s">
        <v>135</v>
      </c>
      <c r="AW152" s="162">
        <v>17.115384615384617</v>
      </c>
      <c r="AX152" s="155">
        <v>90</v>
      </c>
      <c r="AZ152" s="155" t="s">
        <v>135</v>
      </c>
      <c r="BA152" s="162">
        <v>19.857142857142858</v>
      </c>
      <c r="BB152" s="155">
        <v>91</v>
      </c>
      <c r="BD152" s="155" t="s">
        <v>135</v>
      </c>
      <c r="BE152" s="162">
        <v>-9.375</v>
      </c>
      <c r="BF152" s="155">
        <v>96</v>
      </c>
      <c r="BH152" s="155" t="s">
        <v>135</v>
      </c>
      <c r="BI152" s="162">
        <v>-242.36363636363637</v>
      </c>
      <c r="BJ152" s="155">
        <v>99</v>
      </c>
      <c r="BL152" s="155" t="s">
        <v>135</v>
      </c>
      <c r="BM152" s="162">
        <v>-296</v>
      </c>
      <c r="BN152" s="155">
        <v>98</v>
      </c>
      <c r="BP152" s="155" t="s">
        <v>135</v>
      </c>
      <c r="BQ152" s="162">
        <v>1167</v>
      </c>
      <c r="BR152" s="155">
        <v>92</v>
      </c>
      <c r="BT152" s="155" t="s">
        <v>135</v>
      </c>
      <c r="BU152" s="162">
        <v>321</v>
      </c>
      <c r="BV152" s="155">
        <v>92</v>
      </c>
      <c r="BX152" s="155" t="s">
        <v>135</v>
      </c>
      <c r="BY152" s="162">
        <v>445</v>
      </c>
      <c r="BZ152" s="155">
        <v>90</v>
      </c>
      <c r="CB152" s="155" t="s">
        <v>135</v>
      </c>
      <c r="CC152" s="162">
        <v>417</v>
      </c>
      <c r="CD152" s="155">
        <v>91</v>
      </c>
      <c r="CF152" s="155" t="s">
        <v>135</v>
      </c>
      <c r="CG152" s="162">
        <v>-150</v>
      </c>
      <c r="CH152" s="155">
        <v>96</v>
      </c>
      <c r="CJ152" s="155" t="s">
        <v>135</v>
      </c>
      <c r="CK152" s="162">
        <v>-2666</v>
      </c>
      <c r="CL152" s="155">
        <v>99</v>
      </c>
      <c r="CN152" s="155" t="s">
        <v>135</v>
      </c>
      <c r="CO152" s="162">
        <v>-1776</v>
      </c>
      <c r="CP152" s="155">
        <v>98</v>
      </c>
    </row>
    <row r="153" spans="1:94" x14ac:dyDescent="0.2">
      <c r="A153" s="155" t="s">
        <v>245</v>
      </c>
      <c r="C153" s="155" t="s">
        <v>136</v>
      </c>
      <c r="D153" s="162">
        <v>49667</v>
      </c>
      <c r="E153" s="155">
        <v>35</v>
      </c>
      <c r="G153" s="155" t="s">
        <v>136</v>
      </c>
      <c r="H153" s="162">
        <v>55700</v>
      </c>
      <c r="I153" s="155">
        <v>33</v>
      </c>
      <c r="K153" s="155" t="s">
        <v>136</v>
      </c>
      <c r="L153" s="162">
        <v>59570</v>
      </c>
      <c r="M153" s="155">
        <v>32</v>
      </c>
      <c r="O153" s="155" t="s">
        <v>136</v>
      </c>
      <c r="P153" s="162">
        <v>63537</v>
      </c>
      <c r="Q153" s="155">
        <v>32</v>
      </c>
      <c r="S153" s="155" t="s">
        <v>136</v>
      </c>
      <c r="T153" s="162">
        <v>68030</v>
      </c>
      <c r="U153" s="155">
        <v>31</v>
      </c>
      <c r="W153" s="155" t="s">
        <v>136</v>
      </c>
      <c r="X153" s="162">
        <v>78353</v>
      </c>
      <c r="Y153" s="155">
        <v>30</v>
      </c>
      <c r="AA153" s="155" t="s">
        <v>136</v>
      </c>
      <c r="AB153" s="162">
        <v>91591</v>
      </c>
      <c r="AC153" s="155">
        <v>27</v>
      </c>
      <c r="AD153" s="155">
        <v>24</v>
      </c>
      <c r="AE153" s="155" t="s">
        <v>136</v>
      </c>
      <c r="AF153" s="160">
        <v>106283</v>
      </c>
      <c r="AH153" s="155" t="s">
        <v>136</v>
      </c>
      <c r="AI153" s="155">
        <v>595</v>
      </c>
      <c r="AN153" s="155" t="s">
        <v>136</v>
      </c>
      <c r="AO153" s="162">
        <v>1572.6666666666667</v>
      </c>
      <c r="AP153" s="155">
        <v>19</v>
      </c>
      <c r="AR153" s="155" t="s">
        <v>136</v>
      </c>
      <c r="AS153" s="162">
        <v>1631.7096774193549</v>
      </c>
      <c r="AT153" s="155">
        <v>19</v>
      </c>
      <c r="AV153" s="155" t="s">
        <v>136</v>
      </c>
      <c r="AW153" s="162">
        <v>1796.6538461538462</v>
      </c>
      <c r="AX153" s="155">
        <v>17</v>
      </c>
      <c r="AZ153" s="155" t="s">
        <v>136</v>
      </c>
      <c r="BA153" s="162">
        <v>2035.5238095238096</v>
      </c>
      <c r="BB153" s="155">
        <v>15</v>
      </c>
      <c r="BD153" s="155" t="s">
        <v>136</v>
      </c>
      <c r="BE153" s="162">
        <v>2390.8125</v>
      </c>
      <c r="BF153" s="155">
        <v>13</v>
      </c>
      <c r="BH153" s="155" t="s">
        <v>136</v>
      </c>
      <c r="BI153" s="162">
        <v>2539.090909090909</v>
      </c>
      <c r="BJ153" s="155">
        <v>13</v>
      </c>
      <c r="BL153" s="155" t="s">
        <v>136</v>
      </c>
      <c r="BM153" s="162">
        <v>2448.6666666666665</v>
      </c>
      <c r="BN153" s="155">
        <v>13</v>
      </c>
      <c r="BP153" s="155" t="s">
        <v>136</v>
      </c>
      <c r="BQ153" s="162">
        <v>56616</v>
      </c>
      <c r="BR153" s="155">
        <v>19</v>
      </c>
      <c r="BT153" s="155" t="s">
        <v>136</v>
      </c>
      <c r="BU153" s="162">
        <v>50583</v>
      </c>
      <c r="BV153" s="155">
        <v>19</v>
      </c>
      <c r="BX153" s="155" t="s">
        <v>136</v>
      </c>
      <c r="BY153" s="162">
        <v>46713</v>
      </c>
      <c r="BZ153" s="155">
        <v>17</v>
      </c>
      <c r="CB153" s="155" t="s">
        <v>136</v>
      </c>
      <c r="CC153" s="162">
        <v>42746</v>
      </c>
      <c r="CD153" s="155">
        <v>15</v>
      </c>
      <c r="CF153" s="155" t="s">
        <v>136</v>
      </c>
      <c r="CG153" s="162">
        <v>38253</v>
      </c>
      <c r="CH153" s="155">
        <v>13</v>
      </c>
      <c r="CJ153" s="155" t="s">
        <v>136</v>
      </c>
      <c r="CK153" s="162">
        <v>27930</v>
      </c>
      <c r="CL153" s="155">
        <v>13</v>
      </c>
      <c r="CN153" s="155" t="s">
        <v>136</v>
      </c>
      <c r="CO153" s="162">
        <v>14692</v>
      </c>
      <c r="CP153" s="155">
        <v>13</v>
      </c>
    </row>
    <row r="154" spans="1:94" x14ac:dyDescent="0.2">
      <c r="A154" s="155" t="s">
        <v>246</v>
      </c>
      <c r="C154" s="155" t="s">
        <v>137</v>
      </c>
      <c r="D154" s="162">
        <v>41710</v>
      </c>
      <c r="E154" s="155">
        <v>42</v>
      </c>
      <c r="G154" s="155" t="s">
        <v>137</v>
      </c>
      <c r="H154" s="162">
        <v>44500</v>
      </c>
      <c r="I154" s="155">
        <v>43</v>
      </c>
      <c r="K154" s="155" t="s">
        <v>137</v>
      </c>
      <c r="L154" s="162">
        <v>46495</v>
      </c>
      <c r="M154" s="155">
        <v>43</v>
      </c>
      <c r="O154" s="155" t="s">
        <v>137</v>
      </c>
      <c r="P154" s="162">
        <v>47331</v>
      </c>
      <c r="Q154" s="155">
        <v>44</v>
      </c>
      <c r="S154" s="155" t="s">
        <v>137</v>
      </c>
      <c r="T154" s="162">
        <v>47003</v>
      </c>
      <c r="U154" s="155">
        <v>46</v>
      </c>
      <c r="W154" s="155" t="s">
        <v>137</v>
      </c>
      <c r="X154" s="162">
        <v>50513</v>
      </c>
      <c r="Y154" s="155">
        <v>46</v>
      </c>
      <c r="AA154" s="155" t="s">
        <v>137</v>
      </c>
      <c r="AB154" s="162">
        <v>54116</v>
      </c>
      <c r="AC154" s="155">
        <v>46</v>
      </c>
      <c r="AD154" s="155">
        <v>45</v>
      </c>
      <c r="AE154" s="155" t="s">
        <v>137</v>
      </c>
      <c r="AF154" s="160">
        <v>56447</v>
      </c>
      <c r="AH154" s="155" t="s">
        <v>137</v>
      </c>
      <c r="AI154" s="155">
        <v>553.9</v>
      </c>
      <c r="AN154" s="155" t="s">
        <v>137</v>
      </c>
      <c r="AO154" s="162">
        <v>409.36111111111109</v>
      </c>
      <c r="AP154" s="155">
        <v>56</v>
      </c>
      <c r="AR154" s="155" t="s">
        <v>137</v>
      </c>
      <c r="AS154" s="162">
        <v>385.38709677419354</v>
      </c>
      <c r="AT154" s="155">
        <v>56</v>
      </c>
      <c r="AV154" s="155" t="s">
        <v>137</v>
      </c>
      <c r="AW154" s="162">
        <v>382.76923076923077</v>
      </c>
      <c r="AX154" s="155">
        <v>54</v>
      </c>
      <c r="AZ154" s="155" t="s">
        <v>137</v>
      </c>
      <c r="BA154" s="162">
        <v>434.09523809523807</v>
      </c>
      <c r="BB154" s="155">
        <v>52</v>
      </c>
      <c r="BD154" s="155" t="s">
        <v>137</v>
      </c>
      <c r="BE154" s="162">
        <v>590.25</v>
      </c>
      <c r="BF154" s="155">
        <v>45</v>
      </c>
      <c r="BH154" s="155" t="s">
        <v>137</v>
      </c>
      <c r="BI154" s="162">
        <v>539.4545454545455</v>
      </c>
      <c r="BJ154" s="155">
        <v>45</v>
      </c>
      <c r="BL154" s="155" t="s">
        <v>137</v>
      </c>
      <c r="BM154" s="162">
        <v>388.5</v>
      </c>
      <c r="BN154" s="155">
        <v>44</v>
      </c>
      <c r="BP154" s="155" t="s">
        <v>137</v>
      </c>
      <c r="BQ154" s="162">
        <v>14737</v>
      </c>
      <c r="BR154" s="155">
        <v>56</v>
      </c>
      <c r="BT154" s="155" t="s">
        <v>137</v>
      </c>
      <c r="BU154" s="162">
        <v>11947</v>
      </c>
      <c r="BV154" s="155">
        <v>56</v>
      </c>
      <c r="BX154" s="155" t="s">
        <v>137</v>
      </c>
      <c r="BY154" s="162">
        <v>9952</v>
      </c>
      <c r="BZ154" s="155">
        <v>55</v>
      </c>
      <c r="CB154" s="155" t="s">
        <v>137</v>
      </c>
      <c r="CC154" s="162">
        <v>9116</v>
      </c>
      <c r="CD154" s="155">
        <v>53</v>
      </c>
      <c r="CF154" s="155" t="s">
        <v>137</v>
      </c>
      <c r="CG154" s="162">
        <v>9444</v>
      </c>
      <c r="CH154" s="155">
        <v>45</v>
      </c>
      <c r="CJ154" s="155" t="s">
        <v>137</v>
      </c>
      <c r="CK154" s="162">
        <v>5934</v>
      </c>
      <c r="CL154" s="155">
        <v>46</v>
      </c>
      <c r="CN154" s="155" t="s">
        <v>137</v>
      </c>
      <c r="CO154" s="162">
        <v>2331</v>
      </c>
      <c r="CP154" s="155">
        <v>45</v>
      </c>
    </row>
    <row r="155" spans="1:94" x14ac:dyDescent="0.2">
      <c r="A155" s="155" t="s">
        <v>247</v>
      </c>
      <c r="C155" s="155" t="s">
        <v>138</v>
      </c>
      <c r="D155" s="162">
        <v>42804</v>
      </c>
      <c r="E155" s="155">
        <v>41</v>
      </c>
      <c r="G155" s="155" t="s">
        <v>138</v>
      </c>
      <c r="H155" s="162">
        <v>50500</v>
      </c>
      <c r="I155" s="155">
        <v>38</v>
      </c>
      <c r="K155" s="155" t="s">
        <v>138</v>
      </c>
      <c r="L155" s="162">
        <v>58580</v>
      </c>
      <c r="M155" s="155">
        <v>35</v>
      </c>
      <c r="O155" s="155" t="s">
        <v>138</v>
      </c>
      <c r="P155" s="162">
        <v>65084</v>
      </c>
      <c r="Q155" s="155">
        <v>30</v>
      </c>
      <c r="S155" s="155" t="s">
        <v>138</v>
      </c>
      <c r="T155" s="162">
        <v>70268</v>
      </c>
      <c r="U155" s="155">
        <v>30</v>
      </c>
      <c r="W155" s="155" t="s">
        <v>138</v>
      </c>
      <c r="X155" s="162">
        <v>80030</v>
      </c>
      <c r="Y155" s="155">
        <v>29</v>
      </c>
      <c r="AA155" s="155" t="s">
        <v>138</v>
      </c>
      <c r="AB155" s="162">
        <v>89631</v>
      </c>
      <c r="AC155" s="155">
        <v>28</v>
      </c>
      <c r="AD155" s="155">
        <v>25</v>
      </c>
      <c r="AE155" s="155" t="s">
        <v>138</v>
      </c>
      <c r="AF155" s="160">
        <v>99033</v>
      </c>
      <c r="AH155" s="155" t="s">
        <v>138</v>
      </c>
      <c r="AI155" s="155">
        <v>373.8</v>
      </c>
      <c r="AN155" s="155" t="s">
        <v>138</v>
      </c>
      <c r="AO155" s="162">
        <v>1561.9166666666667</v>
      </c>
      <c r="AP155" s="155">
        <v>20</v>
      </c>
      <c r="AR155" s="155" t="s">
        <v>138</v>
      </c>
      <c r="AS155" s="162">
        <v>1565.5806451612902</v>
      </c>
      <c r="AT155" s="155">
        <v>20</v>
      </c>
      <c r="AV155" s="155" t="s">
        <v>138</v>
      </c>
      <c r="AW155" s="162">
        <v>1555.8846153846155</v>
      </c>
      <c r="AX155" s="155">
        <v>21</v>
      </c>
      <c r="AZ155" s="155" t="s">
        <v>138</v>
      </c>
      <c r="BA155" s="162">
        <v>1616.6190476190477</v>
      </c>
      <c r="BB155" s="155">
        <v>21</v>
      </c>
      <c r="BD155" s="155" t="s">
        <v>138</v>
      </c>
      <c r="BE155" s="162">
        <v>1797.8125</v>
      </c>
      <c r="BF155" s="155">
        <v>19</v>
      </c>
      <c r="BH155" s="155" t="s">
        <v>138</v>
      </c>
      <c r="BI155" s="162">
        <v>1727.5454545454545</v>
      </c>
      <c r="BJ155" s="155">
        <v>19</v>
      </c>
      <c r="BL155" s="155" t="s">
        <v>138</v>
      </c>
      <c r="BM155" s="162">
        <v>1567</v>
      </c>
      <c r="BN155" s="155">
        <v>18</v>
      </c>
      <c r="BP155" s="155" t="s">
        <v>138</v>
      </c>
      <c r="BQ155" s="162">
        <v>56229</v>
      </c>
      <c r="BR155" s="155">
        <v>20</v>
      </c>
      <c r="BT155" s="155" t="s">
        <v>138</v>
      </c>
      <c r="BU155" s="162">
        <v>48533</v>
      </c>
      <c r="BV155" s="155">
        <v>20</v>
      </c>
      <c r="BX155" s="155" t="s">
        <v>138</v>
      </c>
      <c r="BY155" s="162">
        <v>40453</v>
      </c>
      <c r="BZ155" s="155">
        <v>21</v>
      </c>
      <c r="CB155" s="155" t="s">
        <v>138</v>
      </c>
      <c r="CC155" s="162">
        <v>33949</v>
      </c>
      <c r="CD155" s="155">
        <v>21</v>
      </c>
      <c r="CF155" s="155" t="s">
        <v>138</v>
      </c>
      <c r="CG155" s="162">
        <v>28765</v>
      </c>
      <c r="CH155" s="155">
        <v>19</v>
      </c>
      <c r="CJ155" s="155" t="s">
        <v>138</v>
      </c>
      <c r="CK155" s="162">
        <v>19003</v>
      </c>
      <c r="CL155" s="155">
        <v>19</v>
      </c>
      <c r="CN155" s="155" t="s">
        <v>138</v>
      </c>
      <c r="CO155" s="162">
        <v>9402</v>
      </c>
      <c r="CP155" s="155">
        <v>18</v>
      </c>
    </row>
    <row r="156" spans="1:94" x14ac:dyDescent="0.2">
      <c r="A156" s="155" t="s">
        <v>248</v>
      </c>
      <c r="C156" s="155" t="s">
        <v>139</v>
      </c>
      <c r="D156" s="162">
        <v>24439</v>
      </c>
      <c r="E156" s="155">
        <v>61</v>
      </c>
      <c r="G156" s="155" t="s">
        <v>139</v>
      </c>
      <c r="H156" s="162">
        <v>23100</v>
      </c>
      <c r="I156" s="155">
        <v>66</v>
      </c>
      <c r="K156" s="155" t="s">
        <v>139</v>
      </c>
      <c r="L156" s="162">
        <v>23368</v>
      </c>
      <c r="M156" s="155">
        <v>69</v>
      </c>
      <c r="O156" s="155" t="s">
        <v>139</v>
      </c>
      <c r="P156" s="162">
        <v>23375</v>
      </c>
      <c r="Q156" s="155">
        <v>70</v>
      </c>
      <c r="S156" s="155" t="s">
        <v>139</v>
      </c>
      <c r="T156" s="162">
        <v>22355</v>
      </c>
      <c r="U156" s="155">
        <v>74</v>
      </c>
      <c r="W156" s="155" t="s">
        <v>139</v>
      </c>
      <c r="X156" s="162">
        <v>22693</v>
      </c>
      <c r="Y156" s="155">
        <v>75</v>
      </c>
      <c r="AA156" s="155" t="s">
        <v>139</v>
      </c>
      <c r="AB156" s="162">
        <v>22952</v>
      </c>
      <c r="AC156" s="155">
        <v>77</v>
      </c>
      <c r="AD156" s="155">
        <v>77</v>
      </c>
      <c r="AE156" s="155" t="s">
        <v>139</v>
      </c>
      <c r="AF156" s="160">
        <v>23581</v>
      </c>
      <c r="AH156" s="155" t="s">
        <v>139</v>
      </c>
      <c r="AI156" s="155">
        <v>353.7</v>
      </c>
      <c r="AN156" s="155" t="s">
        <v>139</v>
      </c>
      <c r="AO156" s="162">
        <v>-23.833333333333332</v>
      </c>
      <c r="AP156" s="155">
        <v>98</v>
      </c>
      <c r="AR156" s="155" t="s">
        <v>139</v>
      </c>
      <c r="AS156" s="162">
        <v>15.516129032258064</v>
      </c>
      <c r="AT156" s="155">
        <v>90</v>
      </c>
      <c r="AV156" s="155" t="s">
        <v>139</v>
      </c>
      <c r="AW156" s="162">
        <v>8.1923076923076916</v>
      </c>
      <c r="AX156" s="155">
        <v>91</v>
      </c>
      <c r="AZ156" s="155" t="s">
        <v>139</v>
      </c>
      <c r="BA156" s="162">
        <v>9.8095238095238102</v>
      </c>
      <c r="BB156" s="155">
        <v>92</v>
      </c>
      <c r="BD156" s="155" t="s">
        <v>139</v>
      </c>
      <c r="BE156" s="162">
        <v>76.625</v>
      </c>
      <c r="BF156" s="155">
        <v>86</v>
      </c>
      <c r="BH156" s="155" t="s">
        <v>139</v>
      </c>
      <c r="BI156" s="162">
        <v>80.727272727272734</v>
      </c>
      <c r="BJ156" s="155">
        <v>82</v>
      </c>
      <c r="BL156" s="155" t="s">
        <v>139</v>
      </c>
      <c r="BM156" s="162">
        <v>104.83333333333333</v>
      </c>
      <c r="BN156" s="155">
        <v>69</v>
      </c>
      <c r="BP156" s="155" t="s">
        <v>139</v>
      </c>
      <c r="BQ156" s="162">
        <v>-858</v>
      </c>
      <c r="BR156" s="155">
        <v>98</v>
      </c>
      <c r="BT156" s="155" t="s">
        <v>139</v>
      </c>
      <c r="BU156" s="162">
        <v>481</v>
      </c>
      <c r="BV156" s="155">
        <v>90</v>
      </c>
      <c r="BX156" s="155" t="s">
        <v>139</v>
      </c>
      <c r="BY156" s="162">
        <v>213</v>
      </c>
      <c r="BZ156" s="155">
        <v>91</v>
      </c>
      <c r="CB156" s="155" t="s">
        <v>139</v>
      </c>
      <c r="CC156" s="162">
        <v>206</v>
      </c>
      <c r="CD156" s="155">
        <v>92</v>
      </c>
      <c r="CF156" s="155" t="s">
        <v>139</v>
      </c>
      <c r="CG156" s="162">
        <v>1226</v>
      </c>
      <c r="CH156" s="155">
        <v>86</v>
      </c>
      <c r="CJ156" s="155" t="s">
        <v>139</v>
      </c>
      <c r="CK156" s="162">
        <v>888</v>
      </c>
      <c r="CL156" s="155">
        <v>83</v>
      </c>
      <c r="CN156" s="155" t="s">
        <v>139</v>
      </c>
      <c r="CO156" s="162">
        <v>629</v>
      </c>
      <c r="CP156" s="155">
        <v>72</v>
      </c>
    </row>
    <row r="157" spans="1:94" x14ac:dyDescent="0.2">
      <c r="A157" s="155" t="s">
        <v>249</v>
      </c>
      <c r="C157" s="155" t="s">
        <v>140</v>
      </c>
      <c r="D157" s="162">
        <v>16436</v>
      </c>
      <c r="E157" s="155">
        <v>76</v>
      </c>
      <c r="G157" s="155" t="s">
        <v>140</v>
      </c>
      <c r="H157" s="162">
        <v>19100</v>
      </c>
      <c r="I157" s="155">
        <v>76</v>
      </c>
      <c r="K157" s="155" t="s">
        <v>140</v>
      </c>
      <c r="L157" s="162">
        <v>20383</v>
      </c>
      <c r="M157" s="155">
        <v>76</v>
      </c>
      <c r="O157" s="155" t="s">
        <v>140</v>
      </c>
      <c r="P157" s="162">
        <v>21612</v>
      </c>
      <c r="Q157" s="155">
        <v>75</v>
      </c>
      <c r="S157" s="155" t="s">
        <v>140</v>
      </c>
      <c r="T157" s="162">
        <v>22950</v>
      </c>
      <c r="U157" s="155">
        <v>72</v>
      </c>
      <c r="W157" s="155" t="s">
        <v>140</v>
      </c>
      <c r="X157" s="162">
        <v>28452</v>
      </c>
      <c r="Y157" s="155">
        <v>67</v>
      </c>
      <c r="AA157" s="155" t="s">
        <v>140</v>
      </c>
      <c r="AB157" s="162">
        <v>33900</v>
      </c>
      <c r="AC157" s="155">
        <v>64</v>
      </c>
      <c r="AD157" s="155">
        <v>59</v>
      </c>
      <c r="AE157" s="155" t="s">
        <v>140</v>
      </c>
      <c r="AF157" s="160">
        <v>42303</v>
      </c>
      <c r="AH157" s="155" t="s">
        <v>140</v>
      </c>
      <c r="AI157" s="155">
        <v>391.2</v>
      </c>
      <c r="AN157" s="155" t="s">
        <v>140</v>
      </c>
      <c r="AO157" s="162">
        <v>718.52777777777783</v>
      </c>
      <c r="AP157" s="155">
        <v>38</v>
      </c>
      <c r="AR157" s="155" t="s">
        <v>140</v>
      </c>
      <c r="AS157" s="162">
        <v>748.48387096774195</v>
      </c>
      <c r="AT157" s="155">
        <v>36</v>
      </c>
      <c r="AV157" s="155" t="s">
        <v>140</v>
      </c>
      <c r="AW157" s="162">
        <v>843.07692307692309</v>
      </c>
      <c r="AX157" s="155">
        <v>34</v>
      </c>
      <c r="AZ157" s="155" t="s">
        <v>140</v>
      </c>
      <c r="BA157" s="162">
        <v>985.28571428571433</v>
      </c>
      <c r="BB157" s="155">
        <v>31</v>
      </c>
      <c r="BD157" s="155" t="s">
        <v>140</v>
      </c>
      <c r="BE157" s="162">
        <v>1209.5625</v>
      </c>
      <c r="BF157" s="155">
        <v>29</v>
      </c>
      <c r="BH157" s="155" t="s">
        <v>140</v>
      </c>
      <c r="BI157" s="162">
        <v>1259.1818181818182</v>
      </c>
      <c r="BJ157" s="155">
        <v>27</v>
      </c>
      <c r="BL157" s="155" t="s">
        <v>140</v>
      </c>
      <c r="BM157" s="162">
        <v>1400.5</v>
      </c>
      <c r="BN157" s="155">
        <v>22</v>
      </c>
      <c r="BP157" s="155" t="s">
        <v>140</v>
      </c>
      <c r="BQ157" s="162">
        <v>25867</v>
      </c>
      <c r="BR157" s="155">
        <v>38</v>
      </c>
      <c r="BT157" s="155" t="s">
        <v>140</v>
      </c>
      <c r="BU157" s="162">
        <v>23203</v>
      </c>
      <c r="BV157" s="155">
        <v>36</v>
      </c>
      <c r="BX157" s="155" t="s">
        <v>140</v>
      </c>
      <c r="BY157" s="162">
        <v>21920</v>
      </c>
      <c r="BZ157" s="155">
        <v>34</v>
      </c>
      <c r="CB157" s="155" t="s">
        <v>140</v>
      </c>
      <c r="CC157" s="162">
        <v>20691</v>
      </c>
      <c r="CD157" s="155">
        <v>31</v>
      </c>
      <c r="CF157" s="155" t="s">
        <v>140</v>
      </c>
      <c r="CG157" s="162">
        <v>19353</v>
      </c>
      <c r="CH157" s="155">
        <v>29</v>
      </c>
      <c r="CJ157" s="155" t="s">
        <v>140</v>
      </c>
      <c r="CK157" s="162">
        <v>13851</v>
      </c>
      <c r="CL157" s="155">
        <v>27</v>
      </c>
      <c r="CN157" s="155" t="s">
        <v>140</v>
      </c>
      <c r="CO157" s="162">
        <v>8403</v>
      </c>
      <c r="CP157" s="155">
        <v>22</v>
      </c>
    </row>
    <row r="158" spans="1:94" x14ac:dyDescent="0.2">
      <c r="A158" s="155" t="s">
        <v>250</v>
      </c>
      <c r="C158" s="155" t="s">
        <v>141</v>
      </c>
      <c r="D158" s="162">
        <v>5571</v>
      </c>
      <c r="E158" s="155">
        <v>97</v>
      </c>
      <c r="G158" s="155" t="s">
        <v>141</v>
      </c>
      <c r="H158" s="162">
        <v>5700</v>
      </c>
      <c r="I158" s="155">
        <v>99</v>
      </c>
      <c r="K158" s="155" t="s">
        <v>141</v>
      </c>
      <c r="L158" s="162">
        <v>5873</v>
      </c>
      <c r="M158" s="155">
        <v>98</v>
      </c>
      <c r="O158" s="155" t="s">
        <v>141</v>
      </c>
      <c r="P158" s="162">
        <v>5834</v>
      </c>
      <c r="Q158" s="155">
        <v>98</v>
      </c>
      <c r="S158" s="155" t="s">
        <v>141</v>
      </c>
      <c r="T158" s="162">
        <v>5406</v>
      </c>
      <c r="U158" s="155">
        <v>99</v>
      </c>
      <c r="W158" s="155" t="s">
        <v>141</v>
      </c>
      <c r="X158" s="162">
        <v>5365</v>
      </c>
      <c r="Y158" s="155">
        <v>99</v>
      </c>
      <c r="AA158" s="155" t="s">
        <v>141</v>
      </c>
      <c r="AB158" s="162">
        <v>5790</v>
      </c>
      <c r="AC158" s="155">
        <v>99</v>
      </c>
      <c r="AD158" s="155">
        <v>99</v>
      </c>
      <c r="AE158" s="155" t="s">
        <v>141</v>
      </c>
      <c r="AF158" s="160">
        <v>5341</v>
      </c>
      <c r="AH158" s="155" t="s">
        <v>141</v>
      </c>
      <c r="AI158" s="155">
        <v>612.79999999999995</v>
      </c>
      <c r="AN158" s="155" t="s">
        <v>141</v>
      </c>
      <c r="AO158" s="162">
        <v>-6.3888888888888893</v>
      </c>
      <c r="AP158" s="155">
        <v>95</v>
      </c>
      <c r="AR158" s="155" t="s">
        <v>141</v>
      </c>
      <c r="AS158" s="162">
        <v>-11.580645161290322</v>
      </c>
      <c r="AT158" s="155">
        <v>95</v>
      </c>
      <c r="AV158" s="155" t="s">
        <v>141</v>
      </c>
      <c r="AW158" s="162">
        <v>-20.46153846153846</v>
      </c>
      <c r="AX158" s="155">
        <v>94</v>
      </c>
      <c r="AZ158" s="155" t="s">
        <v>141</v>
      </c>
      <c r="BA158" s="162">
        <v>-23.476190476190474</v>
      </c>
      <c r="BB158" s="155">
        <v>94</v>
      </c>
      <c r="BD158" s="155" t="s">
        <v>141</v>
      </c>
      <c r="BE158" s="162">
        <v>-4.0625</v>
      </c>
      <c r="BF158" s="155">
        <v>95</v>
      </c>
      <c r="BH158" s="155" t="s">
        <v>141</v>
      </c>
      <c r="BI158" s="162">
        <v>-2.1818181818181817</v>
      </c>
      <c r="BJ158" s="155">
        <v>93</v>
      </c>
      <c r="BL158" s="155" t="s">
        <v>141</v>
      </c>
      <c r="BM158" s="162">
        <v>-74.833333333333329</v>
      </c>
      <c r="BN158" s="155">
        <v>93</v>
      </c>
      <c r="BP158" s="155" t="s">
        <v>141</v>
      </c>
      <c r="BQ158" s="162">
        <v>-230</v>
      </c>
      <c r="BR158" s="155">
        <v>95</v>
      </c>
      <c r="BT158" s="155" t="s">
        <v>141</v>
      </c>
      <c r="BU158" s="162">
        <v>-359</v>
      </c>
      <c r="BV158" s="155">
        <v>95</v>
      </c>
      <c r="BX158" s="155" t="s">
        <v>141</v>
      </c>
      <c r="BY158" s="162">
        <v>-532</v>
      </c>
      <c r="BZ158" s="155">
        <v>94</v>
      </c>
      <c r="CB158" s="155" t="s">
        <v>141</v>
      </c>
      <c r="CC158" s="162">
        <v>-493</v>
      </c>
      <c r="CD158" s="155">
        <v>94</v>
      </c>
      <c r="CF158" s="155" t="s">
        <v>141</v>
      </c>
      <c r="CG158" s="162">
        <v>-65</v>
      </c>
      <c r="CH158" s="155">
        <v>95</v>
      </c>
      <c r="CJ158" s="155" t="s">
        <v>141</v>
      </c>
      <c r="CK158" s="162">
        <v>-24</v>
      </c>
      <c r="CL158" s="155">
        <v>93</v>
      </c>
      <c r="CN158" s="155" t="s">
        <v>141</v>
      </c>
      <c r="CO158" s="162">
        <v>-449</v>
      </c>
      <c r="CP158" s="155">
        <v>92</v>
      </c>
    </row>
    <row r="159" spans="1:94" x14ac:dyDescent="0.2">
      <c r="A159" s="155" t="s">
        <v>251</v>
      </c>
      <c r="C159" s="155" t="s">
        <v>142</v>
      </c>
      <c r="D159" s="162">
        <v>72197</v>
      </c>
      <c r="E159" s="155">
        <v>22</v>
      </c>
      <c r="G159" s="155" t="s">
        <v>142</v>
      </c>
      <c r="H159" s="162">
        <v>78400</v>
      </c>
      <c r="I159" s="155">
        <v>22</v>
      </c>
      <c r="K159" s="155" t="s">
        <v>142</v>
      </c>
      <c r="L159" s="162">
        <v>82538</v>
      </c>
      <c r="M159" s="155">
        <v>22</v>
      </c>
      <c r="O159" s="155" t="s">
        <v>142</v>
      </c>
      <c r="P159" s="162">
        <v>87100</v>
      </c>
      <c r="Q159" s="155">
        <v>20</v>
      </c>
      <c r="S159" s="155" t="s">
        <v>142</v>
      </c>
      <c r="T159" s="162">
        <v>93711</v>
      </c>
      <c r="U159" s="155">
        <v>21</v>
      </c>
      <c r="W159" s="155" t="s">
        <v>142</v>
      </c>
      <c r="X159" s="162">
        <v>104653</v>
      </c>
      <c r="Y159" s="155">
        <v>21</v>
      </c>
      <c r="AA159" s="155" t="s">
        <v>142</v>
      </c>
      <c r="AB159" s="162">
        <v>123610</v>
      </c>
      <c r="AC159" s="155">
        <v>19</v>
      </c>
      <c r="AD159" s="155">
        <v>16</v>
      </c>
      <c r="AE159" s="155" t="s">
        <v>142</v>
      </c>
      <c r="AF159" s="160">
        <v>146206</v>
      </c>
      <c r="AH159" s="155" t="s">
        <v>142</v>
      </c>
      <c r="AI159" s="155">
        <v>574.4</v>
      </c>
      <c r="AN159" s="155" t="s">
        <v>142</v>
      </c>
      <c r="AO159" s="162">
        <v>2055.8055555555557</v>
      </c>
      <c r="AP159" s="155">
        <v>12</v>
      </c>
      <c r="AR159" s="155" t="s">
        <v>142</v>
      </c>
      <c r="AS159" s="162">
        <v>2187.2903225806454</v>
      </c>
      <c r="AT159" s="155">
        <v>11</v>
      </c>
      <c r="AV159" s="155" t="s">
        <v>142</v>
      </c>
      <c r="AW159" s="162">
        <v>2448.7692307692309</v>
      </c>
      <c r="AX159" s="155">
        <v>10</v>
      </c>
      <c r="AZ159" s="155" t="s">
        <v>142</v>
      </c>
      <c r="BA159" s="162">
        <v>2814.5714285714284</v>
      </c>
      <c r="BB159" s="155">
        <v>10</v>
      </c>
      <c r="BD159" s="155" t="s">
        <v>142</v>
      </c>
      <c r="BE159" s="162">
        <v>3280.9375</v>
      </c>
      <c r="BF159" s="155">
        <v>10</v>
      </c>
      <c r="BH159" s="155" t="s">
        <v>142</v>
      </c>
      <c r="BI159" s="162">
        <v>3777.5454545454545</v>
      </c>
      <c r="BJ159" s="155">
        <v>9</v>
      </c>
      <c r="BL159" s="155" t="s">
        <v>142</v>
      </c>
      <c r="BM159" s="162">
        <v>3766</v>
      </c>
      <c r="BN159" s="155">
        <v>8</v>
      </c>
      <c r="BP159" s="155" t="s">
        <v>142</v>
      </c>
      <c r="BQ159" s="162">
        <v>74009</v>
      </c>
      <c r="BR159" s="155">
        <v>12</v>
      </c>
      <c r="BT159" s="155" t="s">
        <v>142</v>
      </c>
      <c r="BU159" s="162">
        <v>67806</v>
      </c>
      <c r="BV159" s="155">
        <v>11</v>
      </c>
      <c r="BX159" s="155" t="s">
        <v>142</v>
      </c>
      <c r="BY159" s="162">
        <v>63668</v>
      </c>
      <c r="BZ159" s="155">
        <v>10</v>
      </c>
      <c r="CB159" s="155" t="s">
        <v>142</v>
      </c>
      <c r="CC159" s="162">
        <v>59106</v>
      </c>
      <c r="CD159" s="155">
        <v>10</v>
      </c>
      <c r="CF159" s="155" t="s">
        <v>142</v>
      </c>
      <c r="CG159" s="162">
        <v>52495</v>
      </c>
      <c r="CH159" s="155">
        <v>10</v>
      </c>
      <c r="CJ159" s="155" t="s">
        <v>142</v>
      </c>
      <c r="CK159" s="162">
        <v>41553</v>
      </c>
      <c r="CL159" s="155">
        <v>9</v>
      </c>
      <c r="CN159" s="155" t="s">
        <v>142</v>
      </c>
      <c r="CO159" s="162">
        <v>22596</v>
      </c>
      <c r="CP159" s="155">
        <v>8</v>
      </c>
    </row>
    <row r="160" spans="1:94" x14ac:dyDescent="0.2">
      <c r="A160" s="155" t="s">
        <v>252</v>
      </c>
      <c r="C160" s="155" t="s">
        <v>143</v>
      </c>
      <c r="D160" s="162">
        <v>21593</v>
      </c>
      <c r="E160" s="155">
        <v>67</v>
      </c>
      <c r="G160" s="155" t="s">
        <v>143</v>
      </c>
      <c r="H160" s="162">
        <v>24300</v>
      </c>
      <c r="I160" s="155">
        <v>65</v>
      </c>
      <c r="K160" s="155" t="s">
        <v>143</v>
      </c>
      <c r="L160" s="162">
        <v>25811</v>
      </c>
      <c r="M160" s="155">
        <v>64</v>
      </c>
      <c r="O160" s="155" t="s">
        <v>143</v>
      </c>
      <c r="P160" s="162">
        <v>26702</v>
      </c>
      <c r="Q160" s="155">
        <v>63</v>
      </c>
      <c r="S160" s="155" t="s">
        <v>143</v>
      </c>
      <c r="T160" s="162">
        <v>26926</v>
      </c>
      <c r="U160" s="155">
        <v>66</v>
      </c>
      <c r="W160" s="155" t="s">
        <v>143</v>
      </c>
      <c r="X160" s="162">
        <v>30148</v>
      </c>
      <c r="Y160" s="155">
        <v>66</v>
      </c>
      <c r="AA160" s="155" t="s">
        <v>143</v>
      </c>
      <c r="AB160" s="162">
        <v>33272</v>
      </c>
      <c r="AC160" s="155">
        <v>66</v>
      </c>
      <c r="AD160" s="155">
        <v>66</v>
      </c>
      <c r="AE160" s="155" t="s">
        <v>143</v>
      </c>
      <c r="AF160" s="160">
        <v>35562</v>
      </c>
      <c r="AH160" s="155" t="s">
        <v>143</v>
      </c>
      <c r="AI160" s="155">
        <v>490.6</v>
      </c>
      <c r="AN160" s="155" t="s">
        <v>143</v>
      </c>
      <c r="AO160" s="162">
        <v>388.02777777777777</v>
      </c>
      <c r="AP160" s="155">
        <v>57</v>
      </c>
      <c r="AR160" s="155" t="s">
        <v>143</v>
      </c>
      <c r="AS160" s="162">
        <v>363.29032258064518</v>
      </c>
      <c r="AT160" s="155">
        <v>58</v>
      </c>
      <c r="AV160" s="155" t="s">
        <v>143</v>
      </c>
      <c r="AW160" s="162">
        <v>375.03846153846155</v>
      </c>
      <c r="AX160" s="155">
        <v>55</v>
      </c>
      <c r="AZ160" s="155" t="s">
        <v>143</v>
      </c>
      <c r="BA160" s="162">
        <v>421.90476190476193</v>
      </c>
      <c r="BB160" s="155">
        <v>53</v>
      </c>
      <c r="BD160" s="155" t="s">
        <v>143</v>
      </c>
      <c r="BE160" s="162">
        <v>539.75</v>
      </c>
      <c r="BF160" s="155">
        <v>49</v>
      </c>
      <c r="BH160" s="155" t="s">
        <v>143</v>
      </c>
      <c r="BI160" s="162">
        <v>492.18181818181819</v>
      </c>
      <c r="BJ160" s="155">
        <v>49</v>
      </c>
      <c r="BL160" s="155" t="s">
        <v>143</v>
      </c>
      <c r="BM160" s="162">
        <v>381.66666666666669</v>
      </c>
      <c r="BN160" s="155">
        <v>45</v>
      </c>
      <c r="BP160" s="155" t="s">
        <v>143</v>
      </c>
      <c r="BQ160" s="162">
        <v>13969</v>
      </c>
      <c r="BR160" s="155">
        <v>57</v>
      </c>
      <c r="BT160" s="155" t="s">
        <v>143</v>
      </c>
      <c r="BU160" s="162">
        <v>11262</v>
      </c>
      <c r="BV160" s="155">
        <v>58</v>
      </c>
      <c r="BX160" s="155" t="s">
        <v>143</v>
      </c>
      <c r="BY160" s="162">
        <v>9751</v>
      </c>
      <c r="BZ160" s="155">
        <v>56</v>
      </c>
      <c r="CB160" s="155" t="s">
        <v>143</v>
      </c>
      <c r="CC160" s="162">
        <v>8860</v>
      </c>
      <c r="CD160" s="155">
        <v>54</v>
      </c>
      <c r="CF160" s="155" t="s">
        <v>143</v>
      </c>
      <c r="CG160" s="162">
        <v>8636</v>
      </c>
      <c r="CH160" s="155">
        <v>50</v>
      </c>
      <c r="CJ160" s="155" t="s">
        <v>143</v>
      </c>
      <c r="CK160" s="162">
        <v>5414</v>
      </c>
      <c r="CL160" s="155">
        <v>50</v>
      </c>
      <c r="CN160" s="155" t="s">
        <v>143</v>
      </c>
      <c r="CO160" s="162">
        <v>2290</v>
      </c>
      <c r="CP160" s="155">
        <v>46</v>
      </c>
    </row>
    <row r="161" spans="1:94" x14ac:dyDescent="0.2">
      <c r="A161" s="155" t="s">
        <v>253</v>
      </c>
      <c r="C161" s="155" t="s">
        <v>144</v>
      </c>
      <c r="D161" s="162">
        <v>61737</v>
      </c>
      <c r="E161" s="155">
        <v>24</v>
      </c>
      <c r="G161" s="155" t="s">
        <v>144</v>
      </c>
      <c r="H161" s="162">
        <v>66800</v>
      </c>
      <c r="I161" s="155">
        <v>26</v>
      </c>
      <c r="K161" s="155" t="s">
        <v>144</v>
      </c>
      <c r="L161" s="162">
        <v>70599</v>
      </c>
      <c r="M161" s="155">
        <v>26</v>
      </c>
      <c r="O161" s="155" t="s">
        <v>144</v>
      </c>
      <c r="P161" s="162">
        <v>75858</v>
      </c>
      <c r="Q161" s="155">
        <v>26</v>
      </c>
      <c r="S161" s="155" t="s">
        <v>144</v>
      </c>
      <c r="T161" s="162">
        <v>81925</v>
      </c>
      <c r="U161" s="155">
        <v>26</v>
      </c>
      <c r="W161" s="155" t="s">
        <v>144</v>
      </c>
      <c r="X161" s="162">
        <v>97914</v>
      </c>
      <c r="Y161" s="155">
        <v>23</v>
      </c>
      <c r="AA161" s="155" t="s">
        <v>144</v>
      </c>
      <c r="AB161" s="162">
        <v>123293</v>
      </c>
      <c r="AC161" s="155">
        <v>21</v>
      </c>
      <c r="AD161" s="155">
        <v>14</v>
      </c>
      <c r="AE161" s="155" t="s">
        <v>144</v>
      </c>
      <c r="AF161" s="160">
        <v>152143</v>
      </c>
      <c r="AH161" s="155" t="s">
        <v>144</v>
      </c>
      <c r="AI161" s="155">
        <v>792</v>
      </c>
      <c r="AN161" s="155" t="s">
        <v>144</v>
      </c>
      <c r="AO161" s="162">
        <v>2511.2777777777778</v>
      </c>
      <c r="AP161" s="155">
        <v>8</v>
      </c>
      <c r="AR161" s="155" t="s">
        <v>144</v>
      </c>
      <c r="AS161" s="162">
        <v>2753</v>
      </c>
      <c r="AT161" s="155">
        <v>7</v>
      </c>
      <c r="AV161" s="155" t="s">
        <v>144</v>
      </c>
      <c r="AW161" s="162">
        <v>3136.3076923076924</v>
      </c>
      <c r="AX161" s="155">
        <v>7</v>
      </c>
      <c r="AZ161" s="155" t="s">
        <v>144</v>
      </c>
      <c r="BA161" s="162">
        <v>3632.6190476190477</v>
      </c>
      <c r="BB161" s="155">
        <v>6</v>
      </c>
      <c r="BD161" s="155" t="s">
        <v>144</v>
      </c>
      <c r="BE161" s="162">
        <v>4388.625</v>
      </c>
      <c r="BF161" s="155">
        <v>5</v>
      </c>
      <c r="BH161" s="155" t="s">
        <v>144</v>
      </c>
      <c r="BI161" s="162">
        <v>4929.909090909091</v>
      </c>
      <c r="BJ161" s="155">
        <v>5</v>
      </c>
      <c r="BL161" s="155" t="s">
        <v>144</v>
      </c>
      <c r="BM161" s="162">
        <v>4808.333333333333</v>
      </c>
      <c r="BN161" s="155">
        <v>5</v>
      </c>
      <c r="BP161" s="155" t="s">
        <v>144</v>
      </c>
      <c r="BQ161" s="162">
        <v>90406</v>
      </c>
      <c r="BR161" s="155">
        <v>8</v>
      </c>
      <c r="BT161" s="155" t="s">
        <v>144</v>
      </c>
      <c r="BU161" s="162">
        <v>85343</v>
      </c>
      <c r="BV161" s="155">
        <v>7</v>
      </c>
      <c r="BX161" s="155" t="s">
        <v>144</v>
      </c>
      <c r="BY161" s="162">
        <v>81544</v>
      </c>
      <c r="BZ161" s="155">
        <v>7</v>
      </c>
      <c r="CB161" s="155" t="s">
        <v>144</v>
      </c>
      <c r="CC161" s="162">
        <v>76285</v>
      </c>
      <c r="CD161" s="155">
        <v>6</v>
      </c>
      <c r="CF161" s="155" t="s">
        <v>144</v>
      </c>
      <c r="CG161" s="162">
        <v>70218</v>
      </c>
      <c r="CH161" s="155">
        <v>5</v>
      </c>
      <c r="CJ161" s="155" t="s">
        <v>144</v>
      </c>
      <c r="CK161" s="162">
        <v>54229</v>
      </c>
      <c r="CL161" s="155">
        <v>5</v>
      </c>
      <c r="CN161" s="155" t="s">
        <v>144</v>
      </c>
      <c r="CO161" s="162">
        <v>28850</v>
      </c>
      <c r="CP161" s="155">
        <v>5</v>
      </c>
    </row>
    <row r="162" spans="1:94" x14ac:dyDescent="0.2">
      <c r="A162" s="155" t="s">
        <v>254</v>
      </c>
      <c r="C162" s="155" t="s">
        <v>145</v>
      </c>
      <c r="D162" s="162">
        <v>9779</v>
      </c>
      <c r="E162" s="155">
        <v>88</v>
      </c>
      <c r="G162" s="155" t="s">
        <v>145</v>
      </c>
      <c r="H162" s="162">
        <v>9800</v>
      </c>
      <c r="I162" s="155">
        <v>91</v>
      </c>
      <c r="K162" s="155" t="s">
        <v>145</v>
      </c>
      <c r="L162" s="162">
        <v>9705</v>
      </c>
      <c r="M162" s="155">
        <v>92</v>
      </c>
      <c r="O162" s="155" t="s">
        <v>145</v>
      </c>
      <c r="P162" s="162">
        <v>9384</v>
      </c>
      <c r="Q162" s="155">
        <v>94</v>
      </c>
      <c r="S162" s="155" t="s">
        <v>145</v>
      </c>
      <c r="T162" s="162">
        <v>9392</v>
      </c>
      <c r="U162" s="155">
        <v>94</v>
      </c>
      <c r="W162" s="155" t="s">
        <v>145</v>
      </c>
      <c r="X162" s="162">
        <v>10104</v>
      </c>
      <c r="Y162" s="155">
        <v>94</v>
      </c>
      <c r="AA162" s="155" t="s">
        <v>145</v>
      </c>
      <c r="AB162" s="162">
        <v>10394</v>
      </c>
      <c r="AC162" s="155">
        <v>95</v>
      </c>
      <c r="AD162" s="155">
        <v>95</v>
      </c>
      <c r="AE162" s="155" t="s">
        <v>145</v>
      </c>
      <c r="AF162" s="160">
        <v>10204</v>
      </c>
      <c r="AH162" s="155" t="s">
        <v>145</v>
      </c>
      <c r="AI162" s="155">
        <v>473.3</v>
      </c>
      <c r="AN162" s="155" t="s">
        <v>145</v>
      </c>
      <c r="AO162" s="162">
        <v>11.805555555555555</v>
      </c>
      <c r="AP162" s="155">
        <v>93</v>
      </c>
      <c r="AR162" s="155" t="s">
        <v>145</v>
      </c>
      <c r="AS162" s="162">
        <v>13.03225806451613</v>
      </c>
      <c r="AT162" s="155">
        <v>91</v>
      </c>
      <c r="AV162" s="155" t="s">
        <v>145</v>
      </c>
      <c r="AW162" s="162">
        <v>19.192307692307693</v>
      </c>
      <c r="AX162" s="155">
        <v>89</v>
      </c>
      <c r="AZ162" s="155" t="s">
        <v>145</v>
      </c>
      <c r="BA162" s="162">
        <v>39.047619047619051</v>
      </c>
      <c r="BB162" s="155">
        <v>88</v>
      </c>
      <c r="BD162" s="155" t="s">
        <v>145</v>
      </c>
      <c r="BE162" s="162">
        <v>50.75</v>
      </c>
      <c r="BF162" s="155">
        <v>89</v>
      </c>
      <c r="BH162" s="155" t="s">
        <v>145</v>
      </c>
      <c r="BI162" s="162">
        <v>9.0909090909090917</v>
      </c>
      <c r="BJ162" s="155">
        <v>92</v>
      </c>
      <c r="BL162" s="155" t="s">
        <v>145</v>
      </c>
      <c r="BM162" s="162">
        <v>-31.666666666666668</v>
      </c>
      <c r="BN162" s="155">
        <v>90</v>
      </c>
      <c r="BP162" s="155" t="s">
        <v>145</v>
      </c>
      <c r="BQ162" s="162">
        <v>425</v>
      </c>
      <c r="BR162" s="155">
        <v>93</v>
      </c>
      <c r="BT162" s="155" t="s">
        <v>145</v>
      </c>
      <c r="BU162" s="162">
        <v>404</v>
      </c>
      <c r="BV162" s="155">
        <v>91</v>
      </c>
      <c r="BX162" s="155" t="s">
        <v>145</v>
      </c>
      <c r="BY162" s="162">
        <v>499</v>
      </c>
      <c r="BZ162" s="155">
        <v>89</v>
      </c>
      <c r="CB162" s="155" t="s">
        <v>145</v>
      </c>
      <c r="CC162" s="162">
        <v>820</v>
      </c>
      <c r="CD162" s="155">
        <v>88</v>
      </c>
      <c r="CF162" s="155" t="s">
        <v>145</v>
      </c>
      <c r="CG162" s="162">
        <v>812</v>
      </c>
      <c r="CH162" s="155">
        <v>89</v>
      </c>
      <c r="CJ162" s="155" t="s">
        <v>145</v>
      </c>
      <c r="CK162" s="162">
        <v>100</v>
      </c>
      <c r="CL162" s="155">
        <v>92</v>
      </c>
      <c r="CN162" s="155" t="s">
        <v>145</v>
      </c>
      <c r="CO162" s="162">
        <v>-190</v>
      </c>
      <c r="CP162" s="155">
        <v>90</v>
      </c>
    </row>
    <row r="163" spans="1:94" x14ac:dyDescent="0.2">
      <c r="A163" s="155" t="s">
        <v>255</v>
      </c>
      <c r="C163" s="155" t="s">
        <v>146</v>
      </c>
      <c r="D163" s="162">
        <v>30467</v>
      </c>
      <c r="E163" s="155">
        <v>52</v>
      </c>
      <c r="G163" s="155" t="s">
        <v>146</v>
      </c>
      <c r="H163" s="162">
        <v>33600</v>
      </c>
      <c r="I163" s="155">
        <v>52</v>
      </c>
      <c r="K163" s="155" t="s">
        <v>146</v>
      </c>
      <c r="L163" s="162">
        <v>36718</v>
      </c>
      <c r="M163" s="155">
        <v>50</v>
      </c>
      <c r="O163" s="155" t="s">
        <v>146</v>
      </c>
      <c r="P163" s="162">
        <v>39719</v>
      </c>
      <c r="Q163" s="155">
        <v>50</v>
      </c>
      <c r="S163" s="155" t="s">
        <v>146</v>
      </c>
      <c r="T163" s="162">
        <v>41548</v>
      </c>
      <c r="U163" s="155">
        <v>49</v>
      </c>
      <c r="W163" s="155" t="s">
        <v>146</v>
      </c>
      <c r="X163" s="162">
        <v>45698</v>
      </c>
      <c r="Y163" s="155">
        <v>48</v>
      </c>
      <c r="AA163" s="155" t="s">
        <v>146</v>
      </c>
      <c r="AB163" s="162">
        <v>49424</v>
      </c>
      <c r="AC163" s="155">
        <v>48</v>
      </c>
      <c r="AD163" s="155">
        <v>44</v>
      </c>
      <c r="AE163" s="155" t="s">
        <v>146</v>
      </c>
      <c r="AF163" s="160">
        <v>56908</v>
      </c>
      <c r="AH163" s="155" t="s">
        <v>146</v>
      </c>
      <c r="AI163" s="155">
        <v>257.3</v>
      </c>
      <c r="AN163" s="155" t="s">
        <v>146</v>
      </c>
      <c r="AO163" s="162">
        <v>734.47222222222217</v>
      </c>
      <c r="AP163" s="155">
        <v>37</v>
      </c>
      <c r="AR163" s="155" t="s">
        <v>146</v>
      </c>
      <c r="AS163" s="162">
        <v>751.87096774193549</v>
      </c>
      <c r="AT163" s="155">
        <v>35</v>
      </c>
      <c r="AV163" s="155" t="s">
        <v>146</v>
      </c>
      <c r="AW163" s="162">
        <v>776.53846153846155</v>
      </c>
      <c r="AX163" s="155">
        <v>37</v>
      </c>
      <c r="AZ163" s="155" t="s">
        <v>146</v>
      </c>
      <c r="BA163" s="162">
        <v>818.52380952380952</v>
      </c>
      <c r="BB163" s="155">
        <v>34</v>
      </c>
      <c r="BD163" s="155" t="s">
        <v>146</v>
      </c>
      <c r="BE163" s="162">
        <v>960</v>
      </c>
      <c r="BF163" s="155">
        <v>33</v>
      </c>
      <c r="BH163" s="155" t="s">
        <v>146</v>
      </c>
      <c r="BI163" s="162">
        <v>1019.0909090909091</v>
      </c>
      <c r="BJ163" s="155">
        <v>31</v>
      </c>
      <c r="BL163" s="155" t="s">
        <v>146</v>
      </c>
      <c r="BM163" s="162">
        <v>1247.3333333333333</v>
      </c>
      <c r="BN163" s="155">
        <v>26</v>
      </c>
      <c r="BP163" s="155" t="s">
        <v>146</v>
      </c>
      <c r="BQ163" s="162">
        <v>26441</v>
      </c>
      <c r="BR163" s="155">
        <v>37</v>
      </c>
      <c r="BT163" s="155" t="s">
        <v>146</v>
      </c>
      <c r="BU163" s="162">
        <v>23308</v>
      </c>
      <c r="BV163" s="155">
        <v>35</v>
      </c>
      <c r="BX163" s="155" t="s">
        <v>146</v>
      </c>
      <c r="BY163" s="162">
        <v>20190</v>
      </c>
      <c r="BZ163" s="155">
        <v>37</v>
      </c>
      <c r="CB163" s="155" t="s">
        <v>146</v>
      </c>
      <c r="CC163" s="162">
        <v>17189</v>
      </c>
      <c r="CD163" s="155">
        <v>34</v>
      </c>
      <c r="CF163" s="155" t="s">
        <v>146</v>
      </c>
      <c r="CG163" s="162">
        <v>15360</v>
      </c>
      <c r="CH163" s="155">
        <v>33</v>
      </c>
      <c r="CJ163" s="155" t="s">
        <v>146</v>
      </c>
      <c r="CK163" s="162">
        <v>11210</v>
      </c>
      <c r="CL163" s="155">
        <v>31</v>
      </c>
      <c r="CN163" s="155" t="s">
        <v>146</v>
      </c>
      <c r="CO163" s="162">
        <v>7484</v>
      </c>
      <c r="CP163" s="155">
        <v>26</v>
      </c>
    </row>
    <row r="164" spans="1:94" x14ac:dyDescent="0.2">
      <c r="A164" s="155" t="s">
        <v>256</v>
      </c>
      <c r="C164" s="155" t="s">
        <v>147</v>
      </c>
      <c r="D164" s="162">
        <v>55204</v>
      </c>
      <c r="E164" s="155">
        <v>30</v>
      </c>
      <c r="G164" s="155" t="s">
        <v>147</v>
      </c>
      <c r="H164" s="162">
        <v>58500</v>
      </c>
      <c r="I164" s="155">
        <v>31</v>
      </c>
      <c r="K164" s="155" t="s">
        <v>147</v>
      </c>
      <c r="L164" s="162">
        <v>59819</v>
      </c>
      <c r="M164" s="155">
        <v>31</v>
      </c>
      <c r="O164" s="155" t="s">
        <v>147</v>
      </c>
      <c r="P164" s="162">
        <v>58856</v>
      </c>
      <c r="Q164" s="155">
        <v>35</v>
      </c>
      <c r="S164" s="155" t="s">
        <v>147</v>
      </c>
      <c r="T164" s="162">
        <v>57376</v>
      </c>
      <c r="U164" s="155">
        <v>36</v>
      </c>
      <c r="W164" s="155" t="s">
        <v>147</v>
      </c>
      <c r="X164" s="162">
        <v>59666</v>
      </c>
      <c r="Y164" s="155">
        <v>38</v>
      </c>
      <c r="AA164" s="155" t="s">
        <v>147</v>
      </c>
      <c r="AB164" s="162">
        <v>59499</v>
      </c>
      <c r="AC164" s="155">
        <v>40</v>
      </c>
      <c r="AD164" s="155">
        <v>43</v>
      </c>
      <c r="AE164" s="155" t="s">
        <v>147</v>
      </c>
      <c r="AF164" s="160">
        <v>57662</v>
      </c>
      <c r="AH164" s="155" t="s">
        <v>147</v>
      </c>
      <c r="AI164" s="155">
        <v>399.9</v>
      </c>
      <c r="AN164" s="155" t="s">
        <v>147</v>
      </c>
      <c r="AO164" s="162">
        <v>68.277777777777771</v>
      </c>
      <c r="AP164" s="155">
        <v>87</v>
      </c>
      <c r="AR164" s="155" t="s">
        <v>147</v>
      </c>
      <c r="AS164" s="162">
        <v>-27.032258064516128</v>
      </c>
      <c r="AT164" s="155">
        <v>97</v>
      </c>
      <c r="AV164" s="155" t="s">
        <v>147</v>
      </c>
      <c r="AW164" s="162">
        <v>-82.961538461538467</v>
      </c>
      <c r="AX164" s="155">
        <v>100</v>
      </c>
      <c r="AZ164" s="155" t="s">
        <v>147</v>
      </c>
      <c r="BA164" s="162">
        <v>-56.857142857142854</v>
      </c>
      <c r="BB164" s="155">
        <v>98</v>
      </c>
      <c r="BD164" s="155" t="s">
        <v>147</v>
      </c>
      <c r="BE164" s="162">
        <v>17.875</v>
      </c>
      <c r="BF164" s="155">
        <v>93</v>
      </c>
      <c r="BH164" s="155" t="s">
        <v>147</v>
      </c>
      <c r="BI164" s="162">
        <v>-182.18181818181819</v>
      </c>
      <c r="BJ164" s="155">
        <v>98</v>
      </c>
      <c r="BL164" s="155" t="s">
        <v>147</v>
      </c>
      <c r="BM164" s="162">
        <v>-306.16666666666669</v>
      </c>
      <c r="BN164" s="155">
        <v>99</v>
      </c>
      <c r="BP164" s="155" t="s">
        <v>147</v>
      </c>
      <c r="BQ164" s="162">
        <v>2458</v>
      </c>
      <c r="BR164" s="155">
        <v>87</v>
      </c>
      <c r="BT164" s="155" t="s">
        <v>147</v>
      </c>
      <c r="BU164" s="162">
        <v>-838</v>
      </c>
      <c r="BV164" s="155">
        <v>96</v>
      </c>
      <c r="BX164" s="155" t="s">
        <v>147</v>
      </c>
      <c r="BY164" s="162">
        <v>-2157</v>
      </c>
      <c r="BZ164" s="155">
        <v>100</v>
      </c>
      <c r="CB164" s="155" t="s">
        <v>147</v>
      </c>
      <c r="CC164" s="162">
        <v>-1194</v>
      </c>
      <c r="CD164" s="155">
        <v>97</v>
      </c>
      <c r="CF164" s="155" t="s">
        <v>147</v>
      </c>
      <c r="CG164" s="162">
        <v>286</v>
      </c>
      <c r="CH164" s="155">
        <v>93</v>
      </c>
      <c r="CJ164" s="155" t="s">
        <v>147</v>
      </c>
      <c r="CK164" s="162">
        <v>-2004</v>
      </c>
      <c r="CL164" s="155">
        <v>98</v>
      </c>
      <c r="CN164" s="155" t="s">
        <v>147</v>
      </c>
      <c r="CO164" s="162">
        <v>-1837</v>
      </c>
      <c r="CP164" s="155">
        <v>99</v>
      </c>
    </row>
    <row r="165" spans="1:94" x14ac:dyDescent="0.2">
      <c r="A165" s="155" t="s">
        <v>257</v>
      </c>
      <c r="C165" s="155" t="s">
        <v>148</v>
      </c>
      <c r="D165" s="162">
        <v>32682</v>
      </c>
      <c r="E165" s="155">
        <v>49</v>
      </c>
      <c r="G165" s="155" t="s">
        <v>148</v>
      </c>
      <c r="H165" s="162">
        <v>37900</v>
      </c>
      <c r="I165" s="155">
        <v>47</v>
      </c>
      <c r="K165" s="155" t="s">
        <v>148</v>
      </c>
      <c r="L165" s="162">
        <v>42372</v>
      </c>
      <c r="M165" s="155">
        <v>45</v>
      </c>
      <c r="O165" s="155" t="s">
        <v>148</v>
      </c>
      <c r="P165" s="162">
        <v>45601</v>
      </c>
      <c r="Q165" s="155">
        <v>45</v>
      </c>
      <c r="S165" s="155" t="s">
        <v>148</v>
      </c>
      <c r="T165" s="162">
        <v>50790</v>
      </c>
      <c r="U165" s="155">
        <v>43</v>
      </c>
      <c r="W165" s="155" t="s">
        <v>148</v>
      </c>
      <c r="X165" s="162">
        <v>57757</v>
      </c>
      <c r="Y165" s="155">
        <v>40</v>
      </c>
      <c r="AA165" s="155" t="s">
        <v>148</v>
      </c>
      <c r="AB165" s="162">
        <v>64049</v>
      </c>
      <c r="AC165" s="155">
        <v>37</v>
      </c>
      <c r="AD165" s="155">
        <v>36</v>
      </c>
      <c r="AE165" s="155" t="s">
        <v>148</v>
      </c>
      <c r="AF165" s="160">
        <v>71894</v>
      </c>
      <c r="AH165" s="155" t="s">
        <v>148</v>
      </c>
      <c r="AI165" s="155">
        <v>298.8</v>
      </c>
      <c r="AN165" s="155" t="s">
        <v>148</v>
      </c>
      <c r="AO165" s="162">
        <v>1089.2222222222222</v>
      </c>
      <c r="AP165" s="155">
        <v>27</v>
      </c>
      <c r="AR165" s="155" t="s">
        <v>148</v>
      </c>
      <c r="AS165" s="162">
        <v>1096.5806451612902</v>
      </c>
      <c r="AT165" s="155">
        <v>26</v>
      </c>
      <c r="AV165" s="155" t="s">
        <v>148</v>
      </c>
      <c r="AW165" s="162">
        <v>1135.4615384615386</v>
      </c>
      <c r="AX165" s="155">
        <v>26</v>
      </c>
      <c r="AZ165" s="155" t="s">
        <v>148</v>
      </c>
      <c r="BA165" s="162">
        <v>1252.047619047619</v>
      </c>
      <c r="BB165" s="155">
        <v>25</v>
      </c>
      <c r="BD165" s="155" t="s">
        <v>148</v>
      </c>
      <c r="BE165" s="162">
        <v>1319</v>
      </c>
      <c r="BF165" s="155">
        <v>26</v>
      </c>
      <c r="BH165" s="155" t="s">
        <v>148</v>
      </c>
      <c r="BI165" s="162">
        <v>1285.1818181818182</v>
      </c>
      <c r="BJ165" s="155">
        <v>24</v>
      </c>
      <c r="BL165" s="155" t="s">
        <v>148</v>
      </c>
      <c r="BM165" s="162">
        <v>1307.5</v>
      </c>
      <c r="BN165" s="155">
        <v>25</v>
      </c>
      <c r="BP165" s="155" t="s">
        <v>148</v>
      </c>
      <c r="BQ165" s="162">
        <v>39212</v>
      </c>
      <c r="BR165" s="155">
        <v>27</v>
      </c>
      <c r="BT165" s="155" t="s">
        <v>148</v>
      </c>
      <c r="BU165" s="162">
        <v>33994</v>
      </c>
      <c r="BV165" s="155">
        <v>26</v>
      </c>
      <c r="BX165" s="155" t="s">
        <v>148</v>
      </c>
      <c r="BY165" s="162">
        <v>29522</v>
      </c>
      <c r="BZ165" s="155">
        <v>26</v>
      </c>
      <c r="CB165" s="155" t="s">
        <v>148</v>
      </c>
      <c r="CC165" s="162">
        <v>26293</v>
      </c>
      <c r="CD165" s="155">
        <v>25</v>
      </c>
      <c r="CF165" s="155" t="s">
        <v>148</v>
      </c>
      <c r="CG165" s="162">
        <v>21104</v>
      </c>
      <c r="CH165" s="155">
        <v>26</v>
      </c>
      <c r="CJ165" s="155" t="s">
        <v>148</v>
      </c>
      <c r="CK165" s="162">
        <v>14137</v>
      </c>
      <c r="CL165" s="155">
        <v>24</v>
      </c>
      <c r="CN165" s="155" t="s">
        <v>148</v>
      </c>
      <c r="CO165" s="162">
        <v>7845</v>
      </c>
      <c r="CP165" s="155">
        <v>25</v>
      </c>
    </row>
    <row r="166" spans="1:94" x14ac:dyDescent="0.2">
      <c r="A166" s="155" t="s">
        <v>258</v>
      </c>
      <c r="C166" s="155" t="s">
        <v>149</v>
      </c>
      <c r="D166" s="162">
        <v>15788</v>
      </c>
      <c r="E166" s="155">
        <v>79</v>
      </c>
      <c r="G166" s="155" t="s">
        <v>149</v>
      </c>
      <c r="H166" s="162">
        <v>18100</v>
      </c>
      <c r="I166" s="155">
        <v>77</v>
      </c>
      <c r="K166" s="155" t="s">
        <v>149</v>
      </c>
      <c r="L166" s="162">
        <v>20178</v>
      </c>
      <c r="M166" s="155">
        <v>77</v>
      </c>
      <c r="O166" s="155" t="s">
        <v>149</v>
      </c>
      <c r="P166" s="162">
        <v>22756</v>
      </c>
      <c r="Q166" s="155">
        <v>72</v>
      </c>
      <c r="S166" s="155" t="s">
        <v>149</v>
      </c>
      <c r="T166" s="162">
        <v>23623</v>
      </c>
      <c r="U166" s="155">
        <v>69</v>
      </c>
      <c r="W166" s="155" t="s">
        <v>149</v>
      </c>
      <c r="X166" s="162">
        <v>26307</v>
      </c>
      <c r="Y166" s="155">
        <v>69</v>
      </c>
      <c r="AA166" s="155" t="s">
        <v>149</v>
      </c>
      <c r="AB166" s="162">
        <v>29969</v>
      </c>
      <c r="AC166" s="155">
        <v>69</v>
      </c>
      <c r="AD166" s="155">
        <v>69</v>
      </c>
      <c r="AE166" s="155" t="s">
        <v>149</v>
      </c>
      <c r="AF166" s="155">
        <v>32395</v>
      </c>
      <c r="AH166" s="155" t="s">
        <v>149</v>
      </c>
      <c r="AI166" s="155">
        <v>516.5</v>
      </c>
      <c r="AN166" s="155" t="s">
        <v>149</v>
      </c>
      <c r="AO166" s="162">
        <v>461.30555555555554</v>
      </c>
      <c r="AP166" s="155">
        <v>52</v>
      </c>
      <c r="AR166" s="155" t="s">
        <v>149</v>
      </c>
      <c r="AS166" s="162">
        <v>397.08333333333331</v>
      </c>
      <c r="AT166" s="155">
        <v>54</v>
      </c>
      <c r="AV166" s="155" t="s">
        <v>149</v>
      </c>
      <c r="AW166" s="162">
        <v>339.36111111111109</v>
      </c>
      <c r="AX166" s="155">
        <v>58</v>
      </c>
      <c r="AZ166" s="155" t="s">
        <v>149</v>
      </c>
      <c r="BA166" s="162">
        <v>267.75</v>
      </c>
      <c r="BB166" s="155">
        <v>62</v>
      </c>
      <c r="BD166" s="155" t="s">
        <v>149</v>
      </c>
      <c r="BE166" s="162">
        <v>243.66666666666666</v>
      </c>
      <c r="BF166" s="155">
        <v>68</v>
      </c>
      <c r="BH166" s="155" t="s">
        <v>149</v>
      </c>
      <c r="BI166" s="162">
        <v>169.11111111111111</v>
      </c>
      <c r="BJ166" s="155">
        <v>74</v>
      </c>
      <c r="BL166" s="155" t="s">
        <v>149</v>
      </c>
      <c r="BM166" s="162">
        <v>67.388888888888886</v>
      </c>
      <c r="BN166" s="155">
        <v>76</v>
      </c>
      <c r="BP166" s="155" t="s">
        <v>149</v>
      </c>
      <c r="BQ166" s="162">
        <v>16607</v>
      </c>
      <c r="BR166" s="155">
        <v>52</v>
      </c>
      <c r="BT166" s="155" t="s">
        <v>149</v>
      </c>
      <c r="BU166" s="162">
        <v>14295</v>
      </c>
      <c r="BV166" s="155">
        <v>47</v>
      </c>
      <c r="BX166" s="155" t="s">
        <v>149</v>
      </c>
      <c r="BY166" s="162">
        <v>12217</v>
      </c>
      <c r="BZ166" s="155">
        <v>47</v>
      </c>
      <c r="CB166" s="155" t="s">
        <v>149</v>
      </c>
      <c r="CC166" s="162">
        <v>9639</v>
      </c>
      <c r="CD166" s="155">
        <v>51</v>
      </c>
      <c r="CF166" s="155" t="s">
        <v>149</v>
      </c>
      <c r="CG166" s="162">
        <v>8772</v>
      </c>
      <c r="CH166" s="155">
        <v>48</v>
      </c>
      <c r="CJ166" s="155" t="s">
        <v>149</v>
      </c>
      <c r="CK166" s="162">
        <v>6088</v>
      </c>
      <c r="CL166" s="155">
        <v>44</v>
      </c>
      <c r="CN166" s="155" t="s">
        <v>149</v>
      </c>
      <c r="CO166" s="162">
        <v>2426</v>
      </c>
      <c r="CP166" s="155">
        <v>43</v>
      </c>
    </row>
    <row r="167" spans="1:94" x14ac:dyDescent="0.2">
      <c r="A167" s="155" t="s">
        <v>259</v>
      </c>
      <c r="C167" s="155" t="s">
        <v>150</v>
      </c>
      <c r="D167" s="162">
        <v>16003</v>
      </c>
      <c r="E167" s="155">
        <v>78</v>
      </c>
      <c r="G167" s="155" t="s">
        <v>150</v>
      </c>
      <c r="H167" s="162">
        <v>16500</v>
      </c>
      <c r="I167" s="155">
        <v>79</v>
      </c>
      <c r="K167" s="155" t="s">
        <v>150</v>
      </c>
      <c r="L167" s="162">
        <v>16827</v>
      </c>
      <c r="M167" s="155">
        <v>79</v>
      </c>
      <c r="O167" s="155" t="s">
        <v>150</v>
      </c>
      <c r="P167" s="162">
        <v>17037</v>
      </c>
      <c r="Q167" s="155">
        <v>79</v>
      </c>
      <c r="S167" s="155" t="s">
        <v>150</v>
      </c>
      <c r="T167" s="162">
        <v>17027</v>
      </c>
      <c r="U167" s="155">
        <v>81</v>
      </c>
      <c r="W167" s="155" t="s">
        <v>150</v>
      </c>
      <c r="X167" s="162">
        <v>18199</v>
      </c>
      <c r="Y167" s="155">
        <v>81</v>
      </c>
      <c r="AA167" s="155" t="s">
        <v>150</v>
      </c>
      <c r="AB167" s="162">
        <v>19701</v>
      </c>
      <c r="AC167" s="155">
        <v>81</v>
      </c>
      <c r="AD167" s="155">
        <v>80</v>
      </c>
      <c r="AE167" s="155" t="s">
        <v>150</v>
      </c>
      <c r="AF167" s="155">
        <v>20355</v>
      </c>
      <c r="AH167" s="155" t="s">
        <v>150</v>
      </c>
      <c r="AI167" s="155">
        <v>449.4</v>
      </c>
      <c r="AN167" s="155" t="s">
        <v>150</v>
      </c>
      <c r="AO167" s="162">
        <v>120.88888888888889</v>
      </c>
      <c r="AP167" s="155">
        <v>79</v>
      </c>
      <c r="AR167" s="155" t="s">
        <v>150</v>
      </c>
      <c r="AS167" s="162">
        <v>107.08333333333333</v>
      </c>
      <c r="AT167" s="155">
        <v>79</v>
      </c>
      <c r="AV167" s="155" t="s">
        <v>150</v>
      </c>
      <c r="AW167" s="162">
        <v>98</v>
      </c>
      <c r="AX167" s="155">
        <v>81</v>
      </c>
      <c r="AZ167" s="155" t="s">
        <v>150</v>
      </c>
      <c r="BA167" s="162">
        <v>92.166666666666671</v>
      </c>
      <c r="BB167" s="155">
        <v>82</v>
      </c>
      <c r="BD167" s="155" t="s">
        <v>150</v>
      </c>
      <c r="BE167" s="162">
        <v>92.444444444444443</v>
      </c>
      <c r="BF167" s="155">
        <v>83</v>
      </c>
      <c r="BH167" s="155" t="s">
        <v>150</v>
      </c>
      <c r="BI167" s="162">
        <v>59.888888888888886</v>
      </c>
      <c r="BJ167" s="155">
        <v>87</v>
      </c>
      <c r="BL167" s="155" t="s">
        <v>150</v>
      </c>
      <c r="BM167" s="162">
        <v>18.166666666666668</v>
      </c>
      <c r="BN167" s="155">
        <v>81</v>
      </c>
      <c r="BP167" s="155" t="s">
        <v>150</v>
      </c>
      <c r="BQ167" s="162">
        <v>4352</v>
      </c>
      <c r="BR167" s="155">
        <v>79</v>
      </c>
      <c r="BT167" s="155" t="s">
        <v>150</v>
      </c>
      <c r="BU167" s="162">
        <v>3855</v>
      </c>
      <c r="BV167" s="155">
        <v>75</v>
      </c>
      <c r="BX167" s="155" t="s">
        <v>150</v>
      </c>
      <c r="BY167" s="162">
        <v>3528</v>
      </c>
      <c r="BZ167" s="155">
        <v>71</v>
      </c>
      <c r="CB167" s="155" t="s">
        <v>150</v>
      </c>
      <c r="CC167" s="162">
        <v>3318</v>
      </c>
      <c r="CD167" s="155">
        <v>72</v>
      </c>
      <c r="CF167" s="155" t="s">
        <v>150</v>
      </c>
      <c r="CG167" s="162">
        <v>3328</v>
      </c>
      <c r="CH167" s="155">
        <v>71</v>
      </c>
      <c r="CJ167" s="155" t="s">
        <v>150</v>
      </c>
      <c r="CK167" s="162">
        <v>2156</v>
      </c>
      <c r="CL167" s="155">
        <v>72</v>
      </c>
      <c r="CN167" s="155" t="s">
        <v>150</v>
      </c>
      <c r="CO167" s="162">
        <v>654</v>
      </c>
      <c r="CP167" s="155">
        <v>70</v>
      </c>
    </row>
    <row r="168" spans="1:94" x14ac:dyDescent="0.2">
      <c r="A168" s="155" t="s">
        <v>260</v>
      </c>
      <c r="C168" s="155" t="s">
        <v>151</v>
      </c>
      <c r="D168" s="162">
        <v>24730</v>
      </c>
      <c r="E168" s="155">
        <v>59</v>
      </c>
      <c r="G168" s="155" t="s">
        <v>151</v>
      </c>
      <c r="H168" s="162">
        <v>25300</v>
      </c>
      <c r="I168" s="155">
        <v>63</v>
      </c>
      <c r="K168" s="155" t="s">
        <v>151</v>
      </c>
      <c r="L168" s="162">
        <v>25948</v>
      </c>
      <c r="M168" s="155">
        <v>63</v>
      </c>
      <c r="O168" s="155" t="s">
        <v>151</v>
      </c>
      <c r="P168" s="162">
        <v>25858</v>
      </c>
      <c r="Q168" s="155">
        <v>66</v>
      </c>
      <c r="S168" s="155" t="s">
        <v>151</v>
      </c>
      <c r="T168" s="162">
        <v>25049</v>
      </c>
      <c r="U168" s="155">
        <v>68</v>
      </c>
      <c r="W168" s="155" t="s">
        <v>151</v>
      </c>
      <c r="X168" s="162">
        <v>26017</v>
      </c>
      <c r="Y168" s="155">
        <v>70</v>
      </c>
      <c r="AA168" s="155" t="s">
        <v>151</v>
      </c>
      <c r="AB168" s="162">
        <v>25517</v>
      </c>
      <c r="AC168" s="155">
        <v>72</v>
      </c>
      <c r="AD168" s="155">
        <v>75</v>
      </c>
      <c r="AE168" s="155" t="s">
        <v>151</v>
      </c>
      <c r="AF168" s="155">
        <v>24342</v>
      </c>
      <c r="AH168" s="155" t="s">
        <v>151</v>
      </c>
      <c r="AI168" s="155">
        <v>462.6</v>
      </c>
      <c r="AN168" s="155" t="s">
        <v>151</v>
      </c>
      <c r="AO168" s="162">
        <v>-10.777777777777779</v>
      </c>
      <c r="AP168" s="155">
        <v>96</v>
      </c>
      <c r="AR168" s="155" t="s">
        <v>151</v>
      </c>
      <c r="AS168" s="162">
        <v>-26.611111111111111</v>
      </c>
      <c r="AT168" s="155">
        <v>96</v>
      </c>
      <c r="AV168" s="155" t="s">
        <v>151</v>
      </c>
      <c r="AW168" s="162">
        <v>-44.611111111111114</v>
      </c>
      <c r="AX168" s="155">
        <v>96</v>
      </c>
      <c r="AZ168" s="155" t="s">
        <v>151</v>
      </c>
      <c r="BA168" s="162">
        <v>-42.111111111111114</v>
      </c>
      <c r="BB168" s="155">
        <v>96</v>
      </c>
      <c r="BD168" s="155" t="s">
        <v>151</v>
      </c>
      <c r="BE168" s="162">
        <v>-19.638888888888889</v>
      </c>
      <c r="BF168" s="155">
        <v>97</v>
      </c>
      <c r="BH168" s="155" t="s">
        <v>151</v>
      </c>
      <c r="BI168" s="162">
        <v>-46.527777777777779</v>
      </c>
      <c r="BJ168" s="155">
        <v>95</v>
      </c>
      <c r="BL168" s="155" t="s">
        <v>151</v>
      </c>
      <c r="BM168" s="162">
        <v>-32.638888888888886</v>
      </c>
      <c r="BN168" s="155">
        <v>91</v>
      </c>
      <c r="BP168" s="155" t="s">
        <v>151</v>
      </c>
      <c r="BQ168" s="162">
        <v>-388</v>
      </c>
      <c r="BR168" s="155">
        <v>96</v>
      </c>
      <c r="BT168" s="155" t="s">
        <v>151</v>
      </c>
      <c r="BU168" s="162">
        <v>-958</v>
      </c>
      <c r="BV168" s="155">
        <v>97</v>
      </c>
      <c r="BX168" s="155" t="s">
        <v>151</v>
      </c>
      <c r="BY168" s="162">
        <v>-1606</v>
      </c>
      <c r="BZ168" s="155">
        <v>97</v>
      </c>
      <c r="CB168" s="155" t="s">
        <v>151</v>
      </c>
      <c r="CC168" s="162">
        <v>-1516</v>
      </c>
      <c r="CD168" s="155">
        <v>98</v>
      </c>
      <c r="CF168" s="155" t="s">
        <v>151</v>
      </c>
      <c r="CG168" s="162">
        <v>-707</v>
      </c>
      <c r="CH168" s="155">
        <v>97</v>
      </c>
      <c r="CJ168" s="155" t="s">
        <v>151</v>
      </c>
      <c r="CK168" s="162">
        <v>-1675</v>
      </c>
      <c r="CL168" s="155">
        <v>97</v>
      </c>
      <c r="CN168" s="155" t="s">
        <v>151</v>
      </c>
      <c r="CO168" s="162">
        <v>-1175</v>
      </c>
      <c r="CP168" s="155">
        <v>96</v>
      </c>
    </row>
    <row r="169" spans="1:94" x14ac:dyDescent="0.2">
      <c r="A169" s="155" t="s">
        <v>261</v>
      </c>
      <c r="C169" s="155" t="s">
        <v>152</v>
      </c>
      <c r="D169" s="162">
        <v>30648</v>
      </c>
      <c r="E169" s="155">
        <v>51</v>
      </c>
      <c r="G169" s="155" t="s">
        <v>152</v>
      </c>
      <c r="H169" s="162">
        <v>33200</v>
      </c>
      <c r="I169" s="155">
        <v>53</v>
      </c>
      <c r="K169" s="155" t="s">
        <v>152</v>
      </c>
      <c r="L169" s="162">
        <v>35135</v>
      </c>
      <c r="M169" s="155">
        <v>52</v>
      </c>
      <c r="O169" s="155" t="s">
        <v>152</v>
      </c>
      <c r="P169" s="162">
        <v>35824</v>
      </c>
      <c r="Q169" s="155">
        <v>53</v>
      </c>
      <c r="S169" s="155" t="s">
        <v>152</v>
      </c>
      <c r="T169" s="162">
        <v>35770</v>
      </c>
      <c r="U169" s="155">
        <v>57</v>
      </c>
      <c r="W169" s="155" t="s">
        <v>152</v>
      </c>
      <c r="X169" s="162">
        <v>38171</v>
      </c>
      <c r="Y169" s="155">
        <v>57</v>
      </c>
      <c r="AA169" s="155" t="s">
        <v>152</v>
      </c>
      <c r="AB169" s="162">
        <v>42224</v>
      </c>
      <c r="AC169" s="155">
        <v>57</v>
      </c>
      <c r="AD169" s="155">
        <v>57</v>
      </c>
      <c r="AE169" s="155" t="s">
        <v>152</v>
      </c>
      <c r="AF169" s="155">
        <v>43414</v>
      </c>
      <c r="AH169" s="155" t="s">
        <v>152</v>
      </c>
      <c r="AI169" s="155">
        <v>441.7</v>
      </c>
      <c r="AN169" s="155" t="s">
        <v>152</v>
      </c>
      <c r="AO169" s="162">
        <v>354.61111111111109</v>
      </c>
      <c r="AP169" s="155">
        <v>60</v>
      </c>
      <c r="AR169" s="155" t="s">
        <v>152</v>
      </c>
      <c r="AS169" s="162">
        <v>283.72222222222223</v>
      </c>
      <c r="AT169" s="155">
        <v>62</v>
      </c>
      <c r="AV169" s="155" t="s">
        <v>152</v>
      </c>
      <c r="AW169" s="162">
        <v>229.97222222222223</v>
      </c>
      <c r="AX169" s="155">
        <v>66</v>
      </c>
      <c r="AZ169" s="155" t="s">
        <v>152</v>
      </c>
      <c r="BA169" s="162">
        <v>210.83333333333334</v>
      </c>
      <c r="BB169" s="155">
        <v>66</v>
      </c>
      <c r="BD169" s="155" t="s">
        <v>152</v>
      </c>
      <c r="BE169" s="162">
        <v>212.33333333333334</v>
      </c>
      <c r="BF169" s="155">
        <v>69</v>
      </c>
      <c r="BH169" s="155" t="s">
        <v>152</v>
      </c>
      <c r="BI169" s="162">
        <v>145.63888888888889</v>
      </c>
      <c r="BJ169" s="155">
        <v>78</v>
      </c>
      <c r="BL169" s="155" t="s">
        <v>152</v>
      </c>
      <c r="BM169" s="162">
        <v>33.055555555555557</v>
      </c>
      <c r="BN169" s="155">
        <v>80</v>
      </c>
      <c r="BP169" s="155" t="s">
        <v>152</v>
      </c>
      <c r="BQ169" s="162">
        <v>12766</v>
      </c>
      <c r="BR169" s="155">
        <v>60</v>
      </c>
      <c r="BT169" s="155" t="s">
        <v>152</v>
      </c>
      <c r="BU169" s="162">
        <v>10214</v>
      </c>
      <c r="BV169" s="155">
        <v>60</v>
      </c>
      <c r="BX169" s="155" t="s">
        <v>152</v>
      </c>
      <c r="BY169" s="162">
        <v>8279</v>
      </c>
      <c r="BZ169" s="155">
        <v>60</v>
      </c>
      <c r="CB169" s="155" t="s">
        <v>152</v>
      </c>
      <c r="CC169" s="162">
        <v>7590</v>
      </c>
      <c r="CD169" s="155">
        <v>60</v>
      </c>
      <c r="CF169" s="155" t="s">
        <v>152</v>
      </c>
      <c r="CG169" s="162">
        <v>7644</v>
      </c>
      <c r="CH169" s="155">
        <v>54</v>
      </c>
      <c r="CJ169" s="155" t="s">
        <v>152</v>
      </c>
      <c r="CK169" s="162">
        <v>5243</v>
      </c>
      <c r="CL169" s="155">
        <v>51</v>
      </c>
      <c r="CN169" s="155" t="s">
        <v>152</v>
      </c>
      <c r="CO169" s="162">
        <v>1190</v>
      </c>
      <c r="CP169" s="155">
        <v>57</v>
      </c>
    </row>
    <row r="170" spans="1:94" x14ac:dyDescent="0.2">
      <c r="A170" s="155" t="s">
        <v>262</v>
      </c>
      <c r="C170" s="155" t="s">
        <v>153</v>
      </c>
      <c r="D170" s="162">
        <v>354656</v>
      </c>
      <c r="E170" s="155">
        <v>1</v>
      </c>
      <c r="G170" s="155" t="s">
        <v>153</v>
      </c>
      <c r="H170" s="162">
        <v>377400</v>
      </c>
      <c r="I170" s="155">
        <v>1</v>
      </c>
      <c r="K170" s="155" t="s">
        <v>153</v>
      </c>
      <c r="L170" s="162">
        <v>404270</v>
      </c>
      <c r="M170" s="155">
        <v>1</v>
      </c>
      <c r="O170" s="155" t="s">
        <v>153</v>
      </c>
      <c r="P170" s="162">
        <v>448881</v>
      </c>
      <c r="Q170" s="155">
        <v>1</v>
      </c>
      <c r="S170" s="155" t="s">
        <v>153</v>
      </c>
      <c r="T170" s="162">
        <v>515605</v>
      </c>
      <c r="U170" s="155">
        <v>1</v>
      </c>
      <c r="W170" s="155" t="s">
        <v>153</v>
      </c>
      <c r="X170" s="162">
        <v>596036</v>
      </c>
      <c r="Y170" s="155">
        <v>1</v>
      </c>
      <c r="AA170" s="155" t="s">
        <v>153</v>
      </c>
      <c r="AB170" s="162">
        <v>700311</v>
      </c>
      <c r="AC170" s="155">
        <v>1</v>
      </c>
      <c r="AD170" s="155">
        <v>1</v>
      </c>
      <c r="AE170" s="155" t="s">
        <v>153</v>
      </c>
      <c r="AF170" s="160">
        <v>827445</v>
      </c>
      <c r="AH170" s="155" t="s">
        <v>153</v>
      </c>
      <c r="AI170" s="155">
        <v>527.4</v>
      </c>
      <c r="AN170" s="155" t="s">
        <v>153</v>
      </c>
      <c r="AO170" s="162">
        <v>13133.027777777777</v>
      </c>
      <c r="AP170" s="155">
        <v>2</v>
      </c>
      <c r="AR170" s="155" t="s">
        <v>153</v>
      </c>
      <c r="AS170" s="162">
        <v>14517.58064516129</v>
      </c>
      <c r="AT170" s="155">
        <v>2</v>
      </c>
      <c r="AV170" s="155" t="s">
        <v>153</v>
      </c>
      <c r="AW170" s="162">
        <v>16275.961538461539</v>
      </c>
      <c r="AX170" s="155">
        <v>2</v>
      </c>
      <c r="AZ170" s="155" t="s">
        <v>153</v>
      </c>
      <c r="BA170" s="162">
        <v>18026.857142857141</v>
      </c>
      <c r="BB170" s="155">
        <v>2</v>
      </c>
      <c r="BD170" s="155" t="s">
        <v>153</v>
      </c>
      <c r="BE170" s="162">
        <v>19490</v>
      </c>
      <c r="BF170" s="155">
        <v>2</v>
      </c>
      <c r="BH170" s="155" t="s">
        <v>153</v>
      </c>
      <c r="BI170" s="162">
        <v>21037.18181818182</v>
      </c>
      <c r="BJ170" s="155">
        <v>2</v>
      </c>
      <c r="BL170" s="155" t="s">
        <v>153</v>
      </c>
      <c r="BM170" s="162">
        <v>21189</v>
      </c>
      <c r="BN170" s="155">
        <v>2</v>
      </c>
      <c r="BP170" s="155" t="s">
        <v>153</v>
      </c>
      <c r="BQ170" s="162">
        <v>472789</v>
      </c>
      <c r="BR170" s="155">
        <v>2</v>
      </c>
      <c r="BT170" s="155" t="s">
        <v>153</v>
      </c>
      <c r="BU170" s="162">
        <v>450045</v>
      </c>
      <c r="BV170" s="155">
        <v>2</v>
      </c>
      <c r="BX170" s="155" t="s">
        <v>153</v>
      </c>
      <c r="BY170" s="162">
        <v>423175</v>
      </c>
      <c r="BZ170" s="155">
        <v>2</v>
      </c>
      <c r="CB170" s="155" t="s">
        <v>153</v>
      </c>
      <c r="CC170" s="162">
        <v>378564</v>
      </c>
      <c r="CD170" s="155">
        <v>2</v>
      </c>
      <c r="CF170" s="155" t="s">
        <v>153</v>
      </c>
      <c r="CG170" s="162">
        <v>311840</v>
      </c>
      <c r="CH170" s="155">
        <v>2</v>
      </c>
      <c r="CJ170" s="155" t="s">
        <v>153</v>
      </c>
      <c r="CK170" s="162">
        <v>231409</v>
      </c>
      <c r="CL170" s="155">
        <v>2</v>
      </c>
      <c r="CN170" s="155" t="s">
        <v>153</v>
      </c>
      <c r="CO170" s="162">
        <v>127134</v>
      </c>
      <c r="CP170" s="155">
        <v>2</v>
      </c>
    </row>
    <row r="171" spans="1:94" x14ac:dyDescent="0.2">
      <c r="A171" s="155" t="s">
        <v>263</v>
      </c>
      <c r="C171" s="155" t="s">
        <v>154</v>
      </c>
      <c r="D171" s="162">
        <v>13447</v>
      </c>
      <c r="E171" s="155">
        <v>83</v>
      </c>
      <c r="G171" s="155" t="s">
        <v>154</v>
      </c>
      <c r="H171" s="162">
        <v>14100</v>
      </c>
      <c r="I171" s="155">
        <v>84</v>
      </c>
      <c r="K171" s="155" t="s">
        <v>154</v>
      </c>
      <c r="L171" s="162">
        <v>14428</v>
      </c>
      <c r="M171" s="155">
        <v>84</v>
      </c>
      <c r="O171" s="155" t="s">
        <v>154</v>
      </c>
      <c r="P171" s="162">
        <v>14395</v>
      </c>
      <c r="Q171" s="155">
        <v>85</v>
      </c>
      <c r="S171" s="155" t="s">
        <v>154</v>
      </c>
      <c r="T171" s="162">
        <v>14469</v>
      </c>
      <c r="U171" s="155">
        <v>86</v>
      </c>
      <c r="W171" s="155" t="s">
        <v>154</v>
      </c>
      <c r="X171" s="162">
        <v>15075</v>
      </c>
      <c r="Y171" s="155">
        <v>87</v>
      </c>
      <c r="AA171" s="155" t="s">
        <v>154</v>
      </c>
      <c r="AB171" s="162">
        <v>15724</v>
      </c>
      <c r="AC171" s="155">
        <v>87</v>
      </c>
      <c r="AD171" s="155">
        <v>87</v>
      </c>
      <c r="AE171" s="155" t="s">
        <v>154</v>
      </c>
      <c r="AF171" s="160">
        <v>15681</v>
      </c>
      <c r="AH171" s="155" t="s">
        <v>154</v>
      </c>
      <c r="AI171" s="155">
        <v>221.5</v>
      </c>
      <c r="AN171" s="155" t="s">
        <v>154</v>
      </c>
      <c r="AO171" s="162">
        <v>62.055555555555557</v>
      </c>
      <c r="AP171" s="155">
        <v>88</v>
      </c>
      <c r="AR171" s="155" t="s">
        <v>154</v>
      </c>
      <c r="AS171" s="162">
        <v>51</v>
      </c>
      <c r="AT171" s="155">
        <v>87</v>
      </c>
      <c r="AV171" s="155" t="s">
        <v>154</v>
      </c>
      <c r="AW171" s="162">
        <v>48.192307692307693</v>
      </c>
      <c r="AX171" s="155">
        <v>87</v>
      </c>
      <c r="AZ171" s="155" t="s">
        <v>154</v>
      </c>
      <c r="BA171" s="162">
        <v>61.238095238095241</v>
      </c>
      <c r="BB171" s="155">
        <v>87</v>
      </c>
      <c r="BD171" s="155" t="s">
        <v>154</v>
      </c>
      <c r="BE171" s="162">
        <v>75.75</v>
      </c>
      <c r="BF171" s="155">
        <v>87</v>
      </c>
      <c r="BH171" s="155" t="s">
        <v>154</v>
      </c>
      <c r="BI171" s="162">
        <v>55.090909090909093</v>
      </c>
      <c r="BJ171" s="155">
        <v>88</v>
      </c>
      <c r="BL171" s="155" t="s">
        <v>154</v>
      </c>
      <c r="BM171" s="162">
        <v>-7.166666666666667</v>
      </c>
      <c r="BN171" s="155">
        <v>86</v>
      </c>
      <c r="BP171" s="155" t="s">
        <v>154</v>
      </c>
      <c r="BQ171" s="162">
        <v>2234</v>
      </c>
      <c r="BR171" s="155">
        <v>88</v>
      </c>
      <c r="BT171" s="155" t="s">
        <v>154</v>
      </c>
      <c r="BU171" s="162">
        <v>1581</v>
      </c>
      <c r="BV171" s="155">
        <v>87</v>
      </c>
      <c r="BX171" s="155" t="s">
        <v>154</v>
      </c>
      <c r="BY171" s="162">
        <v>1253</v>
      </c>
      <c r="BZ171" s="155">
        <v>87</v>
      </c>
      <c r="CB171" s="155" t="s">
        <v>154</v>
      </c>
      <c r="CC171" s="162">
        <v>1286</v>
      </c>
      <c r="CD171" s="155">
        <v>87</v>
      </c>
      <c r="CF171" s="155" t="s">
        <v>154</v>
      </c>
      <c r="CG171" s="162">
        <v>1212</v>
      </c>
      <c r="CH171" s="155">
        <v>87</v>
      </c>
      <c r="CJ171" s="155" t="s">
        <v>154</v>
      </c>
      <c r="CK171" s="162">
        <v>606</v>
      </c>
      <c r="CL171" s="155">
        <v>88</v>
      </c>
      <c r="CN171" s="155" t="s">
        <v>154</v>
      </c>
      <c r="CO171" s="162">
        <v>-43</v>
      </c>
      <c r="CP171" s="155">
        <v>86</v>
      </c>
    </row>
    <row r="172" spans="1:94" x14ac:dyDescent="0.2">
      <c r="A172" s="155" t="s">
        <v>264</v>
      </c>
      <c r="C172" s="155" t="s">
        <v>155</v>
      </c>
      <c r="D172" s="162">
        <v>19267</v>
      </c>
      <c r="E172" s="155">
        <v>72</v>
      </c>
      <c r="G172" s="155" t="s">
        <v>155</v>
      </c>
      <c r="H172" s="162">
        <v>20600</v>
      </c>
      <c r="I172" s="155">
        <v>73</v>
      </c>
      <c r="K172" s="155" t="s">
        <v>155</v>
      </c>
      <c r="L172" s="162">
        <v>22469</v>
      </c>
      <c r="M172" s="155">
        <v>70</v>
      </c>
      <c r="O172" s="155" t="s">
        <v>155</v>
      </c>
      <c r="P172" s="162">
        <v>23169</v>
      </c>
      <c r="Q172" s="155">
        <v>71</v>
      </c>
      <c r="S172" s="155" t="s">
        <v>155</v>
      </c>
      <c r="T172" s="162">
        <v>23489</v>
      </c>
      <c r="U172" s="155">
        <v>71</v>
      </c>
      <c r="W172" s="155" t="s">
        <v>155</v>
      </c>
      <c r="X172" s="162">
        <v>24932</v>
      </c>
      <c r="Y172" s="155">
        <v>72</v>
      </c>
      <c r="AA172" s="155" t="s">
        <v>155</v>
      </c>
      <c r="AB172" s="162">
        <v>26936</v>
      </c>
      <c r="AC172" s="155">
        <v>71</v>
      </c>
      <c r="AD172" s="155">
        <v>71</v>
      </c>
      <c r="AE172" s="155" t="s">
        <v>155</v>
      </c>
      <c r="AF172" s="160">
        <v>27638</v>
      </c>
      <c r="AH172" s="155" t="s">
        <v>155</v>
      </c>
      <c r="AI172" s="155">
        <v>491.1</v>
      </c>
      <c r="AN172" s="155" t="s">
        <v>155</v>
      </c>
      <c r="AO172" s="162">
        <v>232.52777777777777</v>
      </c>
      <c r="AP172" s="155">
        <v>67</v>
      </c>
      <c r="AR172" s="155" t="s">
        <v>155</v>
      </c>
      <c r="AS172" s="162">
        <v>227.03225806451613</v>
      </c>
      <c r="AT172" s="155">
        <v>66</v>
      </c>
      <c r="AV172" s="155" t="s">
        <v>155</v>
      </c>
      <c r="AW172" s="162">
        <v>198.80769230769232</v>
      </c>
      <c r="AX172" s="155">
        <v>67</v>
      </c>
      <c r="AZ172" s="155" t="s">
        <v>155</v>
      </c>
      <c r="BA172" s="162">
        <v>212.8095238095238</v>
      </c>
      <c r="BB172" s="155">
        <v>65</v>
      </c>
      <c r="BD172" s="155" t="s">
        <v>155</v>
      </c>
      <c r="BE172" s="162">
        <v>259.3125</v>
      </c>
      <c r="BF172" s="155">
        <v>66</v>
      </c>
      <c r="BH172" s="155" t="s">
        <v>155</v>
      </c>
      <c r="BI172" s="162">
        <v>246</v>
      </c>
      <c r="BJ172" s="155">
        <v>62</v>
      </c>
      <c r="BL172" s="155" t="s">
        <v>155</v>
      </c>
      <c r="BM172" s="162">
        <v>117</v>
      </c>
      <c r="BN172" s="155">
        <v>66</v>
      </c>
      <c r="BP172" s="155" t="s">
        <v>155</v>
      </c>
      <c r="BQ172" s="162">
        <v>8371</v>
      </c>
      <c r="BR172" s="155">
        <v>67</v>
      </c>
      <c r="BT172" s="155" t="s">
        <v>155</v>
      </c>
      <c r="BU172" s="162">
        <v>7038</v>
      </c>
      <c r="BV172" s="155">
        <v>66</v>
      </c>
      <c r="BX172" s="155" t="s">
        <v>155</v>
      </c>
      <c r="BY172" s="162">
        <v>5169</v>
      </c>
      <c r="BZ172" s="155">
        <v>67</v>
      </c>
      <c r="CB172" s="155" t="s">
        <v>155</v>
      </c>
      <c r="CC172" s="162">
        <v>4469</v>
      </c>
      <c r="CD172" s="155">
        <v>66</v>
      </c>
      <c r="CF172" s="155" t="s">
        <v>155</v>
      </c>
      <c r="CG172" s="162">
        <v>4149</v>
      </c>
      <c r="CH172" s="155">
        <v>68</v>
      </c>
      <c r="CJ172" s="155" t="s">
        <v>155</v>
      </c>
      <c r="CK172" s="162">
        <v>2706</v>
      </c>
      <c r="CL172" s="155">
        <v>64</v>
      </c>
      <c r="CN172" s="155" t="s">
        <v>155</v>
      </c>
      <c r="CO172" s="162">
        <v>702</v>
      </c>
      <c r="CP172" s="155">
        <v>68</v>
      </c>
    </row>
    <row r="173" spans="1:94" x14ac:dyDescent="0.2">
      <c r="A173" s="155" t="s">
        <v>265</v>
      </c>
      <c r="C173" s="155" t="s">
        <v>156</v>
      </c>
      <c r="D173" s="162">
        <v>39048</v>
      </c>
      <c r="E173" s="155">
        <v>44</v>
      </c>
      <c r="G173" s="155" t="s">
        <v>156</v>
      </c>
      <c r="H173" s="162">
        <v>44700</v>
      </c>
      <c r="I173" s="155">
        <v>42</v>
      </c>
      <c r="K173" s="155" t="s">
        <v>156</v>
      </c>
      <c r="L173" s="162">
        <v>50505</v>
      </c>
      <c r="M173" s="155">
        <v>40</v>
      </c>
      <c r="O173" s="155" t="s">
        <v>156</v>
      </c>
      <c r="P173" s="162">
        <v>53954</v>
      </c>
      <c r="Q173" s="155">
        <v>39</v>
      </c>
      <c r="S173" s="155" t="s">
        <v>156</v>
      </c>
      <c r="T173" s="162">
        <v>59347</v>
      </c>
      <c r="U173" s="155">
        <v>35</v>
      </c>
      <c r="W173" s="155" t="s">
        <v>156</v>
      </c>
      <c r="X173" s="162">
        <v>67692</v>
      </c>
      <c r="Y173" s="155">
        <v>33</v>
      </c>
      <c r="AA173" s="155" t="s">
        <v>156</v>
      </c>
      <c r="AB173" s="162">
        <v>75155</v>
      </c>
      <c r="AC173" s="155">
        <v>32</v>
      </c>
      <c r="AD173" s="155">
        <v>32</v>
      </c>
      <c r="AE173" s="155" t="s">
        <v>156</v>
      </c>
      <c r="AF173" s="160">
        <v>83162</v>
      </c>
      <c r="AH173" s="155" t="s">
        <v>156</v>
      </c>
      <c r="AI173" s="155">
        <v>698.8</v>
      </c>
      <c r="AN173" s="155" t="s">
        <v>156</v>
      </c>
      <c r="AO173" s="162">
        <v>1225.3888888888889</v>
      </c>
      <c r="AP173" s="155">
        <v>26</v>
      </c>
      <c r="AR173" s="155" t="s">
        <v>156</v>
      </c>
      <c r="AS173" s="162">
        <v>1240.7096774193549</v>
      </c>
      <c r="AT173" s="155">
        <v>24</v>
      </c>
      <c r="AV173" s="155" t="s">
        <v>156</v>
      </c>
      <c r="AW173" s="162">
        <v>1256.0384615384614</v>
      </c>
      <c r="AX173" s="155">
        <v>25</v>
      </c>
      <c r="AZ173" s="155" t="s">
        <v>156</v>
      </c>
      <c r="BA173" s="162">
        <v>1390.8571428571429</v>
      </c>
      <c r="BB173" s="155">
        <v>23</v>
      </c>
      <c r="BD173" s="155" t="s">
        <v>156</v>
      </c>
      <c r="BE173" s="162">
        <v>1488.4375</v>
      </c>
      <c r="BF173" s="155">
        <v>23</v>
      </c>
      <c r="BH173" s="155" t="s">
        <v>156</v>
      </c>
      <c r="BI173" s="162">
        <v>1406.3636363636363</v>
      </c>
      <c r="BJ173" s="155">
        <v>23</v>
      </c>
      <c r="BL173" s="155" t="s">
        <v>156</v>
      </c>
      <c r="BM173" s="162">
        <v>1334.5</v>
      </c>
      <c r="BN173" s="155">
        <v>24</v>
      </c>
      <c r="BP173" s="155" t="s">
        <v>156</v>
      </c>
      <c r="BQ173" s="162">
        <v>44114</v>
      </c>
      <c r="BR173" s="155">
        <v>26</v>
      </c>
      <c r="BT173" s="155" t="s">
        <v>156</v>
      </c>
      <c r="BU173" s="162">
        <v>38462</v>
      </c>
      <c r="BV173" s="155">
        <v>24</v>
      </c>
      <c r="BX173" s="155" t="s">
        <v>156</v>
      </c>
      <c r="BY173" s="162">
        <v>32657</v>
      </c>
      <c r="BZ173" s="155">
        <v>25</v>
      </c>
      <c r="CB173" s="155" t="s">
        <v>156</v>
      </c>
      <c r="CC173" s="162">
        <v>29208</v>
      </c>
      <c r="CD173" s="155">
        <v>23</v>
      </c>
      <c r="CF173" s="155" t="s">
        <v>156</v>
      </c>
      <c r="CG173" s="162">
        <v>23815</v>
      </c>
      <c r="CH173" s="155">
        <v>23</v>
      </c>
      <c r="CJ173" s="155" t="s">
        <v>156</v>
      </c>
      <c r="CK173" s="162">
        <v>15470</v>
      </c>
      <c r="CL173" s="155">
        <v>23</v>
      </c>
      <c r="CN173" s="155" t="s">
        <v>156</v>
      </c>
      <c r="CO173" s="162">
        <v>8007</v>
      </c>
      <c r="CP173" s="155">
        <v>24</v>
      </c>
    </row>
    <row r="174" spans="1:94" x14ac:dyDescent="0.2">
      <c r="A174" s="155" t="s">
        <v>266</v>
      </c>
      <c r="C174" s="155" t="s">
        <v>157</v>
      </c>
      <c r="D174" s="162">
        <v>59122</v>
      </c>
      <c r="E174" s="155">
        <v>26</v>
      </c>
      <c r="G174" s="155" t="s">
        <v>157</v>
      </c>
      <c r="H174" s="162">
        <v>64200</v>
      </c>
      <c r="I174" s="155">
        <v>27</v>
      </c>
      <c r="K174" s="155" t="s">
        <v>157</v>
      </c>
      <c r="L174" s="162">
        <v>67153</v>
      </c>
      <c r="M174" s="155">
        <v>29</v>
      </c>
      <c r="O174" s="155" t="s">
        <v>157</v>
      </c>
      <c r="P174" s="162">
        <v>71102</v>
      </c>
      <c r="Q174" s="155">
        <v>28</v>
      </c>
      <c r="S174" s="155" t="s">
        <v>157</v>
      </c>
      <c r="T174" s="162">
        <v>77060</v>
      </c>
      <c r="U174" s="155">
        <v>27</v>
      </c>
      <c r="W174" s="155" t="s">
        <v>157</v>
      </c>
      <c r="X174" s="162">
        <v>83507</v>
      </c>
      <c r="Y174" s="155">
        <v>27</v>
      </c>
      <c r="AA174" s="155" t="s">
        <v>157</v>
      </c>
      <c r="AB174" s="162">
        <v>87735</v>
      </c>
      <c r="AC174" s="155">
        <v>30</v>
      </c>
      <c r="AD174" s="155">
        <v>30</v>
      </c>
      <c r="AE174" s="155" t="s">
        <v>157</v>
      </c>
      <c r="AF174" s="160">
        <v>92312</v>
      </c>
      <c r="AH174" s="155" t="s">
        <v>157</v>
      </c>
      <c r="AI174" s="155">
        <v>540.29999999999995</v>
      </c>
      <c r="AN174" s="155" t="s">
        <v>157</v>
      </c>
      <c r="AO174" s="162">
        <v>921.94444444444446</v>
      </c>
      <c r="AP174" s="155">
        <v>28</v>
      </c>
      <c r="AR174" s="155" t="s">
        <v>157</v>
      </c>
      <c r="AS174" s="162">
        <v>906.83870967741939</v>
      </c>
      <c r="AT174" s="155">
        <v>30</v>
      </c>
      <c r="AV174" s="155" t="s">
        <v>157</v>
      </c>
      <c r="AW174" s="162">
        <v>967.65384615384619</v>
      </c>
      <c r="AX174" s="155">
        <v>31</v>
      </c>
      <c r="AZ174" s="155" t="s">
        <v>157</v>
      </c>
      <c r="BA174" s="162">
        <v>1010</v>
      </c>
      <c r="BB174" s="155">
        <v>30</v>
      </c>
      <c r="BD174" s="155" t="s">
        <v>157</v>
      </c>
      <c r="BE174" s="162">
        <v>953.25</v>
      </c>
      <c r="BF174" s="155">
        <v>34</v>
      </c>
      <c r="BH174" s="155" t="s">
        <v>157</v>
      </c>
      <c r="BI174" s="162">
        <v>800.4545454545455</v>
      </c>
      <c r="BJ174" s="155">
        <v>35</v>
      </c>
      <c r="BL174" s="155" t="s">
        <v>157</v>
      </c>
      <c r="BM174" s="162">
        <v>762.83333333333337</v>
      </c>
      <c r="BN174" s="155">
        <v>34</v>
      </c>
      <c r="BP174" s="155" t="s">
        <v>157</v>
      </c>
      <c r="BQ174" s="162">
        <v>33190</v>
      </c>
      <c r="BR174" s="155">
        <v>28</v>
      </c>
      <c r="BT174" s="155" t="s">
        <v>157</v>
      </c>
      <c r="BU174" s="162">
        <v>28112</v>
      </c>
      <c r="BV174" s="155">
        <v>30</v>
      </c>
      <c r="BX174" s="155" t="s">
        <v>157</v>
      </c>
      <c r="BY174" s="162">
        <v>25159</v>
      </c>
      <c r="BZ174" s="155">
        <v>31</v>
      </c>
      <c r="CB174" s="155" t="s">
        <v>157</v>
      </c>
      <c r="CC174" s="162">
        <v>21210</v>
      </c>
      <c r="CD174" s="155">
        <v>30</v>
      </c>
      <c r="CF174" s="155" t="s">
        <v>157</v>
      </c>
      <c r="CG174" s="162">
        <v>15252</v>
      </c>
      <c r="CH174" s="155">
        <v>34</v>
      </c>
      <c r="CJ174" s="155" t="s">
        <v>157</v>
      </c>
      <c r="CK174" s="162">
        <v>8805</v>
      </c>
      <c r="CL174" s="155">
        <v>35</v>
      </c>
      <c r="CN174" s="155" t="s">
        <v>157</v>
      </c>
      <c r="CO174" s="162">
        <v>4577</v>
      </c>
      <c r="CP174" s="155">
        <v>34</v>
      </c>
    </row>
    <row r="175" spans="1:94" x14ac:dyDescent="0.2">
      <c r="A175" s="155" t="s">
        <v>267</v>
      </c>
      <c r="C175" s="155" t="s">
        <v>158</v>
      </c>
      <c r="D175" s="162">
        <v>82996</v>
      </c>
      <c r="E175" s="155">
        <v>16</v>
      </c>
      <c r="G175" s="155" t="s">
        <v>158</v>
      </c>
      <c r="H175" s="162">
        <v>98600</v>
      </c>
      <c r="I175" s="155">
        <v>12</v>
      </c>
      <c r="K175" s="155" t="s">
        <v>158</v>
      </c>
      <c r="L175" s="162">
        <v>103471</v>
      </c>
      <c r="M175" s="155">
        <v>12</v>
      </c>
      <c r="O175" s="155" t="s">
        <v>158</v>
      </c>
      <c r="P175" s="162">
        <v>112014</v>
      </c>
      <c r="Q175" s="155">
        <v>12</v>
      </c>
      <c r="S175" s="155" t="s">
        <v>158</v>
      </c>
      <c r="T175" s="162">
        <v>121140</v>
      </c>
      <c r="U175" s="155">
        <v>11</v>
      </c>
      <c r="W175" s="155" t="s">
        <v>158</v>
      </c>
      <c r="X175" s="162">
        <v>143950</v>
      </c>
      <c r="Y175" s="155">
        <v>10</v>
      </c>
      <c r="AA175" s="155" t="s">
        <v>158</v>
      </c>
      <c r="AB175" s="162">
        <v>160670</v>
      </c>
      <c r="AC175" s="155">
        <v>9</v>
      </c>
      <c r="AD175" s="155">
        <v>9</v>
      </c>
      <c r="AE175" s="155" t="s">
        <v>158</v>
      </c>
      <c r="AF175" s="160">
        <v>182591</v>
      </c>
      <c r="AH175" s="155" t="s">
        <v>158</v>
      </c>
      <c r="AI175" s="155">
        <v>198.9</v>
      </c>
      <c r="AN175" s="155" t="s">
        <v>158</v>
      </c>
      <c r="AO175" s="162">
        <v>2766.5277777777778</v>
      </c>
      <c r="AP175" s="155">
        <v>7</v>
      </c>
      <c r="AR175" s="155" t="s">
        <v>158</v>
      </c>
      <c r="AS175" s="162">
        <v>2709.3870967741937</v>
      </c>
      <c r="AT175" s="155">
        <v>8</v>
      </c>
      <c r="AV175" s="155" t="s">
        <v>158</v>
      </c>
      <c r="AW175" s="162">
        <v>3043.0769230769229</v>
      </c>
      <c r="AX175" s="155">
        <v>8</v>
      </c>
      <c r="AZ175" s="155" t="s">
        <v>158</v>
      </c>
      <c r="BA175" s="162">
        <v>3360.8095238095239</v>
      </c>
      <c r="BB175" s="155">
        <v>8</v>
      </c>
      <c r="BD175" s="155" t="s">
        <v>158</v>
      </c>
      <c r="BE175" s="162">
        <v>3840.6875</v>
      </c>
      <c r="BF175" s="155">
        <v>8</v>
      </c>
      <c r="BH175" s="155" t="s">
        <v>158</v>
      </c>
      <c r="BI175" s="162">
        <v>3512.818181818182</v>
      </c>
      <c r="BJ175" s="155">
        <v>10</v>
      </c>
      <c r="BL175" s="155" t="s">
        <v>158</v>
      </c>
      <c r="BM175" s="162">
        <v>3653.5</v>
      </c>
      <c r="BN175" s="155">
        <v>10</v>
      </c>
      <c r="BP175" s="155" t="s">
        <v>158</v>
      </c>
      <c r="BQ175" s="162">
        <v>99595</v>
      </c>
      <c r="BR175" s="155">
        <v>7</v>
      </c>
      <c r="BT175" s="155" t="s">
        <v>158</v>
      </c>
      <c r="BU175" s="162">
        <v>83991</v>
      </c>
      <c r="BV175" s="155">
        <v>8</v>
      </c>
      <c r="BX175" s="155" t="s">
        <v>158</v>
      </c>
      <c r="BY175" s="162">
        <v>79120</v>
      </c>
      <c r="BZ175" s="155">
        <v>8</v>
      </c>
      <c r="CB175" s="155" t="s">
        <v>158</v>
      </c>
      <c r="CC175" s="162">
        <v>70577</v>
      </c>
      <c r="CD175" s="155">
        <v>8</v>
      </c>
      <c r="CF175" s="155" t="s">
        <v>158</v>
      </c>
      <c r="CG175" s="162">
        <v>61451</v>
      </c>
      <c r="CH175" s="155">
        <v>8</v>
      </c>
      <c r="CJ175" s="155" t="s">
        <v>158</v>
      </c>
      <c r="CK175" s="162">
        <v>38641</v>
      </c>
      <c r="CL175" s="155">
        <v>10</v>
      </c>
      <c r="CN175" s="155" t="s">
        <v>158</v>
      </c>
      <c r="CO175" s="162">
        <v>21921</v>
      </c>
      <c r="CP175" s="155">
        <v>10</v>
      </c>
    </row>
    <row r="176" spans="1:94" x14ac:dyDescent="0.2">
      <c r="A176" s="155" t="s">
        <v>268</v>
      </c>
      <c r="C176" s="155" t="s">
        <v>159</v>
      </c>
      <c r="D176" s="162">
        <v>23099</v>
      </c>
      <c r="E176" s="155">
        <v>66</v>
      </c>
      <c r="G176" s="155" t="s">
        <v>159</v>
      </c>
      <c r="H176" s="162">
        <v>22900</v>
      </c>
      <c r="I176" s="155">
        <v>68</v>
      </c>
      <c r="K176" s="155" t="s">
        <v>159</v>
      </c>
      <c r="L176" s="162">
        <v>22195</v>
      </c>
      <c r="M176" s="155">
        <v>73</v>
      </c>
      <c r="O176" s="155" t="s">
        <v>159</v>
      </c>
      <c r="P176" s="162">
        <v>21912</v>
      </c>
      <c r="Q176" s="155">
        <v>74</v>
      </c>
      <c r="S176" s="155" t="s">
        <v>159</v>
      </c>
      <c r="T176" s="162">
        <v>21032</v>
      </c>
      <c r="U176" s="155">
        <v>76</v>
      </c>
      <c r="W176" s="155" t="s">
        <v>159</v>
      </c>
      <c r="X176" s="162">
        <v>21507</v>
      </c>
      <c r="Y176" s="155">
        <v>78</v>
      </c>
      <c r="AA176" s="155" t="s">
        <v>159</v>
      </c>
      <c r="AB176" s="162">
        <v>22090</v>
      </c>
      <c r="AC176" s="155">
        <v>78</v>
      </c>
      <c r="AD176" s="155">
        <v>79</v>
      </c>
      <c r="AE176" s="155" t="s">
        <v>159</v>
      </c>
      <c r="AF176" s="160">
        <v>21247</v>
      </c>
      <c r="AH176" s="155" t="s">
        <v>159</v>
      </c>
      <c r="AI176" s="155">
        <v>536.1</v>
      </c>
      <c r="AN176" s="155" t="s">
        <v>159</v>
      </c>
      <c r="AO176" s="162">
        <v>-51.444444444444443</v>
      </c>
      <c r="AP176" s="155">
        <v>100</v>
      </c>
      <c r="AR176" s="155" t="s">
        <v>159</v>
      </c>
      <c r="AS176" s="162">
        <v>-53.322580645161288</v>
      </c>
      <c r="AT176" s="155">
        <v>98</v>
      </c>
      <c r="AV176" s="155" t="s">
        <v>159</v>
      </c>
      <c r="AW176" s="162">
        <v>-36.46153846153846</v>
      </c>
      <c r="AX176" s="155">
        <v>95</v>
      </c>
      <c r="AZ176" s="155" t="s">
        <v>159</v>
      </c>
      <c r="BA176" s="162">
        <v>-31.666666666666668</v>
      </c>
      <c r="BB176" s="155">
        <v>95</v>
      </c>
      <c r="BD176" s="155" t="s">
        <v>159</v>
      </c>
      <c r="BE176" s="162">
        <v>13.4375</v>
      </c>
      <c r="BF176" s="155">
        <v>94</v>
      </c>
      <c r="BH176" s="155" t="s">
        <v>159</v>
      </c>
      <c r="BI176" s="162">
        <v>-23.636363636363637</v>
      </c>
      <c r="BJ176" s="155">
        <v>94</v>
      </c>
      <c r="BL176" s="155" t="s">
        <v>159</v>
      </c>
      <c r="BM176" s="162">
        <v>-140.5</v>
      </c>
      <c r="BN176" s="155">
        <v>96</v>
      </c>
      <c r="BP176" s="155" t="s">
        <v>159</v>
      </c>
      <c r="BQ176" s="162">
        <v>-1852</v>
      </c>
      <c r="BR176" s="155">
        <v>100</v>
      </c>
      <c r="BT176" s="155" t="s">
        <v>159</v>
      </c>
      <c r="BU176" s="162">
        <v>-1653</v>
      </c>
      <c r="BV176" s="155">
        <v>98</v>
      </c>
      <c r="BX176" s="155" t="s">
        <v>159</v>
      </c>
      <c r="BY176" s="162">
        <v>-948</v>
      </c>
      <c r="BZ176" s="155">
        <v>95</v>
      </c>
      <c r="CB176" s="155" t="s">
        <v>159</v>
      </c>
      <c r="CC176" s="162">
        <v>-665</v>
      </c>
      <c r="CD176" s="155">
        <v>95</v>
      </c>
      <c r="CF176" s="155" t="s">
        <v>159</v>
      </c>
      <c r="CG176" s="162">
        <v>215</v>
      </c>
      <c r="CH176" s="155">
        <v>94</v>
      </c>
      <c r="CJ176" s="155" t="s">
        <v>159</v>
      </c>
      <c r="CK176" s="162">
        <v>-260</v>
      </c>
      <c r="CL176" s="155">
        <v>94</v>
      </c>
      <c r="CN176" s="155" t="s">
        <v>159</v>
      </c>
      <c r="CO176" s="162">
        <v>-843</v>
      </c>
      <c r="CP176" s="155">
        <v>95</v>
      </c>
    </row>
    <row r="177" spans="1:94" x14ac:dyDescent="0.2">
      <c r="A177" s="155" t="s">
        <v>269</v>
      </c>
      <c r="C177" s="155" t="s">
        <v>160</v>
      </c>
      <c r="D177" s="162">
        <v>103126</v>
      </c>
      <c r="E177" s="155">
        <v>9</v>
      </c>
      <c r="G177" s="155" t="s">
        <v>160</v>
      </c>
      <c r="H177" s="162">
        <v>112700</v>
      </c>
      <c r="I177" s="155">
        <v>9</v>
      </c>
      <c r="K177" s="155" t="s">
        <v>160</v>
      </c>
      <c r="L177" s="162">
        <v>112784</v>
      </c>
      <c r="M177" s="155">
        <v>10</v>
      </c>
      <c r="O177" s="155" t="s">
        <v>160</v>
      </c>
      <c r="P177" s="162">
        <v>133240</v>
      </c>
      <c r="Q177" s="155">
        <v>9</v>
      </c>
      <c r="S177" s="155" t="s">
        <v>160</v>
      </c>
      <c r="T177" s="162">
        <v>150098</v>
      </c>
      <c r="U177" s="155">
        <v>9</v>
      </c>
      <c r="W177" s="155" t="s">
        <v>160</v>
      </c>
      <c r="X177" s="162">
        <v>147258</v>
      </c>
      <c r="Y177" s="155">
        <v>9</v>
      </c>
      <c r="AA177" s="155" t="s">
        <v>160</v>
      </c>
      <c r="AB177" s="162">
        <v>150099</v>
      </c>
      <c r="AC177" s="155">
        <v>10</v>
      </c>
      <c r="AD177" s="155">
        <v>15</v>
      </c>
      <c r="AE177" s="155" t="s">
        <v>160</v>
      </c>
      <c r="AF177" s="160">
        <v>150673</v>
      </c>
      <c r="AH177" s="155" t="s">
        <v>160</v>
      </c>
      <c r="AI177" s="155">
        <v>766.9</v>
      </c>
      <c r="AN177" s="155" t="s">
        <v>160</v>
      </c>
      <c r="AO177" s="162">
        <v>1320.75</v>
      </c>
      <c r="AP177" s="155">
        <v>22</v>
      </c>
      <c r="AR177" s="155" t="s">
        <v>160</v>
      </c>
      <c r="AS177" s="162">
        <v>1224.9354838709678</v>
      </c>
      <c r="AT177" s="155">
        <v>25</v>
      </c>
      <c r="AV177" s="155" t="s">
        <v>160</v>
      </c>
      <c r="AW177" s="162">
        <v>1457.2692307692307</v>
      </c>
      <c r="AX177" s="155">
        <v>22</v>
      </c>
      <c r="AZ177" s="155" t="s">
        <v>160</v>
      </c>
      <c r="BA177" s="162">
        <v>830.14285714285711</v>
      </c>
      <c r="BB177" s="155">
        <v>33</v>
      </c>
      <c r="BD177" s="155" t="s">
        <v>160</v>
      </c>
      <c r="BE177" s="162">
        <v>35.9375</v>
      </c>
      <c r="BF177" s="155">
        <v>91</v>
      </c>
      <c r="BH177" s="155" t="s">
        <v>160</v>
      </c>
      <c r="BI177" s="162">
        <v>310.45454545454544</v>
      </c>
      <c r="BJ177" s="155">
        <v>58</v>
      </c>
      <c r="BL177" s="155" t="s">
        <v>160</v>
      </c>
      <c r="BM177" s="162">
        <v>95.666666666666671</v>
      </c>
      <c r="BN177" s="155">
        <v>72</v>
      </c>
      <c r="BP177" s="155" t="s">
        <v>160</v>
      </c>
      <c r="BQ177" s="162">
        <v>47547</v>
      </c>
      <c r="BR177" s="155">
        <v>22</v>
      </c>
      <c r="BT177" s="155" t="s">
        <v>160</v>
      </c>
      <c r="BU177" s="162">
        <v>37973</v>
      </c>
      <c r="BV177" s="155">
        <v>25</v>
      </c>
      <c r="BX177" s="155" t="s">
        <v>160</v>
      </c>
      <c r="BY177" s="162">
        <v>37889</v>
      </c>
      <c r="BZ177" s="155">
        <v>22</v>
      </c>
      <c r="CB177" s="155" t="s">
        <v>160</v>
      </c>
      <c r="CC177" s="162">
        <v>17433</v>
      </c>
      <c r="CD177" s="155">
        <v>33</v>
      </c>
      <c r="CF177" s="155" t="s">
        <v>160</v>
      </c>
      <c r="CG177" s="162">
        <v>575</v>
      </c>
      <c r="CH177" s="155">
        <v>91</v>
      </c>
      <c r="CJ177" s="155" t="s">
        <v>160</v>
      </c>
      <c r="CK177" s="162">
        <v>3415</v>
      </c>
      <c r="CL177" s="155">
        <v>60</v>
      </c>
      <c r="CN177" s="155" t="s">
        <v>160</v>
      </c>
      <c r="CO177" s="162">
        <v>574</v>
      </c>
      <c r="CP177" s="155">
        <v>75</v>
      </c>
    </row>
    <row r="178" spans="1:94" x14ac:dyDescent="0.2">
      <c r="A178" s="155" t="s">
        <v>270</v>
      </c>
      <c r="C178" s="155" t="s">
        <v>161</v>
      </c>
      <c r="D178" s="162">
        <v>57567</v>
      </c>
      <c r="E178" s="155">
        <v>27</v>
      </c>
      <c r="G178" s="155" t="s">
        <v>161</v>
      </c>
      <c r="H178" s="162">
        <v>69300</v>
      </c>
      <c r="I178" s="155">
        <v>24</v>
      </c>
      <c r="K178" s="155" t="s">
        <v>161</v>
      </c>
      <c r="L178" s="162">
        <v>77055</v>
      </c>
      <c r="M178" s="155">
        <v>23</v>
      </c>
      <c r="O178" s="155" t="s">
        <v>161</v>
      </c>
      <c r="P178" s="162">
        <v>83604</v>
      </c>
      <c r="Q178" s="155">
        <v>23</v>
      </c>
      <c r="S178" s="155" t="s">
        <v>161</v>
      </c>
      <c r="T178" s="162">
        <v>94232</v>
      </c>
      <c r="U178" s="155">
        <v>20</v>
      </c>
      <c r="W178" s="155" t="s">
        <v>161</v>
      </c>
      <c r="X178" s="162">
        <v>108479</v>
      </c>
      <c r="Y178" s="155">
        <v>20</v>
      </c>
      <c r="AA178" s="155" t="s">
        <v>161</v>
      </c>
      <c r="AB178" s="162">
        <v>115912</v>
      </c>
      <c r="AC178" s="155">
        <v>22</v>
      </c>
      <c r="AD178" s="155">
        <v>22</v>
      </c>
      <c r="AE178" s="155" t="s">
        <v>161</v>
      </c>
      <c r="AF178" s="160">
        <v>120100</v>
      </c>
      <c r="AH178" s="155" t="s">
        <v>161</v>
      </c>
      <c r="AI178" s="155">
        <v>399.8</v>
      </c>
      <c r="AN178" s="155" t="s">
        <v>161</v>
      </c>
      <c r="AO178" s="162">
        <v>1737.0277777777778</v>
      </c>
      <c r="AP178" s="155">
        <v>17</v>
      </c>
      <c r="AR178" s="155" t="s">
        <v>161</v>
      </c>
      <c r="AS178" s="162">
        <v>1638.7096774193549</v>
      </c>
      <c r="AT178" s="155">
        <v>18</v>
      </c>
      <c r="AV178" s="155" t="s">
        <v>161</v>
      </c>
      <c r="AW178" s="162">
        <v>1655.5769230769231</v>
      </c>
      <c r="AX178" s="155">
        <v>20</v>
      </c>
      <c r="AZ178" s="155" t="s">
        <v>161</v>
      </c>
      <c r="BA178" s="162">
        <v>1737.9047619047619</v>
      </c>
      <c r="BB178" s="155">
        <v>19</v>
      </c>
      <c r="BD178" s="155" t="s">
        <v>161</v>
      </c>
      <c r="BE178" s="162">
        <v>1616.75</v>
      </c>
      <c r="BF178" s="155">
        <v>20</v>
      </c>
      <c r="BH178" s="155" t="s">
        <v>161</v>
      </c>
      <c r="BI178" s="162">
        <v>1056.4545454545455</v>
      </c>
      <c r="BJ178" s="155">
        <v>30</v>
      </c>
      <c r="BL178" s="155" t="s">
        <v>161</v>
      </c>
      <c r="BM178" s="162">
        <v>698</v>
      </c>
      <c r="BN178" s="155">
        <v>35</v>
      </c>
      <c r="BP178" s="155" t="s">
        <v>161</v>
      </c>
      <c r="BQ178" s="162">
        <v>62533</v>
      </c>
      <c r="BR178" s="155">
        <v>17</v>
      </c>
      <c r="BT178" s="155" t="s">
        <v>161</v>
      </c>
      <c r="BU178" s="162">
        <v>50800</v>
      </c>
      <c r="BV178" s="155">
        <v>18</v>
      </c>
      <c r="BX178" s="155" t="s">
        <v>161</v>
      </c>
      <c r="BY178" s="162">
        <v>43045</v>
      </c>
      <c r="BZ178" s="155">
        <v>20</v>
      </c>
      <c r="CB178" s="155" t="s">
        <v>161</v>
      </c>
      <c r="CC178" s="162">
        <v>36496</v>
      </c>
      <c r="CD178" s="155">
        <v>19</v>
      </c>
      <c r="CF178" s="155" t="s">
        <v>161</v>
      </c>
      <c r="CG178" s="162">
        <v>25868</v>
      </c>
      <c r="CH178" s="155">
        <v>20</v>
      </c>
      <c r="CJ178" s="155" t="s">
        <v>161</v>
      </c>
      <c r="CK178" s="162">
        <v>11621</v>
      </c>
      <c r="CL178" s="155">
        <v>30</v>
      </c>
      <c r="CN178" s="155" t="s">
        <v>161</v>
      </c>
      <c r="CO178" s="162">
        <v>4188</v>
      </c>
      <c r="CP178" s="155">
        <v>35</v>
      </c>
    </row>
    <row r="179" spans="1:94" x14ac:dyDescent="0.2">
      <c r="A179" s="155" t="s">
        <v>271</v>
      </c>
      <c r="C179" s="155" t="s">
        <v>162</v>
      </c>
      <c r="D179" s="162">
        <v>9467</v>
      </c>
      <c r="E179" s="155">
        <v>89</v>
      </c>
      <c r="G179" s="155" t="s">
        <v>162</v>
      </c>
      <c r="H179" s="162">
        <v>9500</v>
      </c>
      <c r="I179" s="155">
        <v>92</v>
      </c>
      <c r="K179" s="155" t="s">
        <v>162</v>
      </c>
      <c r="L179" s="162">
        <v>10398</v>
      </c>
      <c r="M179" s="155">
        <v>90</v>
      </c>
      <c r="O179" s="155" t="s">
        <v>162</v>
      </c>
      <c r="P179" s="162">
        <v>11037</v>
      </c>
      <c r="Q179" s="155">
        <v>90</v>
      </c>
      <c r="S179" s="155" t="s">
        <v>162</v>
      </c>
      <c r="T179" s="162">
        <v>11395</v>
      </c>
      <c r="U179" s="155">
        <v>90</v>
      </c>
      <c r="W179" s="155" t="s">
        <v>162</v>
      </c>
      <c r="X179" s="162">
        <v>12045</v>
      </c>
      <c r="Y179" s="155">
        <v>90</v>
      </c>
      <c r="AA179" s="155" t="s">
        <v>162</v>
      </c>
      <c r="AB179" s="162">
        <v>12945</v>
      </c>
      <c r="AC179" s="155">
        <v>91</v>
      </c>
      <c r="AD179" s="155">
        <v>91</v>
      </c>
      <c r="AE179" s="155" t="s">
        <v>162</v>
      </c>
      <c r="AF179" s="160">
        <v>12785</v>
      </c>
      <c r="AH179" s="155" t="s">
        <v>162</v>
      </c>
      <c r="AI179" s="155">
        <v>336.9</v>
      </c>
      <c r="AN179" s="155" t="s">
        <v>162</v>
      </c>
      <c r="AO179" s="162">
        <v>92.166666666666671</v>
      </c>
      <c r="AP179" s="155">
        <v>84</v>
      </c>
      <c r="AR179" s="155" t="s">
        <v>162</v>
      </c>
      <c r="AS179" s="162">
        <v>105.96774193548387</v>
      </c>
      <c r="AT179" s="155">
        <v>81</v>
      </c>
      <c r="AV179" s="155" t="s">
        <v>162</v>
      </c>
      <c r="AW179" s="162">
        <v>91.807692307692307</v>
      </c>
      <c r="AX179" s="155">
        <v>83</v>
      </c>
      <c r="AZ179" s="155" t="s">
        <v>162</v>
      </c>
      <c r="BA179" s="162">
        <v>83.238095238095241</v>
      </c>
      <c r="BB179" s="155">
        <v>83</v>
      </c>
      <c r="BD179" s="155" t="s">
        <v>162</v>
      </c>
      <c r="BE179" s="162">
        <v>86.875</v>
      </c>
      <c r="BF179" s="155">
        <v>84</v>
      </c>
      <c r="BH179" s="155" t="s">
        <v>162</v>
      </c>
      <c r="BI179" s="162">
        <v>67.272727272727266</v>
      </c>
      <c r="BJ179" s="155">
        <v>85</v>
      </c>
      <c r="BL179" s="155" t="s">
        <v>162</v>
      </c>
      <c r="BM179" s="162">
        <v>-26.666666666666668</v>
      </c>
      <c r="BN179" s="155">
        <v>89</v>
      </c>
      <c r="BP179" s="155" t="s">
        <v>162</v>
      </c>
      <c r="BQ179" s="162">
        <v>3318</v>
      </c>
      <c r="BR179" s="155">
        <v>84</v>
      </c>
      <c r="BT179" s="155" t="s">
        <v>162</v>
      </c>
      <c r="BU179" s="162">
        <v>3285</v>
      </c>
      <c r="BV179" s="155">
        <v>81</v>
      </c>
      <c r="BX179" s="155" t="s">
        <v>162</v>
      </c>
      <c r="BY179" s="162">
        <v>2387</v>
      </c>
      <c r="BZ179" s="155">
        <v>83</v>
      </c>
      <c r="CB179" s="155" t="s">
        <v>162</v>
      </c>
      <c r="CC179" s="162">
        <v>1748</v>
      </c>
      <c r="CD179" s="155">
        <v>83</v>
      </c>
      <c r="CF179" s="155" t="s">
        <v>162</v>
      </c>
      <c r="CG179" s="162">
        <v>1390</v>
      </c>
      <c r="CH179" s="155">
        <v>84</v>
      </c>
      <c r="CJ179" s="155" t="s">
        <v>162</v>
      </c>
      <c r="CK179" s="162">
        <v>740</v>
      </c>
      <c r="CL179" s="155">
        <v>86</v>
      </c>
      <c r="CN179" s="155" t="s">
        <v>162</v>
      </c>
      <c r="CO179" s="162">
        <v>-160</v>
      </c>
      <c r="CP179" s="155">
        <v>89</v>
      </c>
    </row>
    <row r="180" spans="1:94" x14ac:dyDescent="0.2">
      <c r="A180" s="155" t="s">
        <v>272</v>
      </c>
      <c r="C180" s="155" t="s">
        <v>163</v>
      </c>
      <c r="D180" s="162">
        <v>26824</v>
      </c>
      <c r="E180" s="155">
        <v>55</v>
      </c>
      <c r="G180" s="155" t="s">
        <v>163</v>
      </c>
      <c r="H180" s="162">
        <v>27500</v>
      </c>
      <c r="I180" s="155">
        <v>60</v>
      </c>
      <c r="K180" s="155" t="s">
        <v>163</v>
      </c>
      <c r="L180" s="162">
        <v>28462</v>
      </c>
      <c r="M180" s="155">
        <v>61</v>
      </c>
      <c r="O180" s="155" t="s">
        <v>163</v>
      </c>
      <c r="P180" s="162">
        <v>29493</v>
      </c>
      <c r="Q180" s="155">
        <v>60</v>
      </c>
      <c r="S180" s="155" t="s">
        <v>163</v>
      </c>
      <c r="T180" s="162">
        <v>31403</v>
      </c>
      <c r="U180" s="155">
        <v>59</v>
      </c>
      <c r="W180" s="155" t="s">
        <v>163</v>
      </c>
      <c r="X180" s="162">
        <v>33315</v>
      </c>
      <c r="Y180" s="155">
        <v>61</v>
      </c>
      <c r="AA180" s="155" t="s">
        <v>163</v>
      </c>
      <c r="AB180" s="162">
        <v>34879</v>
      </c>
      <c r="AC180" s="155">
        <v>63</v>
      </c>
      <c r="AD180" s="155">
        <v>61</v>
      </c>
      <c r="AE180" s="155" t="s">
        <v>163</v>
      </c>
      <c r="AF180" s="160">
        <v>39591</v>
      </c>
      <c r="AH180" s="155" t="s">
        <v>163</v>
      </c>
      <c r="AI180" s="155">
        <v>226.9</v>
      </c>
      <c r="AN180" s="155" t="s">
        <v>163</v>
      </c>
      <c r="AO180" s="162">
        <v>354.63888888888891</v>
      </c>
      <c r="AP180" s="155">
        <v>59</v>
      </c>
      <c r="AR180" s="155" t="s">
        <v>163</v>
      </c>
      <c r="AS180" s="162">
        <v>390.03225806451616</v>
      </c>
      <c r="AT180" s="155">
        <v>55</v>
      </c>
      <c r="AV180" s="155" t="s">
        <v>163</v>
      </c>
      <c r="AW180" s="162">
        <v>428.03846153846155</v>
      </c>
      <c r="AX180" s="155">
        <v>50</v>
      </c>
      <c r="AZ180" s="155" t="s">
        <v>163</v>
      </c>
      <c r="BA180" s="162">
        <v>480.85714285714283</v>
      </c>
      <c r="BB180" s="155">
        <v>48</v>
      </c>
      <c r="BD180" s="155" t="s">
        <v>163</v>
      </c>
      <c r="BE180" s="162">
        <v>511.75</v>
      </c>
      <c r="BF180" s="155">
        <v>51</v>
      </c>
      <c r="BH180" s="155" t="s">
        <v>163</v>
      </c>
      <c r="BI180" s="162">
        <v>570.5454545454545</v>
      </c>
      <c r="BJ180" s="155">
        <v>43</v>
      </c>
      <c r="BL180" s="155" t="s">
        <v>163</v>
      </c>
      <c r="BM180" s="162">
        <v>785.33333333333337</v>
      </c>
      <c r="BN180" s="155">
        <v>33</v>
      </c>
      <c r="BP180" s="155" t="s">
        <v>163</v>
      </c>
      <c r="BQ180" s="162">
        <v>12767</v>
      </c>
      <c r="BR180" s="155">
        <v>59</v>
      </c>
      <c r="BT180" s="155" t="s">
        <v>163</v>
      </c>
      <c r="BU180" s="162">
        <v>12091</v>
      </c>
      <c r="BV180" s="155">
        <v>55</v>
      </c>
      <c r="BX180" s="155" t="s">
        <v>163</v>
      </c>
      <c r="BY180" s="162">
        <v>11129</v>
      </c>
      <c r="BZ180" s="155">
        <v>51</v>
      </c>
      <c r="CB180" s="155" t="s">
        <v>163</v>
      </c>
      <c r="CC180" s="162">
        <v>10098</v>
      </c>
      <c r="CD180" s="155">
        <v>48</v>
      </c>
      <c r="CF180" s="155" t="s">
        <v>163</v>
      </c>
      <c r="CG180" s="162">
        <v>8188</v>
      </c>
      <c r="CH180" s="155">
        <v>52</v>
      </c>
      <c r="CJ180" s="155" t="s">
        <v>163</v>
      </c>
      <c r="CK180" s="162">
        <v>6276</v>
      </c>
      <c r="CL180" s="155">
        <v>43</v>
      </c>
      <c r="CN180" s="155" t="s">
        <v>163</v>
      </c>
      <c r="CO180" s="162">
        <v>4712</v>
      </c>
      <c r="CP180" s="155">
        <v>33</v>
      </c>
    </row>
    <row r="181" spans="1:94" x14ac:dyDescent="0.2">
      <c r="A181" s="155" t="s">
        <v>273</v>
      </c>
      <c r="C181" s="155" t="s">
        <v>164</v>
      </c>
      <c r="D181" s="162">
        <v>18149</v>
      </c>
      <c r="E181" s="155">
        <v>75</v>
      </c>
      <c r="G181" s="155" t="s">
        <v>164</v>
      </c>
      <c r="H181" s="162">
        <v>20200</v>
      </c>
      <c r="I181" s="155">
        <v>75</v>
      </c>
      <c r="K181" s="155" t="s">
        <v>164</v>
      </c>
      <c r="L181" s="162">
        <v>22262</v>
      </c>
      <c r="M181" s="155">
        <v>72</v>
      </c>
      <c r="O181" s="155" t="s">
        <v>164</v>
      </c>
      <c r="P181" s="162">
        <v>24390</v>
      </c>
      <c r="Q181" s="155">
        <v>69</v>
      </c>
      <c r="S181" s="155" t="s">
        <v>164</v>
      </c>
      <c r="T181" s="162">
        <v>29086</v>
      </c>
      <c r="U181" s="155">
        <v>62</v>
      </c>
      <c r="W181" s="155" t="s">
        <v>164</v>
      </c>
      <c r="X181" s="162">
        <v>35194</v>
      </c>
      <c r="Y181" s="155">
        <v>58</v>
      </c>
      <c r="AA181" s="155" t="s">
        <v>164</v>
      </c>
      <c r="AB181" s="162">
        <v>41273</v>
      </c>
      <c r="AC181" s="155">
        <v>58</v>
      </c>
      <c r="AD181" s="155">
        <v>52</v>
      </c>
      <c r="AE181" s="155" t="s">
        <v>164</v>
      </c>
      <c r="AF181" s="160">
        <v>48630</v>
      </c>
      <c r="AH181" s="155" t="s">
        <v>164</v>
      </c>
      <c r="AI181" s="155">
        <v>870.7</v>
      </c>
      <c r="AN181" s="155" t="s">
        <v>164</v>
      </c>
      <c r="AO181" s="162">
        <v>846.69444444444446</v>
      </c>
      <c r="AP181" s="155">
        <v>32</v>
      </c>
      <c r="AR181" s="155" t="s">
        <v>164</v>
      </c>
      <c r="AS181" s="162">
        <v>917.09677419354841</v>
      </c>
      <c r="AT181" s="155">
        <v>29</v>
      </c>
      <c r="AV181" s="155" t="s">
        <v>164</v>
      </c>
      <c r="AW181" s="162">
        <v>1014.1538461538462</v>
      </c>
      <c r="AX181" s="155">
        <v>29</v>
      </c>
      <c r="AZ181" s="155" t="s">
        <v>164</v>
      </c>
      <c r="BA181" s="162">
        <v>1154.2857142857142</v>
      </c>
      <c r="BB181" s="155">
        <v>28</v>
      </c>
      <c r="BD181" s="155" t="s">
        <v>164</v>
      </c>
      <c r="BE181" s="162">
        <v>1221.5</v>
      </c>
      <c r="BF181" s="155">
        <v>28</v>
      </c>
      <c r="BH181" s="155" t="s">
        <v>164</v>
      </c>
      <c r="BI181" s="162">
        <v>1221.4545454545455</v>
      </c>
      <c r="BJ181" s="155">
        <v>28</v>
      </c>
      <c r="BL181" s="155" t="s">
        <v>164</v>
      </c>
      <c r="BM181" s="162">
        <v>1226.1666666666667</v>
      </c>
      <c r="BN181" s="155">
        <v>27</v>
      </c>
      <c r="BP181" s="155" t="s">
        <v>164</v>
      </c>
      <c r="BQ181" s="162">
        <v>30481</v>
      </c>
      <c r="BR181" s="155">
        <v>32</v>
      </c>
      <c r="BT181" s="155" t="s">
        <v>164</v>
      </c>
      <c r="BU181" s="162">
        <v>28430</v>
      </c>
      <c r="BV181" s="155">
        <v>29</v>
      </c>
      <c r="BX181" s="155" t="s">
        <v>164</v>
      </c>
      <c r="BY181" s="162">
        <v>26368</v>
      </c>
      <c r="BZ181" s="155">
        <v>29</v>
      </c>
      <c r="CB181" s="155" t="s">
        <v>164</v>
      </c>
      <c r="CC181" s="162">
        <v>24240</v>
      </c>
      <c r="CD181" s="155">
        <v>28</v>
      </c>
      <c r="CF181" s="155" t="s">
        <v>164</v>
      </c>
      <c r="CG181" s="162">
        <v>19544</v>
      </c>
      <c r="CH181" s="155">
        <v>28</v>
      </c>
      <c r="CJ181" s="155" t="s">
        <v>164</v>
      </c>
      <c r="CK181" s="162">
        <v>13436</v>
      </c>
      <c r="CL181" s="155">
        <v>28</v>
      </c>
      <c r="CN181" s="155" t="s">
        <v>164</v>
      </c>
      <c r="CO181" s="162">
        <v>7357</v>
      </c>
      <c r="CP181" s="155">
        <v>27</v>
      </c>
    </row>
    <row r="182" spans="1:94" x14ac:dyDescent="0.2">
      <c r="A182" s="155" t="s">
        <v>274</v>
      </c>
      <c r="C182" s="155" t="s">
        <v>165</v>
      </c>
      <c r="D182" s="162">
        <v>8351</v>
      </c>
      <c r="E182" s="155">
        <v>92</v>
      </c>
      <c r="G182" s="155" t="s">
        <v>165</v>
      </c>
      <c r="H182" s="162">
        <v>9100</v>
      </c>
      <c r="I182" s="155">
        <v>93</v>
      </c>
      <c r="K182" s="155" t="s">
        <v>165</v>
      </c>
      <c r="L182" s="162">
        <v>9486</v>
      </c>
      <c r="M182" s="155">
        <v>94</v>
      </c>
      <c r="O182" s="155" t="s">
        <v>165</v>
      </c>
      <c r="P182" s="162">
        <v>9944</v>
      </c>
      <c r="Q182" s="155">
        <v>92</v>
      </c>
      <c r="S182" s="155" t="s">
        <v>165</v>
      </c>
      <c r="T182" s="162">
        <v>10477</v>
      </c>
      <c r="U182" s="155">
        <v>92</v>
      </c>
      <c r="W182" s="155" t="s">
        <v>165</v>
      </c>
      <c r="X182" s="162">
        <v>10661</v>
      </c>
      <c r="Y182" s="155">
        <v>92</v>
      </c>
      <c r="AA182" s="155" t="s">
        <v>165</v>
      </c>
      <c r="AB182" s="162">
        <v>11413</v>
      </c>
      <c r="AC182" s="155">
        <v>92</v>
      </c>
      <c r="AD182" s="155">
        <v>92</v>
      </c>
      <c r="AE182" s="155" t="s">
        <v>165</v>
      </c>
      <c r="AF182" s="160">
        <v>12337</v>
      </c>
      <c r="AH182" s="155" t="s">
        <v>165</v>
      </c>
      <c r="AI182" s="155">
        <v>247.2</v>
      </c>
      <c r="AN182" s="155" t="s">
        <v>165</v>
      </c>
      <c r="AO182" s="162">
        <v>110.72222222222223</v>
      </c>
      <c r="AP182" s="155">
        <v>81</v>
      </c>
      <c r="AR182" s="155" t="s">
        <v>165</v>
      </c>
      <c r="AS182" s="162">
        <v>104.41935483870968</v>
      </c>
      <c r="AT182" s="155">
        <v>82</v>
      </c>
      <c r="AV182" s="155" t="s">
        <v>165</v>
      </c>
      <c r="AW182" s="162">
        <v>109.65384615384616</v>
      </c>
      <c r="AX182" s="155">
        <v>78</v>
      </c>
      <c r="AZ182" s="155" t="s">
        <v>165</v>
      </c>
      <c r="BA182" s="162">
        <v>113.95238095238095</v>
      </c>
      <c r="BB182" s="155">
        <v>80</v>
      </c>
      <c r="BD182" s="155" t="s">
        <v>165</v>
      </c>
      <c r="BE182" s="162">
        <v>116.25</v>
      </c>
      <c r="BF182" s="155">
        <v>82</v>
      </c>
      <c r="BH182" s="155" t="s">
        <v>165</v>
      </c>
      <c r="BI182" s="162">
        <v>152.36363636363637</v>
      </c>
      <c r="BJ182" s="155">
        <v>77</v>
      </c>
      <c r="BL182" s="155" t="s">
        <v>165</v>
      </c>
      <c r="BM182" s="162">
        <v>154</v>
      </c>
      <c r="BN182" s="155">
        <v>62</v>
      </c>
      <c r="BP182" s="155" t="s">
        <v>165</v>
      </c>
      <c r="BQ182" s="162">
        <v>3986</v>
      </c>
      <c r="BR182" s="155">
        <v>81</v>
      </c>
      <c r="BT182" s="155" t="s">
        <v>165</v>
      </c>
      <c r="BU182" s="162">
        <v>3237</v>
      </c>
      <c r="BV182" s="155">
        <v>82</v>
      </c>
      <c r="BX182" s="155" t="s">
        <v>165</v>
      </c>
      <c r="BY182" s="162">
        <v>2851</v>
      </c>
      <c r="BZ182" s="155">
        <v>79</v>
      </c>
      <c r="CB182" s="155" t="s">
        <v>165</v>
      </c>
      <c r="CC182" s="162">
        <v>2393</v>
      </c>
      <c r="CD182" s="155">
        <v>81</v>
      </c>
      <c r="CF182" s="155" t="s">
        <v>165</v>
      </c>
      <c r="CG182" s="162">
        <v>1860</v>
      </c>
      <c r="CH182" s="155">
        <v>83</v>
      </c>
      <c r="CJ182" s="155" t="s">
        <v>165</v>
      </c>
      <c r="CK182" s="162">
        <v>1676</v>
      </c>
      <c r="CL182" s="155">
        <v>79</v>
      </c>
      <c r="CN182" s="155" t="s">
        <v>165</v>
      </c>
      <c r="CO182" s="162">
        <v>924</v>
      </c>
      <c r="CP182" s="155">
        <v>64</v>
      </c>
    </row>
    <row r="183" spans="1:94" x14ac:dyDescent="0.2">
      <c r="A183" s="155" t="s">
        <v>275</v>
      </c>
      <c r="C183" s="155" t="s">
        <v>166</v>
      </c>
      <c r="D183" s="162">
        <v>25914</v>
      </c>
      <c r="E183" s="155">
        <v>58</v>
      </c>
      <c r="G183" s="155" t="s">
        <v>166</v>
      </c>
      <c r="H183" s="162">
        <v>27400</v>
      </c>
      <c r="I183" s="155">
        <v>61</v>
      </c>
      <c r="K183" s="155" t="s">
        <v>166</v>
      </c>
      <c r="L183" s="162">
        <v>29164</v>
      </c>
      <c r="M183" s="155">
        <v>60</v>
      </c>
      <c r="O183" s="155" t="s">
        <v>166</v>
      </c>
      <c r="P183" s="162">
        <v>29468</v>
      </c>
      <c r="Q183" s="155">
        <v>61</v>
      </c>
      <c r="S183" s="155" t="s">
        <v>166</v>
      </c>
      <c r="T183" s="162">
        <v>30314</v>
      </c>
      <c r="U183" s="155">
        <v>61</v>
      </c>
      <c r="W183" s="155" t="s">
        <v>166</v>
      </c>
      <c r="X183" s="162">
        <v>32950</v>
      </c>
      <c r="Y183" s="155">
        <v>62</v>
      </c>
      <c r="AA183" s="155" t="s">
        <v>166</v>
      </c>
      <c r="AB183" s="162">
        <v>35756</v>
      </c>
      <c r="AC183" s="155">
        <v>61</v>
      </c>
      <c r="AD183" s="155">
        <v>63</v>
      </c>
      <c r="AE183" s="155" t="s">
        <v>166</v>
      </c>
      <c r="AF183" s="160">
        <v>37341</v>
      </c>
      <c r="AH183" s="155" t="s">
        <v>166</v>
      </c>
      <c r="AI183" s="155">
        <v>392.3</v>
      </c>
      <c r="AN183" s="155" t="s">
        <v>166</v>
      </c>
      <c r="AO183" s="162">
        <v>317.41666666666669</v>
      </c>
      <c r="AP183" s="155">
        <v>61</v>
      </c>
      <c r="AR183" s="155" t="s">
        <v>166</v>
      </c>
      <c r="AS183" s="162">
        <v>320.67741935483872</v>
      </c>
      <c r="AT183" s="155">
        <v>60</v>
      </c>
      <c r="AV183" s="155" t="s">
        <v>166</v>
      </c>
      <c r="AW183" s="162">
        <v>314.5</v>
      </c>
      <c r="AX183" s="155">
        <v>60</v>
      </c>
      <c r="AZ183" s="155" t="s">
        <v>166</v>
      </c>
      <c r="BA183" s="162">
        <v>374.90476190476193</v>
      </c>
      <c r="BB183" s="155">
        <v>56</v>
      </c>
      <c r="BD183" s="155" t="s">
        <v>166</v>
      </c>
      <c r="BE183" s="162">
        <v>439.1875</v>
      </c>
      <c r="BF183" s="155">
        <v>55</v>
      </c>
      <c r="BH183" s="155" t="s">
        <v>166</v>
      </c>
      <c r="BI183" s="162">
        <v>399.18181818181819</v>
      </c>
      <c r="BJ183" s="155">
        <v>54</v>
      </c>
      <c r="BL183" s="155" t="s">
        <v>166</v>
      </c>
      <c r="BM183" s="162">
        <v>264.16666666666669</v>
      </c>
      <c r="BN183" s="155">
        <v>49</v>
      </c>
      <c r="BP183" s="155" t="s">
        <v>166</v>
      </c>
      <c r="BQ183" s="162">
        <v>11427</v>
      </c>
      <c r="BR183" s="155">
        <v>61</v>
      </c>
      <c r="BT183" s="155" t="s">
        <v>166</v>
      </c>
      <c r="BU183" s="162">
        <v>9941</v>
      </c>
      <c r="BV183" s="155">
        <v>61</v>
      </c>
      <c r="BX183" s="155" t="s">
        <v>166</v>
      </c>
      <c r="BY183" s="162">
        <v>8177</v>
      </c>
      <c r="BZ183" s="155">
        <v>61</v>
      </c>
      <c r="CB183" s="155" t="s">
        <v>166</v>
      </c>
      <c r="CC183" s="162">
        <v>7873</v>
      </c>
      <c r="CD183" s="155">
        <v>57</v>
      </c>
      <c r="CF183" s="155" t="s">
        <v>166</v>
      </c>
      <c r="CG183" s="162">
        <v>7027</v>
      </c>
      <c r="CH183" s="155">
        <v>57</v>
      </c>
      <c r="CJ183" s="155" t="s">
        <v>166</v>
      </c>
      <c r="CK183" s="162">
        <v>4391</v>
      </c>
      <c r="CL183" s="155">
        <v>56</v>
      </c>
      <c r="CN183" s="155" t="s">
        <v>166</v>
      </c>
      <c r="CO183" s="162">
        <v>1585</v>
      </c>
      <c r="CP183" s="155">
        <v>50</v>
      </c>
    </row>
    <row r="184" spans="1:94" x14ac:dyDescent="0.2">
      <c r="A184" s="155" t="s">
        <v>276</v>
      </c>
      <c r="C184" s="155" t="s">
        <v>167</v>
      </c>
      <c r="D184" s="162">
        <v>73900</v>
      </c>
      <c r="E184" s="155">
        <v>19</v>
      </c>
      <c r="G184" s="155" t="s">
        <v>167</v>
      </c>
      <c r="H184" s="162">
        <v>78900</v>
      </c>
      <c r="I184" s="155">
        <v>21</v>
      </c>
      <c r="K184" s="155" t="s">
        <v>167</v>
      </c>
      <c r="L184" s="162">
        <v>90146</v>
      </c>
      <c r="M184" s="155">
        <v>18</v>
      </c>
      <c r="O184" s="155" t="s">
        <v>167</v>
      </c>
      <c r="P184" s="162">
        <v>97730</v>
      </c>
      <c r="Q184" s="155">
        <v>17</v>
      </c>
      <c r="S184" s="155" t="s">
        <v>167</v>
      </c>
      <c r="T184" s="162">
        <v>109054</v>
      </c>
      <c r="U184" s="155">
        <v>14</v>
      </c>
      <c r="W184" s="155" t="s">
        <v>167</v>
      </c>
      <c r="X184" s="162">
        <v>122525</v>
      </c>
      <c r="Y184" s="155">
        <v>13</v>
      </c>
      <c r="AA184" s="155" t="s">
        <v>167</v>
      </c>
      <c r="AB184" s="162">
        <v>134111</v>
      </c>
      <c r="AC184" s="155">
        <v>13</v>
      </c>
      <c r="AD184" s="155">
        <v>17</v>
      </c>
      <c r="AE184" s="155" t="s">
        <v>167</v>
      </c>
      <c r="AF184" s="160">
        <v>145619</v>
      </c>
      <c r="AH184" s="155" t="s">
        <v>167</v>
      </c>
      <c r="AI184" s="155">
        <v>651.6</v>
      </c>
      <c r="AN184" s="155" t="s">
        <v>167</v>
      </c>
      <c r="AO184" s="162">
        <v>1992.1944444444443</v>
      </c>
      <c r="AP184" s="155">
        <v>13</v>
      </c>
      <c r="AR184" s="155" t="s">
        <v>167</v>
      </c>
      <c r="AS184" s="162">
        <v>2152.2258064516127</v>
      </c>
      <c r="AT184" s="155">
        <v>12</v>
      </c>
      <c r="AV184" s="155" t="s">
        <v>167</v>
      </c>
      <c r="AW184" s="162">
        <v>2133.5769230769229</v>
      </c>
      <c r="AX184" s="155">
        <v>13</v>
      </c>
      <c r="AZ184" s="155" t="s">
        <v>167</v>
      </c>
      <c r="BA184" s="162">
        <v>2280.4285714285716</v>
      </c>
      <c r="BB184" s="155">
        <v>13</v>
      </c>
      <c r="BD184" s="155" t="s">
        <v>167</v>
      </c>
      <c r="BE184" s="162">
        <v>2285.3125</v>
      </c>
      <c r="BF184" s="155">
        <v>14</v>
      </c>
      <c r="BH184" s="155" t="s">
        <v>167</v>
      </c>
      <c r="BI184" s="162">
        <v>2099.4545454545455</v>
      </c>
      <c r="BJ184" s="155">
        <v>16</v>
      </c>
      <c r="BL184" s="155" t="s">
        <v>167</v>
      </c>
      <c r="BM184" s="162">
        <v>1918</v>
      </c>
      <c r="BN184" s="155">
        <v>14</v>
      </c>
      <c r="BP184" s="155" t="s">
        <v>167</v>
      </c>
      <c r="BQ184" s="162">
        <v>71719</v>
      </c>
      <c r="BR184" s="155">
        <v>13</v>
      </c>
      <c r="BT184" s="155" t="s">
        <v>167</v>
      </c>
      <c r="BU184" s="162">
        <v>66719</v>
      </c>
      <c r="BV184" s="155">
        <v>12</v>
      </c>
      <c r="BX184" s="155" t="s">
        <v>167</v>
      </c>
      <c r="BY184" s="162">
        <v>55473</v>
      </c>
      <c r="BZ184" s="155">
        <v>13</v>
      </c>
      <c r="CB184" s="155" t="s">
        <v>167</v>
      </c>
      <c r="CC184" s="162">
        <v>47889</v>
      </c>
      <c r="CD184" s="155">
        <v>13</v>
      </c>
      <c r="CF184" s="155" t="s">
        <v>167</v>
      </c>
      <c r="CG184" s="162">
        <v>36565</v>
      </c>
      <c r="CH184" s="155">
        <v>14</v>
      </c>
      <c r="CJ184" s="155" t="s">
        <v>167</v>
      </c>
      <c r="CK184" s="162">
        <v>23094</v>
      </c>
      <c r="CL184" s="155">
        <v>16</v>
      </c>
      <c r="CN184" s="155" t="s">
        <v>167</v>
      </c>
      <c r="CO184" s="162">
        <v>11508</v>
      </c>
      <c r="CP184" s="155">
        <v>14</v>
      </c>
    </row>
    <row r="185" spans="1:94" x14ac:dyDescent="0.2">
      <c r="A185" s="155" t="s">
        <v>277</v>
      </c>
      <c r="C185" s="155" t="s">
        <v>168</v>
      </c>
      <c r="D185" s="162">
        <v>11735</v>
      </c>
      <c r="E185" s="155">
        <v>86</v>
      </c>
      <c r="G185" s="155" t="s">
        <v>168</v>
      </c>
      <c r="H185" s="162">
        <v>12600</v>
      </c>
      <c r="I185" s="155">
        <v>86</v>
      </c>
      <c r="K185" s="155" t="s">
        <v>168</v>
      </c>
      <c r="L185" s="162">
        <v>12984</v>
      </c>
      <c r="M185" s="155">
        <v>87</v>
      </c>
      <c r="O185" s="155" t="s">
        <v>168</v>
      </c>
      <c r="P185" s="162">
        <v>14025</v>
      </c>
      <c r="Q185" s="155">
        <v>87</v>
      </c>
      <c r="S185" s="155" t="s">
        <v>168</v>
      </c>
      <c r="T185" s="162">
        <v>14544</v>
      </c>
      <c r="U185" s="155">
        <v>85</v>
      </c>
      <c r="W185" s="155" t="s">
        <v>168</v>
      </c>
      <c r="X185" s="162">
        <v>16544</v>
      </c>
      <c r="Y185" s="155">
        <v>84</v>
      </c>
      <c r="AA185" s="155" t="s">
        <v>168</v>
      </c>
      <c r="AB185" s="162">
        <v>18411</v>
      </c>
      <c r="AC185" s="155">
        <v>83</v>
      </c>
      <c r="AD185" s="155">
        <v>83</v>
      </c>
      <c r="AE185" s="155" t="s">
        <v>168</v>
      </c>
      <c r="AF185" s="160">
        <v>19226</v>
      </c>
      <c r="AH185" s="155" t="s">
        <v>168</v>
      </c>
      <c r="AI185" s="155">
        <v>237.8</v>
      </c>
      <c r="AN185" s="155" t="s">
        <v>168</v>
      </c>
      <c r="AO185" s="162">
        <v>208.08333333333334</v>
      </c>
      <c r="AP185" s="155">
        <v>69</v>
      </c>
      <c r="AR185" s="155" t="s">
        <v>168</v>
      </c>
      <c r="AS185" s="162">
        <v>213.74193548387098</v>
      </c>
      <c r="AT185" s="155">
        <v>68</v>
      </c>
      <c r="AV185" s="155" t="s">
        <v>168</v>
      </c>
      <c r="AW185" s="162">
        <v>240.07692307692307</v>
      </c>
      <c r="AX185" s="155">
        <v>64</v>
      </c>
      <c r="AZ185" s="155" t="s">
        <v>168</v>
      </c>
      <c r="BA185" s="162">
        <v>247.66666666666666</v>
      </c>
      <c r="BB185" s="155">
        <v>63</v>
      </c>
      <c r="BD185" s="155" t="s">
        <v>168</v>
      </c>
      <c r="BE185" s="162">
        <v>292.625</v>
      </c>
      <c r="BF185" s="155">
        <v>63</v>
      </c>
      <c r="BH185" s="155" t="s">
        <v>168</v>
      </c>
      <c r="BI185" s="162">
        <v>243.81818181818181</v>
      </c>
      <c r="BJ185" s="155">
        <v>63</v>
      </c>
      <c r="BL185" s="155" t="s">
        <v>168</v>
      </c>
      <c r="BM185" s="162">
        <v>135.83333333333334</v>
      </c>
      <c r="BN185" s="155">
        <v>64</v>
      </c>
      <c r="BP185" s="155" t="s">
        <v>168</v>
      </c>
      <c r="BQ185" s="162">
        <v>7491</v>
      </c>
      <c r="BR185" s="155">
        <v>69</v>
      </c>
      <c r="BT185" s="155" t="s">
        <v>168</v>
      </c>
      <c r="BU185" s="162">
        <v>6626</v>
      </c>
      <c r="BV185" s="155">
        <v>68</v>
      </c>
      <c r="BX185" s="155" t="s">
        <v>168</v>
      </c>
      <c r="BY185" s="162">
        <v>6242</v>
      </c>
      <c r="BZ185" s="155">
        <v>65</v>
      </c>
      <c r="CB185" s="155" t="s">
        <v>168</v>
      </c>
      <c r="CC185" s="162">
        <v>5201</v>
      </c>
      <c r="CD185" s="155">
        <v>64</v>
      </c>
      <c r="CF185" s="155" t="s">
        <v>168</v>
      </c>
      <c r="CG185" s="162">
        <v>4682</v>
      </c>
      <c r="CH185" s="155">
        <v>65</v>
      </c>
      <c r="CJ185" s="155" t="s">
        <v>168</v>
      </c>
      <c r="CK185" s="162">
        <v>2682</v>
      </c>
      <c r="CL185" s="155">
        <v>65</v>
      </c>
      <c r="CN185" s="155" t="s">
        <v>168</v>
      </c>
      <c r="CO185" s="162">
        <v>815</v>
      </c>
      <c r="CP185" s="155">
        <v>66</v>
      </c>
    </row>
    <row r="186" spans="1:94" x14ac:dyDescent="0.2">
      <c r="A186" s="155" t="s">
        <v>278</v>
      </c>
      <c r="C186" s="155" t="s">
        <v>169</v>
      </c>
      <c r="D186" s="162">
        <v>76358</v>
      </c>
      <c r="E186" s="155">
        <v>17</v>
      </c>
      <c r="G186" s="155" t="s">
        <v>169</v>
      </c>
      <c r="H186" s="162">
        <v>84700</v>
      </c>
      <c r="I186" s="155">
        <v>17</v>
      </c>
      <c r="K186" s="155" t="s">
        <v>169</v>
      </c>
      <c r="L186" s="162">
        <v>91300</v>
      </c>
      <c r="M186" s="155">
        <v>17</v>
      </c>
      <c r="O186" s="155" t="s">
        <v>169</v>
      </c>
      <c r="P186" s="162">
        <v>97590</v>
      </c>
      <c r="Q186" s="155">
        <v>18</v>
      </c>
      <c r="S186" s="155" t="s">
        <v>169</v>
      </c>
      <c r="T186" s="162">
        <v>107194</v>
      </c>
      <c r="U186" s="155">
        <v>16</v>
      </c>
      <c r="W186" s="155" t="s">
        <v>169</v>
      </c>
      <c r="X186" s="162">
        <v>117474</v>
      </c>
      <c r="Y186" s="155">
        <v>16</v>
      </c>
      <c r="AA186" s="155" t="s">
        <v>169</v>
      </c>
      <c r="AB186" s="162">
        <v>131090</v>
      </c>
      <c r="AC186" s="155">
        <v>16</v>
      </c>
      <c r="AD186" s="155">
        <v>19</v>
      </c>
      <c r="AE186" s="155" t="s">
        <v>169</v>
      </c>
      <c r="AF186" s="160">
        <v>140410</v>
      </c>
      <c r="AH186" s="155" t="s">
        <v>169</v>
      </c>
      <c r="AI186" s="155">
        <v>787.5</v>
      </c>
      <c r="AN186" s="155" t="s">
        <v>169</v>
      </c>
      <c r="AO186" s="162">
        <v>1779.2222222222222</v>
      </c>
      <c r="AP186" s="155">
        <v>15</v>
      </c>
      <c r="AR186" s="155" t="s">
        <v>169</v>
      </c>
      <c r="AS186" s="162">
        <v>1797.0967741935483</v>
      </c>
      <c r="AT186" s="155">
        <v>15</v>
      </c>
      <c r="AV186" s="155" t="s">
        <v>169</v>
      </c>
      <c r="AW186" s="162">
        <v>1888.8461538461538</v>
      </c>
      <c r="AX186" s="155">
        <v>15</v>
      </c>
      <c r="AZ186" s="155" t="s">
        <v>169</v>
      </c>
      <c r="BA186" s="162">
        <v>2039.047619047619</v>
      </c>
      <c r="BB186" s="155">
        <v>14</v>
      </c>
      <c r="BD186" s="155" t="s">
        <v>169</v>
      </c>
      <c r="BE186" s="162">
        <v>2076</v>
      </c>
      <c r="BF186" s="155">
        <v>17</v>
      </c>
      <c r="BH186" s="155" t="s">
        <v>169</v>
      </c>
      <c r="BI186" s="162">
        <v>2085.090909090909</v>
      </c>
      <c r="BJ186" s="155">
        <v>17</v>
      </c>
      <c r="BL186" s="155" t="s">
        <v>169</v>
      </c>
      <c r="BM186" s="162">
        <v>1553.3333333333333</v>
      </c>
      <c r="BN186" s="155">
        <v>19</v>
      </c>
      <c r="BP186" s="155" t="s">
        <v>169</v>
      </c>
      <c r="BQ186" s="162">
        <v>64052</v>
      </c>
      <c r="BR186" s="155">
        <v>15</v>
      </c>
      <c r="BT186" s="155" t="s">
        <v>169</v>
      </c>
      <c r="BU186" s="162">
        <v>55710</v>
      </c>
      <c r="BV186" s="155">
        <v>15</v>
      </c>
      <c r="BX186" s="155" t="s">
        <v>169</v>
      </c>
      <c r="BY186" s="162">
        <v>49110</v>
      </c>
      <c r="BZ186" s="155">
        <v>15</v>
      </c>
      <c r="CB186" s="155" t="s">
        <v>169</v>
      </c>
      <c r="CC186" s="162">
        <v>42820</v>
      </c>
      <c r="CD186" s="155">
        <v>14</v>
      </c>
      <c r="CF186" s="155" t="s">
        <v>169</v>
      </c>
      <c r="CG186" s="162">
        <v>33216</v>
      </c>
      <c r="CH186" s="155">
        <v>17</v>
      </c>
      <c r="CJ186" s="155" t="s">
        <v>169</v>
      </c>
      <c r="CK186" s="162">
        <v>22936</v>
      </c>
      <c r="CL186" s="155">
        <v>17</v>
      </c>
      <c r="CN186" s="155" t="s">
        <v>169</v>
      </c>
      <c r="CO186" s="162">
        <v>9320</v>
      </c>
      <c r="CP186" s="155">
        <v>19</v>
      </c>
    </row>
    <row r="187" spans="1:94" x14ac:dyDescent="0.2">
      <c r="A187" s="155" t="s">
        <v>279</v>
      </c>
      <c r="C187" s="155" t="s">
        <v>170</v>
      </c>
      <c r="D187" s="162">
        <v>39889</v>
      </c>
      <c r="E187" s="155">
        <v>43</v>
      </c>
      <c r="G187" s="155" t="s">
        <v>170</v>
      </c>
      <c r="H187" s="162">
        <v>42000</v>
      </c>
      <c r="I187" s="155">
        <v>44</v>
      </c>
      <c r="K187" s="155" t="s">
        <v>170</v>
      </c>
      <c r="L187" s="162">
        <v>45161</v>
      </c>
      <c r="M187" s="155">
        <v>44</v>
      </c>
      <c r="O187" s="155" t="s">
        <v>170</v>
      </c>
      <c r="P187" s="162">
        <v>45103</v>
      </c>
      <c r="Q187" s="155">
        <v>46</v>
      </c>
      <c r="S187" s="155" t="s">
        <v>170</v>
      </c>
      <c r="T187" s="162">
        <v>44608</v>
      </c>
      <c r="U187" s="155">
        <v>47</v>
      </c>
      <c r="W187" s="155" t="s">
        <v>170</v>
      </c>
      <c r="X187" s="162">
        <v>45731</v>
      </c>
      <c r="Y187" s="155">
        <v>47</v>
      </c>
      <c r="AA187" s="155" t="s">
        <v>170</v>
      </c>
      <c r="AB187" s="162">
        <v>46583</v>
      </c>
      <c r="AC187" s="155">
        <v>52</v>
      </c>
      <c r="AD187" s="155">
        <v>53</v>
      </c>
      <c r="AE187" s="155" t="s">
        <v>170</v>
      </c>
      <c r="AF187" s="160">
        <v>46555</v>
      </c>
      <c r="AH187" s="155" t="s">
        <v>170</v>
      </c>
      <c r="AI187" s="155">
        <v>474</v>
      </c>
      <c r="AN187" s="155" t="s">
        <v>170</v>
      </c>
      <c r="AO187" s="162">
        <v>185.16666666666666</v>
      </c>
      <c r="AP187" s="155">
        <v>70</v>
      </c>
      <c r="AR187" s="155" t="s">
        <v>170</v>
      </c>
      <c r="AS187" s="162">
        <v>146.93548387096774</v>
      </c>
      <c r="AT187" s="155">
        <v>72</v>
      </c>
      <c r="AV187" s="155" t="s">
        <v>170</v>
      </c>
      <c r="AW187" s="162">
        <v>53.615384615384613</v>
      </c>
      <c r="AX187" s="155">
        <v>85</v>
      </c>
      <c r="AZ187" s="155" t="s">
        <v>170</v>
      </c>
      <c r="BA187" s="162">
        <v>69.142857142857139</v>
      </c>
      <c r="BB187" s="155">
        <v>85</v>
      </c>
      <c r="BD187" s="155" t="s">
        <v>170</v>
      </c>
      <c r="BE187" s="162">
        <v>121.6875</v>
      </c>
      <c r="BF187" s="155">
        <v>81</v>
      </c>
      <c r="BH187" s="155" t="s">
        <v>170</v>
      </c>
      <c r="BI187" s="162">
        <v>74.909090909090907</v>
      </c>
      <c r="BJ187" s="155">
        <v>84</v>
      </c>
      <c r="BL187" s="155" t="s">
        <v>170</v>
      </c>
      <c r="BM187" s="162">
        <v>-4.666666666666667</v>
      </c>
      <c r="BN187" s="155">
        <v>85</v>
      </c>
      <c r="BP187" s="155" t="s">
        <v>170</v>
      </c>
      <c r="BQ187" s="162">
        <v>6666</v>
      </c>
      <c r="BR187" s="155">
        <v>70</v>
      </c>
      <c r="BT187" s="155" t="s">
        <v>170</v>
      </c>
      <c r="BU187" s="162">
        <v>4555</v>
      </c>
      <c r="BV187" s="155">
        <v>72</v>
      </c>
      <c r="BX187" s="155" t="s">
        <v>170</v>
      </c>
      <c r="BY187" s="162">
        <v>1394</v>
      </c>
      <c r="BZ187" s="155">
        <v>85</v>
      </c>
      <c r="CB187" s="155" t="s">
        <v>170</v>
      </c>
      <c r="CC187" s="162">
        <v>1452</v>
      </c>
      <c r="CD187" s="155">
        <v>85</v>
      </c>
      <c r="CF187" s="155" t="s">
        <v>170</v>
      </c>
      <c r="CG187" s="162">
        <v>1947</v>
      </c>
      <c r="CH187" s="155">
        <v>82</v>
      </c>
      <c r="CJ187" s="155" t="s">
        <v>170</v>
      </c>
      <c r="CK187" s="162">
        <v>824</v>
      </c>
      <c r="CL187" s="155">
        <v>85</v>
      </c>
      <c r="CN187" s="155" t="s">
        <v>170</v>
      </c>
      <c r="CO187" s="162">
        <v>-28</v>
      </c>
      <c r="CP187" s="155">
        <v>85</v>
      </c>
    </row>
    <row r="188" spans="1:94" x14ac:dyDescent="0.2">
      <c r="A188" s="155" t="s">
        <v>280</v>
      </c>
      <c r="C188" s="155" t="s">
        <v>171</v>
      </c>
      <c r="D188" s="162">
        <v>84842</v>
      </c>
      <c r="E188" s="155">
        <v>15</v>
      </c>
      <c r="G188" s="155" t="s">
        <v>171</v>
      </c>
      <c r="H188" s="162">
        <v>95500</v>
      </c>
      <c r="I188" s="155">
        <v>14</v>
      </c>
      <c r="K188" s="155" t="s">
        <v>171</v>
      </c>
      <c r="L188" s="162">
        <v>101610</v>
      </c>
      <c r="M188" s="155">
        <v>13</v>
      </c>
      <c r="O188" s="155" t="s">
        <v>171</v>
      </c>
      <c r="P188" s="162">
        <v>104472</v>
      </c>
      <c r="Q188" s="155">
        <v>13</v>
      </c>
      <c r="S188" s="155" t="s">
        <v>171</v>
      </c>
      <c r="T188" s="162">
        <v>105543</v>
      </c>
      <c r="U188" s="155">
        <v>17</v>
      </c>
      <c r="W188" s="155" t="s">
        <v>171</v>
      </c>
      <c r="X188" s="162">
        <v>114936</v>
      </c>
      <c r="Y188" s="155">
        <v>17</v>
      </c>
      <c r="AA188" s="155" t="s">
        <v>171</v>
      </c>
      <c r="AB188" s="162">
        <v>123399</v>
      </c>
      <c r="AC188" s="155">
        <v>20</v>
      </c>
      <c r="AD188" s="155">
        <v>21</v>
      </c>
      <c r="AE188" s="155" t="s">
        <v>171</v>
      </c>
      <c r="AF188" s="160">
        <v>129021</v>
      </c>
      <c r="AH188" s="155" t="s">
        <v>171</v>
      </c>
      <c r="AI188" s="155">
        <v>948.9</v>
      </c>
      <c r="AN188" s="155" t="s">
        <v>171</v>
      </c>
      <c r="AO188" s="162">
        <v>1227.1944444444443</v>
      </c>
      <c r="AP188" s="155">
        <v>25</v>
      </c>
      <c r="AR188" s="155" t="s">
        <v>171</v>
      </c>
      <c r="AS188" s="162">
        <v>1081.3225806451612</v>
      </c>
      <c r="AT188" s="155">
        <v>27</v>
      </c>
      <c r="AV188" s="155" t="s">
        <v>171</v>
      </c>
      <c r="AW188" s="162">
        <v>1054.2692307692307</v>
      </c>
      <c r="AX188" s="155">
        <v>27</v>
      </c>
      <c r="AZ188" s="155" t="s">
        <v>171</v>
      </c>
      <c r="BA188" s="162">
        <v>1169</v>
      </c>
      <c r="BB188" s="155">
        <v>26</v>
      </c>
      <c r="BD188" s="155" t="s">
        <v>171</v>
      </c>
      <c r="BE188" s="162">
        <v>1467.375</v>
      </c>
      <c r="BF188" s="155">
        <v>24</v>
      </c>
      <c r="BH188" s="155" t="s">
        <v>171</v>
      </c>
      <c r="BI188" s="162">
        <v>1280.4545454545455</v>
      </c>
      <c r="BJ188" s="155">
        <v>25</v>
      </c>
      <c r="BL188" s="155" t="s">
        <v>171</v>
      </c>
      <c r="BM188" s="162">
        <v>937</v>
      </c>
      <c r="BN188" s="155">
        <v>29</v>
      </c>
      <c r="BP188" s="155" t="s">
        <v>171</v>
      </c>
      <c r="BQ188" s="162">
        <v>44179</v>
      </c>
      <c r="BR188" s="155">
        <v>25</v>
      </c>
      <c r="BT188" s="155" t="s">
        <v>171</v>
      </c>
      <c r="BU188" s="162">
        <v>33521</v>
      </c>
      <c r="BV188" s="155">
        <v>27</v>
      </c>
      <c r="BX188" s="155" t="s">
        <v>171</v>
      </c>
      <c r="BY188" s="162">
        <v>27411</v>
      </c>
      <c r="BZ188" s="155">
        <v>27</v>
      </c>
      <c r="CB188" s="155" t="s">
        <v>171</v>
      </c>
      <c r="CC188" s="162">
        <v>24549</v>
      </c>
      <c r="CD188" s="155">
        <v>26</v>
      </c>
      <c r="CF188" s="155" t="s">
        <v>171</v>
      </c>
      <c r="CG188" s="162">
        <v>23478</v>
      </c>
      <c r="CH188" s="155">
        <v>24</v>
      </c>
      <c r="CJ188" s="155" t="s">
        <v>171</v>
      </c>
      <c r="CK188" s="162">
        <v>14085</v>
      </c>
      <c r="CL188" s="155">
        <v>25</v>
      </c>
      <c r="CN188" s="155" t="s">
        <v>171</v>
      </c>
      <c r="CO188" s="162">
        <v>5622</v>
      </c>
      <c r="CP188" s="155">
        <v>29</v>
      </c>
    </row>
    <row r="189" spans="1:94" x14ac:dyDescent="0.2">
      <c r="A189" s="155" t="s">
        <v>281</v>
      </c>
      <c r="C189" s="155" t="s">
        <v>172</v>
      </c>
      <c r="D189" s="162">
        <v>72402</v>
      </c>
      <c r="E189" s="155">
        <v>21</v>
      </c>
      <c r="G189" s="155" t="s">
        <v>172</v>
      </c>
      <c r="H189" s="162">
        <v>79800</v>
      </c>
      <c r="I189" s="155">
        <v>20</v>
      </c>
      <c r="K189" s="155" t="s">
        <v>172</v>
      </c>
      <c r="L189" s="162">
        <v>83426</v>
      </c>
      <c r="M189" s="155">
        <v>21</v>
      </c>
      <c r="O189" s="155" t="s">
        <v>172</v>
      </c>
      <c r="P189" s="162">
        <v>85010</v>
      </c>
      <c r="Q189" s="155">
        <v>21</v>
      </c>
      <c r="S189" s="155" t="s">
        <v>172</v>
      </c>
      <c r="T189" s="162">
        <v>86283</v>
      </c>
      <c r="U189" s="155">
        <v>22</v>
      </c>
      <c r="W189" s="155" t="s">
        <v>172</v>
      </c>
      <c r="X189" s="162">
        <v>89251</v>
      </c>
      <c r="Y189" s="155">
        <v>25</v>
      </c>
      <c r="AA189" s="155" t="s">
        <v>172</v>
      </c>
      <c r="AB189" s="162">
        <v>91968</v>
      </c>
      <c r="AC189" s="155">
        <v>25</v>
      </c>
      <c r="AD189" s="155">
        <v>29</v>
      </c>
      <c r="AE189" s="155" t="s">
        <v>172</v>
      </c>
      <c r="AF189" s="160">
        <v>93063</v>
      </c>
      <c r="AH189" s="155" t="s">
        <v>172</v>
      </c>
      <c r="AI189" s="155">
        <v>566.5</v>
      </c>
      <c r="AN189" s="155" t="s">
        <v>172</v>
      </c>
      <c r="AO189" s="162">
        <v>573.91666666666663</v>
      </c>
      <c r="AP189" s="155">
        <v>45</v>
      </c>
      <c r="AR189" s="155" t="s">
        <v>172</v>
      </c>
      <c r="AS189" s="162">
        <v>427.83870967741933</v>
      </c>
      <c r="AT189" s="155">
        <v>50</v>
      </c>
      <c r="AV189" s="155" t="s">
        <v>172</v>
      </c>
      <c r="AW189" s="162">
        <v>370.65384615384613</v>
      </c>
      <c r="AX189" s="155">
        <v>56</v>
      </c>
      <c r="AZ189" s="155" t="s">
        <v>172</v>
      </c>
      <c r="BA189" s="162">
        <v>383.47619047619048</v>
      </c>
      <c r="BB189" s="155">
        <v>55</v>
      </c>
      <c r="BD189" s="155" t="s">
        <v>172</v>
      </c>
      <c r="BE189" s="162">
        <v>423.75</v>
      </c>
      <c r="BF189" s="155">
        <v>56</v>
      </c>
      <c r="BH189" s="155" t="s">
        <v>172</v>
      </c>
      <c r="BI189" s="162">
        <v>346.54545454545456</v>
      </c>
      <c r="BJ189" s="155">
        <v>56</v>
      </c>
      <c r="BL189" s="155" t="s">
        <v>172</v>
      </c>
      <c r="BM189" s="162">
        <v>182.5</v>
      </c>
      <c r="BN189" s="155">
        <v>58</v>
      </c>
      <c r="BP189" s="155" t="s">
        <v>172</v>
      </c>
      <c r="BQ189" s="162">
        <v>20661</v>
      </c>
      <c r="BR189" s="155">
        <v>45</v>
      </c>
      <c r="BT189" s="155" t="s">
        <v>172</v>
      </c>
      <c r="BU189" s="162">
        <v>13263</v>
      </c>
      <c r="BV189" s="155">
        <v>51</v>
      </c>
      <c r="BX189" s="155" t="s">
        <v>172</v>
      </c>
      <c r="BY189" s="162">
        <v>9637</v>
      </c>
      <c r="BZ189" s="155">
        <v>57</v>
      </c>
      <c r="CB189" s="155" t="s">
        <v>172</v>
      </c>
      <c r="CC189" s="162">
        <v>8053</v>
      </c>
      <c r="CD189" s="155">
        <v>56</v>
      </c>
      <c r="CF189" s="155" t="s">
        <v>172</v>
      </c>
      <c r="CG189" s="162">
        <v>6780</v>
      </c>
      <c r="CH189" s="155">
        <v>58</v>
      </c>
      <c r="CJ189" s="155" t="s">
        <v>172</v>
      </c>
      <c r="CK189" s="162">
        <v>3812</v>
      </c>
      <c r="CL189" s="155">
        <v>58</v>
      </c>
      <c r="CN189" s="155" t="s">
        <v>172</v>
      </c>
      <c r="CO189" s="162">
        <v>1095</v>
      </c>
      <c r="CP189" s="155">
        <v>60</v>
      </c>
    </row>
    <row r="190" spans="1:94" x14ac:dyDescent="0.2">
      <c r="A190" s="155" t="s">
        <v>282</v>
      </c>
      <c r="C190" s="155" t="s">
        <v>173</v>
      </c>
      <c r="D190" s="162">
        <v>90035</v>
      </c>
      <c r="E190" s="155">
        <v>13</v>
      </c>
      <c r="G190" s="155" t="s">
        <v>173</v>
      </c>
      <c r="H190" s="162">
        <v>93800</v>
      </c>
      <c r="I190" s="155">
        <v>15</v>
      </c>
      <c r="K190" s="155" t="s">
        <v>173</v>
      </c>
      <c r="L190" s="162">
        <v>99186</v>
      </c>
      <c r="M190" s="155">
        <v>15</v>
      </c>
      <c r="O190" s="155" t="s">
        <v>173</v>
      </c>
      <c r="P190" s="162">
        <v>104406</v>
      </c>
      <c r="Q190" s="155">
        <v>14</v>
      </c>
      <c r="S190" s="155" t="s">
        <v>173</v>
      </c>
      <c r="T190" s="162">
        <v>110999</v>
      </c>
      <c r="U190" s="155">
        <v>13</v>
      </c>
      <c r="W190" s="155" t="s">
        <v>173</v>
      </c>
      <c r="X190" s="162">
        <v>120783</v>
      </c>
      <c r="Y190" s="155">
        <v>14</v>
      </c>
      <c r="AA190" s="155" t="s">
        <v>173</v>
      </c>
      <c r="AB190" s="162">
        <v>130667</v>
      </c>
      <c r="AC190" s="155">
        <v>17</v>
      </c>
      <c r="AD190" s="155">
        <v>20</v>
      </c>
      <c r="AE190" s="155" t="s">
        <v>173</v>
      </c>
      <c r="AF190" s="160">
        <v>136254</v>
      </c>
      <c r="AH190" s="155" t="s">
        <v>173</v>
      </c>
      <c r="AI190" s="155">
        <v>511.4</v>
      </c>
      <c r="AN190" s="155" t="s">
        <v>173</v>
      </c>
      <c r="AO190" s="162">
        <v>1283.8611111111111</v>
      </c>
      <c r="AP190" s="155">
        <v>23</v>
      </c>
      <c r="AR190" s="155" t="s">
        <v>173</v>
      </c>
      <c r="AS190" s="162">
        <v>1369.483870967742</v>
      </c>
      <c r="AT190" s="155">
        <v>23</v>
      </c>
      <c r="AV190" s="155" t="s">
        <v>173</v>
      </c>
      <c r="AW190" s="162">
        <v>1425.6923076923076</v>
      </c>
      <c r="AX190" s="155">
        <v>23</v>
      </c>
      <c r="AZ190" s="155" t="s">
        <v>173</v>
      </c>
      <c r="BA190" s="162">
        <v>1516.5714285714287</v>
      </c>
      <c r="BB190" s="155">
        <v>22</v>
      </c>
      <c r="BD190" s="155" t="s">
        <v>173</v>
      </c>
      <c r="BE190" s="162">
        <v>1578.4375</v>
      </c>
      <c r="BF190" s="155">
        <v>21</v>
      </c>
      <c r="BH190" s="155" t="s">
        <v>173</v>
      </c>
      <c r="BI190" s="162">
        <v>1406.4545454545455</v>
      </c>
      <c r="BJ190" s="155">
        <v>22</v>
      </c>
      <c r="BL190" s="155" t="s">
        <v>173</v>
      </c>
      <c r="BM190" s="162">
        <v>931.16666666666663</v>
      </c>
      <c r="BN190" s="155">
        <v>30</v>
      </c>
      <c r="BP190" s="155" t="s">
        <v>173</v>
      </c>
      <c r="BQ190" s="162">
        <v>46219</v>
      </c>
      <c r="BR190" s="155">
        <v>23</v>
      </c>
      <c r="BT190" s="155" t="s">
        <v>173</v>
      </c>
      <c r="BU190" s="162">
        <v>42454</v>
      </c>
      <c r="BV190" s="155">
        <v>23</v>
      </c>
      <c r="BX190" s="155" t="s">
        <v>173</v>
      </c>
      <c r="BY190" s="162">
        <v>37068</v>
      </c>
      <c r="BZ190" s="155">
        <v>23</v>
      </c>
      <c r="CB190" s="155" t="s">
        <v>173</v>
      </c>
      <c r="CC190" s="162">
        <v>31848</v>
      </c>
      <c r="CD190" s="155">
        <v>22</v>
      </c>
      <c r="CF190" s="155" t="s">
        <v>173</v>
      </c>
      <c r="CG190" s="162">
        <v>25255</v>
      </c>
      <c r="CH190" s="155">
        <v>21</v>
      </c>
      <c r="CJ190" s="155" t="s">
        <v>173</v>
      </c>
      <c r="CK190" s="162">
        <v>15471</v>
      </c>
      <c r="CL190" s="155">
        <v>22</v>
      </c>
      <c r="CN190" s="155" t="s">
        <v>173</v>
      </c>
      <c r="CO190" s="162">
        <v>5587</v>
      </c>
      <c r="CP190" s="155">
        <v>30</v>
      </c>
    </row>
    <row r="191" spans="1:94" x14ac:dyDescent="0.2">
      <c r="A191" s="155" t="s">
        <v>283</v>
      </c>
      <c r="C191" s="155" t="s">
        <v>174</v>
      </c>
      <c r="D191" s="162">
        <v>47337</v>
      </c>
      <c r="E191" s="155">
        <v>37</v>
      </c>
      <c r="G191" s="155" t="s">
        <v>174</v>
      </c>
      <c r="H191" s="162">
        <v>51000</v>
      </c>
      <c r="I191" s="155">
        <v>37</v>
      </c>
      <c r="K191" s="155" t="s">
        <v>174</v>
      </c>
      <c r="L191" s="162">
        <v>53787</v>
      </c>
      <c r="M191" s="155">
        <v>38</v>
      </c>
      <c r="O191" s="155" t="s">
        <v>174</v>
      </c>
      <c r="P191" s="162">
        <v>56153</v>
      </c>
      <c r="Q191" s="155">
        <v>37</v>
      </c>
      <c r="S191" s="155" t="s">
        <v>174</v>
      </c>
      <c r="T191" s="162">
        <v>57196</v>
      </c>
      <c r="U191" s="155">
        <v>37</v>
      </c>
      <c r="W191" s="155" t="s">
        <v>174</v>
      </c>
      <c r="X191" s="162">
        <v>60103</v>
      </c>
      <c r="Y191" s="155">
        <v>37</v>
      </c>
      <c r="AA191" s="155" t="s">
        <v>174</v>
      </c>
      <c r="AB191" s="162">
        <v>62992</v>
      </c>
      <c r="AC191" s="155">
        <v>38</v>
      </c>
      <c r="AD191" s="155">
        <v>38</v>
      </c>
      <c r="AE191" s="155" t="s">
        <v>174</v>
      </c>
      <c r="AF191" s="160">
        <v>63867</v>
      </c>
      <c r="AH191" s="155" t="s">
        <v>174</v>
      </c>
      <c r="AI191" s="155">
        <v>564.20000000000005</v>
      </c>
      <c r="AN191" s="155" t="s">
        <v>174</v>
      </c>
      <c r="AO191" s="162">
        <v>459.16666666666669</v>
      </c>
      <c r="AP191" s="155">
        <v>54</v>
      </c>
      <c r="AR191" s="155" t="s">
        <v>174</v>
      </c>
      <c r="AS191" s="162">
        <v>415.06451612903226</v>
      </c>
      <c r="AT191" s="155">
        <v>52</v>
      </c>
      <c r="AV191" s="155" t="s">
        <v>174</v>
      </c>
      <c r="AW191" s="162">
        <v>387.69230769230768</v>
      </c>
      <c r="AX191" s="155">
        <v>53</v>
      </c>
      <c r="AZ191" s="155" t="s">
        <v>174</v>
      </c>
      <c r="BA191" s="162">
        <v>367.33333333333331</v>
      </c>
      <c r="BB191" s="155">
        <v>57</v>
      </c>
      <c r="BD191" s="155" t="s">
        <v>174</v>
      </c>
      <c r="BE191" s="162">
        <v>416.9375</v>
      </c>
      <c r="BF191" s="155">
        <v>57</v>
      </c>
      <c r="BH191" s="155" t="s">
        <v>174</v>
      </c>
      <c r="BI191" s="162">
        <v>342.18181818181819</v>
      </c>
      <c r="BJ191" s="155">
        <v>57</v>
      </c>
      <c r="BL191" s="155" t="s">
        <v>174</v>
      </c>
      <c r="BM191" s="162">
        <v>145.83333333333334</v>
      </c>
      <c r="BN191" s="155">
        <v>63</v>
      </c>
      <c r="BP191" s="155" t="s">
        <v>174</v>
      </c>
      <c r="BQ191" s="162">
        <v>16530</v>
      </c>
      <c r="BR191" s="155">
        <v>54</v>
      </c>
      <c r="BT191" s="155" t="s">
        <v>174</v>
      </c>
      <c r="BU191" s="162">
        <v>12867</v>
      </c>
      <c r="BV191" s="155">
        <v>53</v>
      </c>
      <c r="BX191" s="155" t="s">
        <v>174</v>
      </c>
      <c r="BY191" s="162">
        <v>10080</v>
      </c>
      <c r="BZ191" s="155">
        <v>54</v>
      </c>
      <c r="CB191" s="155" t="s">
        <v>174</v>
      </c>
      <c r="CC191" s="162">
        <v>7714</v>
      </c>
      <c r="CD191" s="155">
        <v>58</v>
      </c>
      <c r="CF191" s="155" t="s">
        <v>174</v>
      </c>
      <c r="CG191" s="162">
        <v>6671</v>
      </c>
      <c r="CH191" s="155">
        <v>59</v>
      </c>
      <c r="CJ191" s="155" t="s">
        <v>174</v>
      </c>
      <c r="CK191" s="162">
        <v>3764</v>
      </c>
      <c r="CL191" s="155">
        <v>59</v>
      </c>
      <c r="CN191" s="155" t="s">
        <v>174</v>
      </c>
      <c r="CO191" s="162">
        <v>875</v>
      </c>
      <c r="CP191" s="155">
        <v>65</v>
      </c>
    </row>
    <row r="192" spans="1:94" x14ac:dyDescent="0.2">
      <c r="A192" s="155" t="s">
        <v>284</v>
      </c>
      <c r="C192" s="155" t="s">
        <v>175</v>
      </c>
      <c r="D192" s="162">
        <v>44954</v>
      </c>
      <c r="E192" s="155">
        <v>39</v>
      </c>
      <c r="G192" s="155" t="s">
        <v>175</v>
      </c>
      <c r="H192" s="162">
        <v>48000</v>
      </c>
      <c r="I192" s="155">
        <v>40</v>
      </c>
      <c r="K192" s="155" t="s">
        <v>175</v>
      </c>
      <c r="L192" s="162">
        <v>49687</v>
      </c>
      <c r="M192" s="155">
        <v>41</v>
      </c>
      <c r="O192" s="155" t="s">
        <v>175</v>
      </c>
      <c r="P192" s="162">
        <v>48449</v>
      </c>
      <c r="Q192" s="155">
        <v>42</v>
      </c>
      <c r="S192" s="155" t="s">
        <v>175</v>
      </c>
      <c r="T192" s="162">
        <v>47499</v>
      </c>
      <c r="U192" s="155">
        <v>45</v>
      </c>
      <c r="W192" s="155" t="s">
        <v>175</v>
      </c>
      <c r="X192" s="162">
        <v>53752</v>
      </c>
      <c r="Y192" s="155">
        <v>44</v>
      </c>
      <c r="AA192" s="155" t="s">
        <v>175</v>
      </c>
      <c r="AB192" s="162">
        <v>60319</v>
      </c>
      <c r="AC192" s="155">
        <v>39</v>
      </c>
      <c r="AD192" s="155">
        <v>40</v>
      </c>
      <c r="AE192" s="155" t="s">
        <v>175</v>
      </c>
      <c r="AF192" s="160">
        <v>63561</v>
      </c>
      <c r="AH192" s="155" t="s">
        <v>175</v>
      </c>
      <c r="AI192" s="155">
        <v>945.5</v>
      </c>
      <c r="AN192" s="155" t="s">
        <v>175</v>
      </c>
      <c r="AO192" s="162">
        <v>516.86111111111109</v>
      </c>
      <c r="AP192" s="155">
        <v>48</v>
      </c>
      <c r="AR192" s="155" t="s">
        <v>175</v>
      </c>
      <c r="AS192" s="162">
        <v>501.96774193548384</v>
      </c>
      <c r="AT192" s="155">
        <v>46</v>
      </c>
      <c r="AV192" s="155" t="s">
        <v>175</v>
      </c>
      <c r="AW192" s="162">
        <v>533.61538461538464</v>
      </c>
      <c r="AX192" s="155">
        <v>42</v>
      </c>
      <c r="AZ192" s="155" t="s">
        <v>175</v>
      </c>
      <c r="BA192" s="162">
        <v>719.61904761904759</v>
      </c>
      <c r="BB192" s="155">
        <v>39</v>
      </c>
      <c r="BD192" s="155" t="s">
        <v>175</v>
      </c>
      <c r="BE192" s="162">
        <v>1003.875</v>
      </c>
      <c r="BF192" s="155">
        <v>31</v>
      </c>
      <c r="BH192" s="155" t="s">
        <v>175</v>
      </c>
      <c r="BI192" s="162">
        <v>891.72727272727275</v>
      </c>
      <c r="BJ192" s="155">
        <v>32</v>
      </c>
      <c r="BL192" s="155" t="s">
        <v>175</v>
      </c>
      <c r="BM192" s="162">
        <v>540.33333333333337</v>
      </c>
      <c r="BN192" s="155">
        <v>39</v>
      </c>
      <c r="BP192" s="155" t="s">
        <v>175</v>
      </c>
      <c r="BQ192" s="162">
        <v>18607</v>
      </c>
      <c r="BR192" s="155">
        <v>48</v>
      </c>
      <c r="BT192" s="155" t="s">
        <v>175</v>
      </c>
      <c r="BU192" s="162">
        <v>15561</v>
      </c>
      <c r="BV192" s="155">
        <v>46</v>
      </c>
      <c r="BX192" s="155" t="s">
        <v>175</v>
      </c>
      <c r="BY192" s="162">
        <v>13874</v>
      </c>
      <c r="BZ192" s="155">
        <v>42</v>
      </c>
      <c r="CB192" s="155" t="s">
        <v>175</v>
      </c>
      <c r="CC192" s="162">
        <v>15112</v>
      </c>
      <c r="CD192" s="155">
        <v>39</v>
      </c>
      <c r="CF192" s="155" t="s">
        <v>175</v>
      </c>
      <c r="CG192" s="162">
        <v>16062</v>
      </c>
      <c r="CH192" s="155">
        <v>31</v>
      </c>
      <c r="CJ192" s="155" t="s">
        <v>175</v>
      </c>
      <c r="CK192" s="162">
        <v>9809</v>
      </c>
      <c r="CL192" s="155">
        <v>32</v>
      </c>
      <c r="CN192" s="155" t="s">
        <v>175</v>
      </c>
      <c r="CO192" s="162">
        <v>3242</v>
      </c>
      <c r="CP192" s="155">
        <v>39</v>
      </c>
    </row>
    <row r="193" spans="1:94" x14ac:dyDescent="0.2">
      <c r="A193" s="155" t="s">
        <v>285</v>
      </c>
      <c r="C193" s="155" t="s">
        <v>176</v>
      </c>
      <c r="D193" s="162">
        <v>26929</v>
      </c>
      <c r="E193" s="155">
        <v>54</v>
      </c>
      <c r="G193" s="155" t="s">
        <v>176</v>
      </c>
      <c r="H193" s="162">
        <v>30100</v>
      </c>
      <c r="I193" s="155">
        <v>55</v>
      </c>
      <c r="K193" s="155" t="s">
        <v>176</v>
      </c>
      <c r="L193" s="162">
        <v>32273</v>
      </c>
      <c r="M193" s="155">
        <v>56</v>
      </c>
      <c r="O193" s="155" t="s">
        <v>176</v>
      </c>
      <c r="P193" s="162">
        <v>33004</v>
      </c>
      <c r="Q193" s="155">
        <v>57</v>
      </c>
      <c r="S193" s="155" t="s">
        <v>176</v>
      </c>
      <c r="T193" s="162">
        <v>33865</v>
      </c>
      <c r="U193" s="155">
        <v>58</v>
      </c>
      <c r="W193" s="155" t="s">
        <v>176</v>
      </c>
      <c r="X193" s="162">
        <v>35021</v>
      </c>
      <c r="Y193" s="155">
        <v>59</v>
      </c>
      <c r="AA193" s="155" t="s">
        <v>176</v>
      </c>
      <c r="AB193" s="162">
        <v>36022</v>
      </c>
      <c r="AC193" s="155">
        <v>60</v>
      </c>
      <c r="AD193" s="155">
        <v>64</v>
      </c>
      <c r="AE193" s="155" t="s">
        <v>176</v>
      </c>
      <c r="AF193" s="160">
        <v>37094</v>
      </c>
      <c r="AH193" s="155" t="s">
        <v>176</v>
      </c>
      <c r="AI193" s="155">
        <v>319.2</v>
      </c>
      <c r="AN193" s="155" t="s">
        <v>176</v>
      </c>
      <c r="AO193" s="162">
        <v>282.36111111111109</v>
      </c>
      <c r="AP193" s="155">
        <v>64</v>
      </c>
      <c r="AR193" s="155" t="s">
        <v>176</v>
      </c>
      <c r="AS193" s="162">
        <v>225.61290322580646</v>
      </c>
      <c r="AT193" s="155">
        <v>67</v>
      </c>
      <c r="AV193" s="155" t="s">
        <v>176</v>
      </c>
      <c r="AW193" s="162">
        <v>185.42307692307693</v>
      </c>
      <c r="AX193" s="155">
        <v>68</v>
      </c>
      <c r="AZ193" s="155" t="s">
        <v>176</v>
      </c>
      <c r="BA193" s="162">
        <v>194.76190476190476</v>
      </c>
      <c r="BB193" s="155">
        <v>69</v>
      </c>
      <c r="BD193" s="155" t="s">
        <v>176</v>
      </c>
      <c r="BE193" s="162">
        <v>201.8125</v>
      </c>
      <c r="BF193" s="155">
        <v>72</v>
      </c>
      <c r="BH193" s="155" t="s">
        <v>176</v>
      </c>
      <c r="BI193" s="162">
        <v>188.45454545454547</v>
      </c>
      <c r="BJ193" s="155">
        <v>72</v>
      </c>
      <c r="BL193" s="155" t="s">
        <v>176</v>
      </c>
      <c r="BM193" s="162">
        <v>178.66666666666666</v>
      </c>
      <c r="BN193" s="155">
        <v>59</v>
      </c>
      <c r="BP193" s="155" t="s">
        <v>176</v>
      </c>
      <c r="BQ193" s="162">
        <v>10165</v>
      </c>
      <c r="BR193" s="155">
        <v>64</v>
      </c>
      <c r="BT193" s="155" t="s">
        <v>176</v>
      </c>
      <c r="BU193" s="162">
        <v>6994</v>
      </c>
      <c r="BV193" s="155">
        <v>67</v>
      </c>
      <c r="BX193" s="155" t="s">
        <v>176</v>
      </c>
      <c r="BY193" s="162">
        <v>4821</v>
      </c>
      <c r="BZ193" s="155">
        <v>68</v>
      </c>
      <c r="CB193" s="155" t="s">
        <v>176</v>
      </c>
      <c r="CC193" s="162">
        <v>4090</v>
      </c>
      <c r="CD193" s="155">
        <v>69</v>
      </c>
      <c r="CF193" s="155" t="s">
        <v>176</v>
      </c>
      <c r="CG193" s="162">
        <v>3229</v>
      </c>
      <c r="CH193" s="155">
        <v>73</v>
      </c>
      <c r="CJ193" s="155" t="s">
        <v>176</v>
      </c>
      <c r="CK193" s="162">
        <v>2073</v>
      </c>
      <c r="CL193" s="155">
        <v>75</v>
      </c>
      <c r="CN193" s="155" t="s">
        <v>176</v>
      </c>
      <c r="CO193" s="162">
        <v>1072</v>
      </c>
      <c r="CP193" s="155">
        <v>61</v>
      </c>
    </row>
    <row r="194" spans="1:94" x14ac:dyDescent="0.2">
      <c r="A194" s="155" t="s">
        <v>286</v>
      </c>
      <c r="C194" s="155" t="s">
        <v>177</v>
      </c>
      <c r="D194" s="162">
        <v>42822</v>
      </c>
      <c r="E194" s="155">
        <v>40</v>
      </c>
      <c r="G194" s="155" t="s">
        <v>177</v>
      </c>
      <c r="H194" s="162">
        <v>45700</v>
      </c>
      <c r="I194" s="155">
        <v>41</v>
      </c>
      <c r="K194" s="155" t="s">
        <v>177</v>
      </c>
      <c r="L194" s="162">
        <v>48517</v>
      </c>
      <c r="M194" s="155">
        <v>42</v>
      </c>
      <c r="O194" s="155" t="s">
        <v>177</v>
      </c>
      <c r="P194" s="162">
        <v>50192</v>
      </c>
      <c r="Q194" s="155">
        <v>41</v>
      </c>
      <c r="S194" s="155" t="s">
        <v>177</v>
      </c>
      <c r="T194" s="162">
        <v>51906</v>
      </c>
      <c r="U194" s="155">
        <v>41</v>
      </c>
      <c r="W194" s="155" t="s">
        <v>177</v>
      </c>
      <c r="X194" s="162">
        <v>54799</v>
      </c>
      <c r="Y194" s="155">
        <v>43</v>
      </c>
      <c r="AA194" s="155" t="s">
        <v>177</v>
      </c>
      <c r="AB194" s="162">
        <v>58187</v>
      </c>
      <c r="AC194" s="155">
        <v>42</v>
      </c>
      <c r="AD194" s="155">
        <v>42</v>
      </c>
      <c r="AE194" s="155" t="s">
        <v>177</v>
      </c>
      <c r="AF194" s="160">
        <v>59358</v>
      </c>
      <c r="AH194" s="155" t="s">
        <v>177</v>
      </c>
      <c r="AI194" s="155">
        <v>395.1</v>
      </c>
      <c r="AN194" s="155" t="s">
        <v>177</v>
      </c>
      <c r="AO194" s="162">
        <v>459.33333333333331</v>
      </c>
      <c r="AP194" s="155">
        <v>53</v>
      </c>
      <c r="AR194" s="155" t="s">
        <v>177</v>
      </c>
      <c r="AS194" s="162">
        <v>440.58064516129031</v>
      </c>
      <c r="AT194" s="155">
        <v>48</v>
      </c>
      <c r="AV194" s="155" t="s">
        <v>177</v>
      </c>
      <c r="AW194" s="162">
        <v>416.96153846153845</v>
      </c>
      <c r="AX194" s="155">
        <v>52</v>
      </c>
      <c r="AZ194" s="155" t="s">
        <v>177</v>
      </c>
      <c r="BA194" s="162">
        <v>436.47619047619048</v>
      </c>
      <c r="BB194" s="155">
        <v>51</v>
      </c>
      <c r="BD194" s="155" t="s">
        <v>177</v>
      </c>
      <c r="BE194" s="162">
        <v>465.75</v>
      </c>
      <c r="BF194" s="155">
        <v>54</v>
      </c>
      <c r="BH194" s="155" t="s">
        <v>177</v>
      </c>
      <c r="BI194" s="162">
        <v>414.45454545454544</v>
      </c>
      <c r="BJ194" s="155">
        <v>52</v>
      </c>
      <c r="BL194" s="155" t="s">
        <v>177</v>
      </c>
      <c r="BM194" s="162">
        <v>195.16666666666666</v>
      </c>
      <c r="BN194" s="155">
        <v>56</v>
      </c>
      <c r="BP194" s="155" t="s">
        <v>177</v>
      </c>
      <c r="BQ194" s="162">
        <v>16536</v>
      </c>
      <c r="BR194" s="155">
        <v>53</v>
      </c>
      <c r="BT194" s="155" t="s">
        <v>177</v>
      </c>
      <c r="BU194" s="162">
        <v>13658</v>
      </c>
      <c r="BV194" s="155">
        <v>49</v>
      </c>
      <c r="BX194" s="155" t="s">
        <v>177</v>
      </c>
      <c r="BY194" s="162">
        <v>10841</v>
      </c>
      <c r="BZ194" s="155">
        <v>53</v>
      </c>
      <c r="CB194" s="155" t="s">
        <v>177</v>
      </c>
      <c r="CC194" s="162">
        <v>9166</v>
      </c>
      <c r="CD194" s="155">
        <v>52</v>
      </c>
      <c r="CF194" s="155" t="s">
        <v>177</v>
      </c>
      <c r="CG194" s="162">
        <v>7452</v>
      </c>
      <c r="CH194" s="155">
        <v>56</v>
      </c>
      <c r="CJ194" s="155" t="s">
        <v>177</v>
      </c>
      <c r="CK194" s="162">
        <v>4559</v>
      </c>
      <c r="CL194" s="155">
        <v>54</v>
      </c>
      <c r="CN194" s="155" t="s">
        <v>177</v>
      </c>
      <c r="CO194" s="162">
        <v>1171</v>
      </c>
      <c r="CP194" s="155">
        <v>58</v>
      </c>
    </row>
    <row r="195" spans="1:94" x14ac:dyDescent="0.2">
      <c r="A195" s="155" t="s">
        <v>287</v>
      </c>
      <c r="C195" s="155" t="s">
        <v>178</v>
      </c>
      <c r="D195" s="162">
        <v>23782</v>
      </c>
      <c r="E195" s="155">
        <v>63</v>
      </c>
      <c r="G195" s="155" t="s">
        <v>178</v>
      </c>
      <c r="H195" s="162">
        <v>29300</v>
      </c>
      <c r="I195" s="155">
        <v>57</v>
      </c>
      <c r="K195" s="155" t="s">
        <v>178</v>
      </c>
      <c r="L195" s="162">
        <v>33086</v>
      </c>
      <c r="M195" s="155">
        <v>55</v>
      </c>
      <c r="O195" s="155" t="s">
        <v>178</v>
      </c>
      <c r="P195" s="162">
        <v>35371</v>
      </c>
      <c r="Q195" s="155">
        <v>55</v>
      </c>
      <c r="S195" s="155" t="s">
        <v>178</v>
      </c>
      <c r="T195" s="162">
        <v>37396</v>
      </c>
      <c r="U195" s="155">
        <v>54</v>
      </c>
      <c r="W195" s="155" t="s">
        <v>178</v>
      </c>
      <c r="X195" s="162">
        <v>41170</v>
      </c>
      <c r="Y195" s="155">
        <v>54</v>
      </c>
      <c r="AA195" s="155" t="s">
        <v>178</v>
      </c>
      <c r="AB195" s="162">
        <v>44861</v>
      </c>
      <c r="AC195" s="155">
        <v>54</v>
      </c>
      <c r="AD195" s="155">
        <v>55</v>
      </c>
      <c r="AE195" s="155" t="s">
        <v>178</v>
      </c>
      <c r="AF195" s="160">
        <v>46168</v>
      </c>
      <c r="AH195" s="155" t="s">
        <v>178</v>
      </c>
      <c r="AI195" s="155">
        <v>451.9</v>
      </c>
      <c r="AN195" s="155" t="s">
        <v>178</v>
      </c>
      <c r="AO195" s="162">
        <v>621.83333333333337</v>
      </c>
      <c r="AP195" s="155">
        <v>41</v>
      </c>
      <c r="AR195" s="155" t="s">
        <v>178</v>
      </c>
      <c r="AS195" s="162">
        <v>544.12903225806451</v>
      </c>
      <c r="AT195" s="155">
        <v>42</v>
      </c>
      <c r="AV195" s="155" t="s">
        <v>178</v>
      </c>
      <c r="AW195" s="162">
        <v>503.15384615384613</v>
      </c>
      <c r="AX195" s="155">
        <v>45</v>
      </c>
      <c r="AZ195" s="155" t="s">
        <v>178</v>
      </c>
      <c r="BA195" s="162">
        <v>514.14285714285711</v>
      </c>
      <c r="BB195" s="155">
        <v>47</v>
      </c>
      <c r="BD195" s="155" t="s">
        <v>178</v>
      </c>
      <c r="BE195" s="162">
        <v>548.25</v>
      </c>
      <c r="BF195" s="155">
        <v>48</v>
      </c>
      <c r="BH195" s="155" t="s">
        <v>178</v>
      </c>
      <c r="BI195" s="162">
        <v>454.36363636363637</v>
      </c>
      <c r="BJ195" s="155">
        <v>50</v>
      </c>
      <c r="BL195" s="155" t="s">
        <v>178</v>
      </c>
      <c r="BM195" s="162">
        <v>217.83333333333334</v>
      </c>
      <c r="BN195" s="155">
        <v>54</v>
      </c>
      <c r="BP195" s="155" t="s">
        <v>178</v>
      </c>
      <c r="BQ195" s="162">
        <v>22386</v>
      </c>
      <c r="BR195" s="155">
        <v>41</v>
      </c>
      <c r="BT195" s="155" t="s">
        <v>178</v>
      </c>
      <c r="BU195" s="162">
        <v>16868</v>
      </c>
      <c r="BV195" s="155">
        <v>42</v>
      </c>
      <c r="BX195" s="155" t="s">
        <v>178</v>
      </c>
      <c r="BY195" s="162">
        <v>13082</v>
      </c>
      <c r="BZ195" s="155">
        <v>45</v>
      </c>
      <c r="CB195" s="155" t="s">
        <v>178</v>
      </c>
      <c r="CC195" s="162">
        <v>10797</v>
      </c>
      <c r="CD195" s="155">
        <v>47</v>
      </c>
      <c r="CF195" s="155" t="s">
        <v>178</v>
      </c>
      <c r="CG195" s="162">
        <v>8772</v>
      </c>
      <c r="CH195" s="155">
        <v>49</v>
      </c>
      <c r="CJ195" s="155" t="s">
        <v>178</v>
      </c>
      <c r="CK195" s="162">
        <v>4998</v>
      </c>
      <c r="CL195" s="155">
        <v>52</v>
      </c>
      <c r="CN195" s="155" t="s">
        <v>178</v>
      </c>
      <c r="CO195" s="162">
        <v>1307</v>
      </c>
      <c r="CP195" s="155">
        <v>55</v>
      </c>
    </row>
    <row r="196" spans="1:94" x14ac:dyDescent="0.2">
      <c r="A196" s="155" t="s">
        <v>288</v>
      </c>
      <c r="C196" s="155" t="s">
        <v>179</v>
      </c>
      <c r="D196" s="162">
        <v>51415</v>
      </c>
      <c r="E196" s="155">
        <v>34</v>
      </c>
      <c r="G196" s="155" t="s">
        <v>179</v>
      </c>
      <c r="H196" s="162">
        <v>56100</v>
      </c>
      <c r="I196" s="155">
        <v>32</v>
      </c>
      <c r="K196" s="155" t="s">
        <v>179</v>
      </c>
      <c r="L196" s="162">
        <v>59449</v>
      </c>
      <c r="M196" s="155">
        <v>33</v>
      </c>
      <c r="O196" s="155" t="s">
        <v>179</v>
      </c>
      <c r="P196" s="162">
        <v>60525</v>
      </c>
      <c r="Q196" s="155">
        <v>33</v>
      </c>
      <c r="S196" s="155" t="s">
        <v>179</v>
      </c>
      <c r="T196" s="162">
        <v>61969</v>
      </c>
      <c r="U196" s="155">
        <v>33</v>
      </c>
      <c r="W196" s="155" t="s">
        <v>179</v>
      </c>
      <c r="X196" s="162">
        <v>66828</v>
      </c>
      <c r="Y196" s="155">
        <v>34</v>
      </c>
      <c r="AA196" s="155" t="s">
        <v>179</v>
      </c>
      <c r="AB196" s="162">
        <v>71235</v>
      </c>
      <c r="AC196" s="155">
        <v>35</v>
      </c>
      <c r="AD196" s="155">
        <v>35</v>
      </c>
      <c r="AE196" s="155" t="s">
        <v>179</v>
      </c>
      <c r="AF196" s="160">
        <v>72687</v>
      </c>
      <c r="AH196" s="155" t="s">
        <v>179</v>
      </c>
      <c r="AI196" s="155">
        <v>536.6</v>
      </c>
      <c r="AN196" s="155" t="s">
        <v>179</v>
      </c>
      <c r="AO196" s="162">
        <v>590.88888888888891</v>
      </c>
      <c r="AP196" s="155">
        <v>43</v>
      </c>
      <c r="AR196" s="155" t="s">
        <v>179</v>
      </c>
      <c r="AS196" s="162">
        <v>535.06451612903231</v>
      </c>
      <c r="AT196" s="155">
        <v>44</v>
      </c>
      <c r="AV196" s="155" t="s">
        <v>179</v>
      </c>
      <c r="AW196" s="162">
        <v>509.15384615384613</v>
      </c>
      <c r="AX196" s="155">
        <v>44</v>
      </c>
      <c r="AZ196" s="155" t="s">
        <v>179</v>
      </c>
      <c r="BA196" s="162">
        <v>579.14285714285711</v>
      </c>
      <c r="BB196" s="155">
        <v>45</v>
      </c>
      <c r="BD196" s="155" t="s">
        <v>179</v>
      </c>
      <c r="BE196" s="162">
        <v>669.875</v>
      </c>
      <c r="BF196" s="155">
        <v>42</v>
      </c>
      <c r="BH196" s="155" t="s">
        <v>179</v>
      </c>
      <c r="BI196" s="162">
        <v>532.63636363636363</v>
      </c>
      <c r="BJ196" s="155">
        <v>46</v>
      </c>
      <c r="BL196" s="155" t="s">
        <v>179</v>
      </c>
      <c r="BM196" s="162">
        <v>242</v>
      </c>
      <c r="BN196" s="155">
        <v>52</v>
      </c>
      <c r="BP196" s="155" t="s">
        <v>179</v>
      </c>
      <c r="BQ196" s="162">
        <v>21272</v>
      </c>
      <c r="BR196" s="155">
        <v>43</v>
      </c>
      <c r="BT196" s="155" t="s">
        <v>179</v>
      </c>
      <c r="BU196" s="162">
        <v>16587</v>
      </c>
      <c r="BV196" s="155">
        <v>44</v>
      </c>
      <c r="BX196" s="155" t="s">
        <v>179</v>
      </c>
      <c r="BY196" s="162">
        <v>13238</v>
      </c>
      <c r="BZ196" s="155">
        <v>44</v>
      </c>
      <c r="CB196" s="155" t="s">
        <v>179</v>
      </c>
      <c r="CC196" s="162">
        <v>12162</v>
      </c>
      <c r="CD196" s="155">
        <v>45</v>
      </c>
      <c r="CF196" s="155" t="s">
        <v>179</v>
      </c>
      <c r="CG196" s="162">
        <v>10718</v>
      </c>
      <c r="CH196" s="155">
        <v>42</v>
      </c>
      <c r="CJ196" s="155" t="s">
        <v>179</v>
      </c>
      <c r="CK196" s="162">
        <v>5859</v>
      </c>
      <c r="CL196" s="155">
        <v>47</v>
      </c>
      <c r="CN196" s="155" t="s">
        <v>179</v>
      </c>
      <c r="CO196" s="162">
        <v>1452</v>
      </c>
      <c r="CP196" s="155">
        <v>53</v>
      </c>
    </row>
    <row r="197" spans="1:94" x14ac:dyDescent="0.2">
      <c r="A197" s="155" t="s">
        <v>289</v>
      </c>
      <c r="C197" s="155" t="s">
        <v>180</v>
      </c>
      <c r="D197" s="162">
        <v>8835</v>
      </c>
      <c r="E197" s="155">
        <v>90</v>
      </c>
      <c r="G197" s="155" t="s">
        <v>180</v>
      </c>
      <c r="H197" s="162">
        <v>9900</v>
      </c>
      <c r="I197" s="155">
        <v>89</v>
      </c>
      <c r="K197" s="155" t="s">
        <v>180</v>
      </c>
      <c r="L197" s="162">
        <v>10283</v>
      </c>
      <c r="M197" s="155">
        <v>91</v>
      </c>
      <c r="O197" s="155" t="s">
        <v>180</v>
      </c>
      <c r="P197" s="162">
        <v>10848</v>
      </c>
      <c r="Q197" s="155">
        <v>91</v>
      </c>
      <c r="S197" s="155" t="s">
        <v>180</v>
      </c>
      <c r="T197" s="162">
        <v>11306</v>
      </c>
      <c r="U197" s="155">
        <v>91</v>
      </c>
      <c r="W197" s="155" t="s">
        <v>180</v>
      </c>
      <c r="X197" s="162">
        <v>12011</v>
      </c>
      <c r="Y197" s="155">
        <v>91</v>
      </c>
      <c r="AA197" s="155" t="s">
        <v>180</v>
      </c>
      <c r="AB197" s="162">
        <v>13019</v>
      </c>
      <c r="AC197" s="155">
        <v>90</v>
      </c>
      <c r="AD197" s="155">
        <v>89</v>
      </c>
      <c r="AE197" s="155" t="s">
        <v>180</v>
      </c>
      <c r="AF197" s="160">
        <v>13445</v>
      </c>
      <c r="AH197" s="155" t="s">
        <v>180</v>
      </c>
      <c r="AI197" s="155">
        <v>528.1</v>
      </c>
      <c r="AN197" s="155" t="s">
        <v>180</v>
      </c>
      <c r="AO197" s="162">
        <v>128.05555555555554</v>
      </c>
      <c r="AP197" s="155">
        <v>77</v>
      </c>
      <c r="AR197" s="155" t="s">
        <v>180</v>
      </c>
      <c r="AS197" s="162">
        <v>114.35483870967742</v>
      </c>
      <c r="AT197" s="155">
        <v>76</v>
      </c>
      <c r="AV197" s="155" t="s">
        <v>180</v>
      </c>
      <c r="AW197" s="162">
        <v>121.61538461538461</v>
      </c>
      <c r="AX197" s="155">
        <v>77</v>
      </c>
      <c r="AZ197" s="155" t="s">
        <v>180</v>
      </c>
      <c r="BA197" s="162">
        <v>123.66666666666667</v>
      </c>
      <c r="BB197" s="155">
        <v>78</v>
      </c>
      <c r="BD197" s="155" t="s">
        <v>180</v>
      </c>
      <c r="BE197" s="162">
        <v>133.6875</v>
      </c>
      <c r="BF197" s="155">
        <v>79</v>
      </c>
      <c r="BH197" s="155" t="s">
        <v>180</v>
      </c>
      <c r="BI197" s="162">
        <v>130.36363636363637</v>
      </c>
      <c r="BJ197" s="155">
        <v>80</v>
      </c>
      <c r="BL197" s="155" t="s">
        <v>180</v>
      </c>
      <c r="BM197" s="162">
        <v>71</v>
      </c>
      <c r="BN197" s="155">
        <v>75</v>
      </c>
      <c r="BP197" s="155" t="s">
        <v>180</v>
      </c>
      <c r="BQ197" s="162">
        <v>4610</v>
      </c>
      <c r="BR197" s="155">
        <v>77</v>
      </c>
      <c r="BT197" s="155" t="s">
        <v>180</v>
      </c>
      <c r="BU197" s="162">
        <v>3545</v>
      </c>
      <c r="BV197" s="155">
        <v>77</v>
      </c>
      <c r="BX197" s="155" t="s">
        <v>180</v>
      </c>
      <c r="BY197" s="162">
        <v>3162</v>
      </c>
      <c r="BZ197" s="155">
        <v>78</v>
      </c>
      <c r="CB197" s="155" t="s">
        <v>180</v>
      </c>
      <c r="CC197" s="162">
        <v>2597</v>
      </c>
      <c r="CD197" s="155">
        <v>79</v>
      </c>
      <c r="CF197" s="155" t="s">
        <v>180</v>
      </c>
      <c r="CG197" s="162">
        <v>2139</v>
      </c>
      <c r="CH197" s="155">
        <v>80</v>
      </c>
      <c r="CJ197" s="155" t="s">
        <v>180</v>
      </c>
      <c r="CK197" s="162">
        <v>1434</v>
      </c>
      <c r="CL197" s="155">
        <v>81</v>
      </c>
      <c r="CN197" s="155" t="s">
        <v>180</v>
      </c>
      <c r="CO197" s="162">
        <v>426</v>
      </c>
      <c r="CP197" s="155">
        <v>78</v>
      </c>
    </row>
    <row r="198" spans="1:94" x14ac:dyDescent="0.2">
      <c r="A198" s="155" t="s">
        <v>290</v>
      </c>
      <c r="C198" s="155" t="s">
        <v>181</v>
      </c>
      <c r="D198" s="162">
        <v>19713</v>
      </c>
      <c r="E198" s="155">
        <v>69</v>
      </c>
      <c r="G198" s="155" t="s">
        <v>181</v>
      </c>
      <c r="H198" s="162">
        <v>21700</v>
      </c>
      <c r="I198" s="155">
        <v>70</v>
      </c>
      <c r="K198" s="155" t="s">
        <v>181</v>
      </c>
      <c r="L198" s="162">
        <v>23417</v>
      </c>
      <c r="M198" s="155">
        <v>68</v>
      </c>
      <c r="O198" s="155" t="s">
        <v>181</v>
      </c>
      <c r="P198" s="162">
        <v>24950</v>
      </c>
      <c r="Q198" s="155">
        <v>67</v>
      </c>
      <c r="S198" s="155" t="s">
        <v>181</v>
      </c>
      <c r="T198" s="162">
        <v>25547</v>
      </c>
      <c r="U198" s="155">
        <v>67</v>
      </c>
      <c r="W198" s="155" t="s">
        <v>181</v>
      </c>
      <c r="X198" s="162">
        <v>27304</v>
      </c>
      <c r="Y198" s="155">
        <v>68</v>
      </c>
      <c r="AA198" s="155" t="s">
        <v>181</v>
      </c>
      <c r="AB198" s="162">
        <v>29379</v>
      </c>
      <c r="AC198" s="155">
        <v>70</v>
      </c>
      <c r="AD198" s="155">
        <v>70</v>
      </c>
      <c r="AE198" s="155" t="s">
        <v>181</v>
      </c>
      <c r="AF198" s="160">
        <v>29780</v>
      </c>
      <c r="AH198" s="155" t="s">
        <v>181</v>
      </c>
      <c r="AI198" s="155">
        <v>378.4</v>
      </c>
      <c r="AN198" s="155" t="s">
        <v>181</v>
      </c>
      <c r="AO198" s="162">
        <v>279.63888888888891</v>
      </c>
      <c r="AP198" s="155">
        <v>65</v>
      </c>
      <c r="AR198" s="155" t="s">
        <v>181</v>
      </c>
      <c r="AS198" s="162">
        <v>260.64516129032256</v>
      </c>
      <c r="AT198" s="155">
        <v>65</v>
      </c>
      <c r="AV198" s="155" t="s">
        <v>181</v>
      </c>
      <c r="AW198" s="162">
        <v>244.73076923076923</v>
      </c>
      <c r="AX198" s="155">
        <v>63</v>
      </c>
      <c r="AZ198" s="155" t="s">
        <v>181</v>
      </c>
      <c r="BA198" s="162">
        <v>230</v>
      </c>
      <c r="BB198" s="155">
        <v>64</v>
      </c>
      <c r="BD198" s="155" t="s">
        <v>181</v>
      </c>
      <c r="BE198" s="162">
        <v>264.5625</v>
      </c>
      <c r="BF198" s="155">
        <v>65</v>
      </c>
      <c r="BH198" s="155" t="s">
        <v>181</v>
      </c>
      <c r="BI198" s="162">
        <v>225.09090909090909</v>
      </c>
      <c r="BJ198" s="155">
        <v>64</v>
      </c>
      <c r="BL198" s="155" t="s">
        <v>181</v>
      </c>
      <c r="BM198" s="162">
        <v>66.833333333333329</v>
      </c>
      <c r="BN198" s="155">
        <v>77</v>
      </c>
      <c r="BP198" s="155" t="s">
        <v>181</v>
      </c>
      <c r="BQ198" s="162">
        <v>10067</v>
      </c>
      <c r="BR198" s="155">
        <v>65</v>
      </c>
      <c r="BT198" s="155" t="s">
        <v>181</v>
      </c>
      <c r="BU198" s="162">
        <v>8080</v>
      </c>
      <c r="BV198" s="155">
        <v>65</v>
      </c>
      <c r="BX198" s="155" t="s">
        <v>181</v>
      </c>
      <c r="BY198" s="162">
        <v>6363</v>
      </c>
      <c r="BZ198" s="155">
        <v>64</v>
      </c>
      <c r="CB198" s="155" t="s">
        <v>181</v>
      </c>
      <c r="CC198" s="162">
        <v>4830</v>
      </c>
      <c r="CD198" s="155">
        <v>65</v>
      </c>
      <c r="CF198" s="155" t="s">
        <v>181</v>
      </c>
      <c r="CG198" s="162">
        <v>4233</v>
      </c>
      <c r="CH198" s="155">
        <v>67</v>
      </c>
      <c r="CJ198" s="155" t="s">
        <v>181</v>
      </c>
      <c r="CK198" s="162">
        <v>2476</v>
      </c>
      <c r="CL198" s="155">
        <v>66</v>
      </c>
      <c r="CN198" s="155" t="s">
        <v>181</v>
      </c>
      <c r="CO198" s="162">
        <v>401</v>
      </c>
      <c r="CP198" s="155">
        <v>79</v>
      </c>
    </row>
    <row r="199" spans="1:94" x14ac:dyDescent="0.2">
      <c r="A199" s="155" t="s">
        <v>291</v>
      </c>
      <c r="C199" s="155" t="s">
        <v>182</v>
      </c>
      <c r="D199" s="162">
        <v>3806</v>
      </c>
      <c r="E199" s="155">
        <v>100</v>
      </c>
      <c r="G199" s="155" t="s">
        <v>182</v>
      </c>
      <c r="H199" s="162">
        <v>3900</v>
      </c>
      <c r="I199" s="155">
        <v>100</v>
      </c>
      <c r="K199" s="155" t="s">
        <v>182</v>
      </c>
      <c r="L199" s="162">
        <v>3975</v>
      </c>
      <c r="M199" s="155">
        <v>100</v>
      </c>
      <c r="O199" s="155" t="s">
        <v>182</v>
      </c>
      <c r="P199" s="162">
        <v>4017</v>
      </c>
      <c r="Q199" s="155">
        <v>100</v>
      </c>
      <c r="S199" s="155" t="s">
        <v>182</v>
      </c>
      <c r="T199" s="162">
        <v>3856</v>
      </c>
      <c r="U199" s="155">
        <v>100</v>
      </c>
      <c r="W199" s="155" t="s">
        <v>182</v>
      </c>
      <c r="X199" s="162">
        <v>3851</v>
      </c>
      <c r="Y199" s="155">
        <v>100</v>
      </c>
      <c r="AA199" s="155" t="s">
        <v>182</v>
      </c>
      <c r="AB199" s="162">
        <v>4148</v>
      </c>
      <c r="AC199" s="155">
        <v>100</v>
      </c>
      <c r="AD199" s="155">
        <v>100</v>
      </c>
      <c r="AE199" s="155" t="s">
        <v>182</v>
      </c>
      <c r="AF199" s="160">
        <v>4187</v>
      </c>
      <c r="AH199" s="155" t="s">
        <v>182</v>
      </c>
      <c r="AI199" s="155">
        <v>389.9</v>
      </c>
      <c r="AN199" s="155" t="s">
        <v>182</v>
      </c>
      <c r="AO199" s="162">
        <v>10.583333333333334</v>
      </c>
      <c r="AP199" s="155">
        <v>94</v>
      </c>
      <c r="AR199" s="155" t="s">
        <v>182</v>
      </c>
      <c r="AS199" s="162">
        <v>9.258064516129032</v>
      </c>
      <c r="AT199" s="155">
        <v>93</v>
      </c>
      <c r="AV199" s="155" t="s">
        <v>182</v>
      </c>
      <c r="AW199" s="162">
        <v>8.1538461538461533</v>
      </c>
      <c r="AX199" s="155">
        <v>92</v>
      </c>
      <c r="AZ199" s="155" t="s">
        <v>182</v>
      </c>
      <c r="BA199" s="162">
        <v>8.0952380952380949</v>
      </c>
      <c r="BB199" s="155">
        <v>93</v>
      </c>
      <c r="BD199" s="155" t="s">
        <v>182</v>
      </c>
      <c r="BE199" s="162">
        <v>20.6875</v>
      </c>
      <c r="BF199" s="155">
        <v>92</v>
      </c>
      <c r="BH199" s="155" t="s">
        <v>182</v>
      </c>
      <c r="BI199" s="162">
        <v>30.545454545454547</v>
      </c>
      <c r="BJ199" s="155">
        <v>90</v>
      </c>
      <c r="BL199" s="155" t="s">
        <v>182</v>
      </c>
      <c r="BM199" s="162">
        <v>6.5</v>
      </c>
      <c r="BN199" s="155">
        <v>82</v>
      </c>
      <c r="BP199" s="155" t="s">
        <v>182</v>
      </c>
      <c r="BQ199" s="162">
        <v>381</v>
      </c>
      <c r="BR199" s="155">
        <v>94</v>
      </c>
      <c r="BT199" s="155" t="s">
        <v>182</v>
      </c>
      <c r="BU199" s="162">
        <v>287</v>
      </c>
      <c r="BV199" s="155">
        <v>93</v>
      </c>
      <c r="BX199" s="155" t="s">
        <v>182</v>
      </c>
      <c r="BY199" s="162">
        <v>212</v>
      </c>
      <c r="BZ199" s="155">
        <v>92</v>
      </c>
      <c r="CB199" s="155" t="s">
        <v>182</v>
      </c>
      <c r="CC199" s="162">
        <v>170</v>
      </c>
      <c r="CD199" s="155">
        <v>93</v>
      </c>
      <c r="CF199" s="155" t="s">
        <v>182</v>
      </c>
      <c r="CG199" s="162">
        <v>331</v>
      </c>
      <c r="CH199" s="155">
        <v>92</v>
      </c>
      <c r="CJ199" s="155" t="s">
        <v>182</v>
      </c>
      <c r="CK199" s="162">
        <v>336</v>
      </c>
      <c r="CL199" s="155">
        <v>90</v>
      </c>
      <c r="CN199" s="155" t="s">
        <v>182</v>
      </c>
      <c r="CO199" s="162">
        <v>39</v>
      </c>
      <c r="CP199" s="155">
        <v>82</v>
      </c>
    </row>
    <row r="200" spans="1:94" x14ac:dyDescent="0.2">
      <c r="A200" s="155" t="s">
        <v>292</v>
      </c>
      <c r="C200" s="155" t="s">
        <v>183</v>
      </c>
      <c r="D200" s="162">
        <v>54714</v>
      </c>
      <c r="E200" s="155">
        <v>31</v>
      </c>
      <c r="G200" s="155" t="s">
        <v>183</v>
      </c>
      <c r="H200" s="162">
        <v>63000</v>
      </c>
      <c r="I200" s="155">
        <v>29</v>
      </c>
      <c r="K200" s="155" t="s">
        <v>183</v>
      </c>
      <c r="L200" s="162">
        <v>70436</v>
      </c>
      <c r="M200" s="155">
        <v>27</v>
      </c>
      <c r="O200" s="155" t="s">
        <v>183</v>
      </c>
      <c r="P200" s="162">
        <v>76715</v>
      </c>
      <c r="Q200" s="155">
        <v>25</v>
      </c>
      <c r="S200" s="155" t="s">
        <v>183</v>
      </c>
      <c r="T200" s="162">
        <v>84772</v>
      </c>
      <c r="U200" s="155">
        <v>24</v>
      </c>
      <c r="W200" s="155" t="s">
        <v>183</v>
      </c>
      <c r="X200" s="162">
        <v>100597</v>
      </c>
      <c r="Y200" s="155">
        <v>22</v>
      </c>
      <c r="AA200" s="155" t="s">
        <v>183</v>
      </c>
      <c r="AB200" s="162">
        <v>125669</v>
      </c>
      <c r="AC200" s="155">
        <v>18</v>
      </c>
      <c r="AD200" s="155">
        <v>10</v>
      </c>
      <c r="AE200" s="155" t="s">
        <v>183</v>
      </c>
      <c r="AF200" s="160">
        <v>175272</v>
      </c>
      <c r="AH200" s="155" t="s">
        <v>183</v>
      </c>
      <c r="AI200" s="155">
        <v>637.4</v>
      </c>
      <c r="AN200" s="155" t="s">
        <v>183</v>
      </c>
      <c r="AO200" s="162">
        <v>3348.8333333333335</v>
      </c>
      <c r="AP200" s="155">
        <v>4</v>
      </c>
      <c r="AR200" s="155" t="s">
        <v>183</v>
      </c>
      <c r="AS200" s="162">
        <v>3621.6774193548385</v>
      </c>
      <c r="AT200" s="155">
        <v>4</v>
      </c>
      <c r="AV200" s="155" t="s">
        <v>183</v>
      </c>
      <c r="AW200" s="162">
        <v>4032.1538461538462</v>
      </c>
      <c r="AX200" s="155">
        <v>4</v>
      </c>
      <c r="AZ200" s="155" t="s">
        <v>183</v>
      </c>
      <c r="BA200" s="162">
        <v>4693.1904761904761</v>
      </c>
      <c r="BB200" s="155">
        <v>4</v>
      </c>
      <c r="BD200" s="155" t="s">
        <v>183</v>
      </c>
      <c r="BE200" s="162">
        <v>5656.25</v>
      </c>
      <c r="BF200" s="155">
        <v>4</v>
      </c>
      <c r="BH200" s="155" t="s">
        <v>183</v>
      </c>
      <c r="BI200" s="162">
        <v>6788.636363636364</v>
      </c>
      <c r="BJ200" s="155">
        <v>3</v>
      </c>
      <c r="BL200" s="155" t="s">
        <v>183</v>
      </c>
      <c r="BM200" s="162">
        <v>8267.1666666666661</v>
      </c>
      <c r="BN200" s="155">
        <v>3</v>
      </c>
      <c r="BP200" s="155" t="s">
        <v>183</v>
      </c>
      <c r="BQ200" s="162">
        <v>120558</v>
      </c>
      <c r="BR200" s="155">
        <v>4</v>
      </c>
      <c r="BT200" s="155" t="s">
        <v>183</v>
      </c>
      <c r="BU200" s="162">
        <v>112272</v>
      </c>
      <c r="BV200" s="155">
        <v>4</v>
      </c>
      <c r="BX200" s="155" t="s">
        <v>183</v>
      </c>
      <c r="BY200" s="162">
        <v>104836</v>
      </c>
      <c r="BZ200" s="155">
        <v>4</v>
      </c>
      <c r="CB200" s="155" t="s">
        <v>183</v>
      </c>
      <c r="CC200" s="162">
        <v>98557</v>
      </c>
      <c r="CD200" s="155">
        <v>4</v>
      </c>
      <c r="CF200" s="155" t="s">
        <v>183</v>
      </c>
      <c r="CG200" s="162">
        <v>90500</v>
      </c>
      <c r="CH200" s="155">
        <v>4</v>
      </c>
      <c r="CJ200" s="155" t="s">
        <v>183</v>
      </c>
      <c r="CK200" s="162">
        <v>74675</v>
      </c>
      <c r="CL200" s="155">
        <v>3</v>
      </c>
      <c r="CN200" s="155" t="s">
        <v>183</v>
      </c>
      <c r="CO200" s="162">
        <v>49603</v>
      </c>
      <c r="CP200" s="155">
        <v>3</v>
      </c>
    </row>
    <row r="201" spans="1:94" x14ac:dyDescent="0.2">
      <c r="A201" s="155" t="s">
        <v>293</v>
      </c>
      <c r="C201" s="155" t="s">
        <v>184</v>
      </c>
      <c r="D201" s="162">
        <v>32691</v>
      </c>
      <c r="E201" s="155">
        <v>48</v>
      </c>
      <c r="G201" s="155" t="s">
        <v>184</v>
      </c>
      <c r="H201" s="162">
        <v>34000</v>
      </c>
      <c r="I201" s="155">
        <v>49</v>
      </c>
      <c r="K201" s="155" t="s">
        <v>184</v>
      </c>
      <c r="L201" s="162">
        <v>36748</v>
      </c>
      <c r="M201" s="155">
        <v>49</v>
      </c>
      <c r="O201" s="155" t="s">
        <v>184</v>
      </c>
      <c r="P201" s="162">
        <v>38005</v>
      </c>
      <c r="Q201" s="155">
        <v>51</v>
      </c>
      <c r="S201" s="155" t="s">
        <v>184</v>
      </c>
      <c r="T201" s="162">
        <v>39042</v>
      </c>
      <c r="U201" s="155">
        <v>52</v>
      </c>
      <c r="W201" s="155" t="s">
        <v>184</v>
      </c>
      <c r="X201" s="162">
        <v>40609</v>
      </c>
      <c r="Y201" s="155">
        <v>55</v>
      </c>
      <c r="AA201" s="155" t="s">
        <v>184</v>
      </c>
      <c r="AB201" s="162">
        <v>43156</v>
      </c>
      <c r="AC201" s="155">
        <v>55</v>
      </c>
      <c r="AD201" s="155">
        <v>56</v>
      </c>
      <c r="AE201" s="155" t="s">
        <v>184</v>
      </c>
      <c r="AF201" s="160">
        <v>43810</v>
      </c>
      <c r="AH201" s="155" t="s">
        <v>184</v>
      </c>
      <c r="AI201" s="155">
        <v>253.5</v>
      </c>
      <c r="AN201" s="155" t="s">
        <v>184</v>
      </c>
      <c r="AO201" s="162">
        <v>308.86111111111109</v>
      </c>
      <c r="AP201" s="155">
        <v>62</v>
      </c>
      <c r="AR201" s="155" t="s">
        <v>184</v>
      </c>
      <c r="AS201" s="162">
        <v>316.45161290322579</v>
      </c>
      <c r="AT201" s="155">
        <v>61</v>
      </c>
      <c r="AV201" s="155" t="s">
        <v>184</v>
      </c>
      <c r="AW201" s="162">
        <v>271.61538461538464</v>
      </c>
      <c r="AX201" s="155">
        <v>62</v>
      </c>
      <c r="AZ201" s="155" t="s">
        <v>184</v>
      </c>
      <c r="BA201" s="162">
        <v>276.42857142857144</v>
      </c>
      <c r="BB201" s="155">
        <v>61</v>
      </c>
      <c r="BD201" s="155" t="s">
        <v>184</v>
      </c>
      <c r="BE201" s="162">
        <v>298</v>
      </c>
      <c r="BF201" s="155">
        <v>61</v>
      </c>
      <c r="BH201" s="155" t="s">
        <v>184</v>
      </c>
      <c r="BI201" s="162">
        <v>291</v>
      </c>
      <c r="BJ201" s="155">
        <v>59</v>
      </c>
      <c r="BL201" s="155" t="s">
        <v>184</v>
      </c>
      <c r="BM201" s="162">
        <v>109</v>
      </c>
      <c r="BN201" s="155">
        <v>68</v>
      </c>
      <c r="BP201" s="155" t="s">
        <v>184</v>
      </c>
      <c r="BQ201" s="162">
        <v>11119</v>
      </c>
      <c r="BR201" s="155">
        <v>62</v>
      </c>
      <c r="BT201" s="155" t="s">
        <v>184</v>
      </c>
      <c r="BU201" s="162">
        <v>9810</v>
      </c>
      <c r="BV201" s="155">
        <v>62</v>
      </c>
      <c r="BX201" s="155" t="s">
        <v>184</v>
      </c>
      <c r="BY201" s="162">
        <v>7062</v>
      </c>
      <c r="BZ201" s="155">
        <v>63</v>
      </c>
      <c r="CB201" s="155" t="s">
        <v>184</v>
      </c>
      <c r="CC201" s="162">
        <v>5805</v>
      </c>
      <c r="CD201" s="155">
        <v>63</v>
      </c>
      <c r="CF201" s="155" t="s">
        <v>184</v>
      </c>
      <c r="CG201" s="162">
        <v>4768</v>
      </c>
      <c r="CH201" s="155">
        <v>63</v>
      </c>
      <c r="CJ201" s="155" t="s">
        <v>184</v>
      </c>
      <c r="CK201" s="162">
        <v>3201</v>
      </c>
      <c r="CL201" s="155">
        <v>61</v>
      </c>
      <c r="CN201" s="155" t="s">
        <v>184</v>
      </c>
      <c r="CO201" s="162">
        <v>654</v>
      </c>
      <c r="CP201" s="155">
        <v>71</v>
      </c>
    </row>
    <row r="202" spans="1:94" x14ac:dyDescent="0.2">
      <c r="A202" s="155" t="s">
        <v>294</v>
      </c>
      <c r="C202" s="155" t="s">
        <v>185</v>
      </c>
      <c r="D202" s="162">
        <v>229006</v>
      </c>
      <c r="E202" s="155">
        <v>3</v>
      </c>
      <c r="G202" s="155" t="s">
        <v>185</v>
      </c>
      <c r="H202" s="162">
        <v>267400</v>
      </c>
      <c r="I202" s="155">
        <v>3</v>
      </c>
      <c r="K202" s="155" t="s">
        <v>185</v>
      </c>
      <c r="L202" s="162">
        <v>301429</v>
      </c>
      <c r="M202" s="155">
        <v>3</v>
      </c>
      <c r="O202" s="155" t="s">
        <v>185</v>
      </c>
      <c r="P202" s="162">
        <v>359163</v>
      </c>
      <c r="Q202" s="155">
        <v>2</v>
      </c>
      <c r="S202" s="155" t="s">
        <v>185</v>
      </c>
      <c r="T202" s="162">
        <v>430378</v>
      </c>
      <c r="U202" s="155">
        <v>2</v>
      </c>
      <c r="W202" s="155" t="s">
        <v>185</v>
      </c>
      <c r="X202" s="162">
        <v>526599</v>
      </c>
      <c r="Y202" s="155">
        <v>2</v>
      </c>
      <c r="AA202" s="155" t="s">
        <v>185</v>
      </c>
      <c r="AB202" s="162">
        <v>633233</v>
      </c>
      <c r="AC202" s="155">
        <v>2</v>
      </c>
      <c r="AD202" s="155">
        <v>2</v>
      </c>
      <c r="AE202" s="155" t="s">
        <v>185</v>
      </c>
      <c r="AF202" s="160">
        <v>786522</v>
      </c>
      <c r="AH202" s="155" t="s">
        <v>185</v>
      </c>
      <c r="AI202" s="155">
        <v>833.9</v>
      </c>
      <c r="AN202" s="155" t="s">
        <v>185</v>
      </c>
      <c r="AO202" s="162">
        <v>15486.555555555555</v>
      </c>
      <c r="AP202" s="155">
        <v>1</v>
      </c>
      <c r="AR202" s="155" t="s">
        <v>185</v>
      </c>
      <c r="AS202" s="162">
        <v>16745.870967741936</v>
      </c>
      <c r="AT202" s="155">
        <v>1</v>
      </c>
      <c r="AV202" s="155" t="s">
        <v>185</v>
      </c>
      <c r="AW202" s="162">
        <v>18657.423076923078</v>
      </c>
      <c r="AX202" s="155">
        <v>1</v>
      </c>
      <c r="AZ202" s="155" t="s">
        <v>185</v>
      </c>
      <c r="BA202" s="162">
        <v>20350.428571428572</v>
      </c>
      <c r="BB202" s="155">
        <v>1</v>
      </c>
      <c r="BD202" s="155" t="s">
        <v>185</v>
      </c>
      <c r="BE202" s="162">
        <v>22259</v>
      </c>
      <c r="BF202" s="155">
        <v>1</v>
      </c>
      <c r="BH202" s="155" t="s">
        <v>185</v>
      </c>
      <c r="BI202" s="162">
        <v>23629.363636363636</v>
      </c>
      <c r="BJ202" s="155">
        <v>1</v>
      </c>
      <c r="BL202" s="155" t="s">
        <v>185</v>
      </c>
      <c r="BM202" s="162">
        <v>25548.166666666668</v>
      </c>
      <c r="BN202" s="155">
        <v>1</v>
      </c>
      <c r="BP202" s="155" t="s">
        <v>185</v>
      </c>
      <c r="BQ202" s="162">
        <v>557516</v>
      </c>
      <c r="BR202" s="155">
        <v>1</v>
      </c>
      <c r="BT202" s="155" t="s">
        <v>185</v>
      </c>
      <c r="BU202" s="162">
        <v>519122</v>
      </c>
      <c r="BV202" s="155">
        <v>1</v>
      </c>
      <c r="BX202" s="155" t="s">
        <v>185</v>
      </c>
      <c r="BY202" s="162">
        <v>485093</v>
      </c>
      <c r="BZ202" s="155">
        <v>1</v>
      </c>
      <c r="CB202" s="155" t="s">
        <v>185</v>
      </c>
      <c r="CC202" s="162">
        <v>427359</v>
      </c>
      <c r="CD202" s="155">
        <v>1</v>
      </c>
      <c r="CF202" s="155" t="s">
        <v>185</v>
      </c>
      <c r="CG202" s="162">
        <v>356144</v>
      </c>
      <c r="CH202" s="155">
        <v>1</v>
      </c>
      <c r="CJ202" s="155" t="s">
        <v>185</v>
      </c>
      <c r="CK202" s="162">
        <v>259923</v>
      </c>
      <c r="CL202" s="155">
        <v>1</v>
      </c>
      <c r="CN202" s="155" t="s">
        <v>185</v>
      </c>
      <c r="CO202" s="162">
        <v>153289</v>
      </c>
      <c r="CP202" s="155">
        <v>1</v>
      </c>
    </row>
    <row r="203" spans="1:94" x14ac:dyDescent="0.2">
      <c r="A203" s="155" t="s">
        <v>295</v>
      </c>
      <c r="C203" s="155" t="s">
        <v>186</v>
      </c>
      <c r="D203" s="162">
        <v>15340</v>
      </c>
      <c r="E203" s="155">
        <v>80</v>
      </c>
      <c r="G203" s="155" t="s">
        <v>186</v>
      </c>
      <c r="H203" s="162">
        <v>16400</v>
      </c>
      <c r="I203" s="155">
        <v>80</v>
      </c>
      <c r="K203" s="155" t="s">
        <v>186</v>
      </c>
      <c r="L203" s="162">
        <v>16232</v>
      </c>
      <c r="M203" s="155">
        <v>80</v>
      </c>
      <c r="O203" s="155" t="s">
        <v>186</v>
      </c>
      <c r="P203" s="162">
        <v>16746</v>
      </c>
      <c r="Q203" s="155">
        <v>81</v>
      </c>
      <c r="S203" s="155" t="s">
        <v>186</v>
      </c>
      <c r="T203" s="162">
        <v>17303</v>
      </c>
      <c r="U203" s="155">
        <v>80</v>
      </c>
      <c r="W203" s="155" t="s">
        <v>186</v>
      </c>
      <c r="X203" s="162">
        <v>18515</v>
      </c>
      <c r="Y203" s="155">
        <v>80</v>
      </c>
      <c r="AA203" s="155" t="s">
        <v>186</v>
      </c>
      <c r="AB203" s="162">
        <v>19936</v>
      </c>
      <c r="AC203" s="155">
        <v>79</v>
      </c>
      <c r="AD203" s="155">
        <v>82</v>
      </c>
      <c r="AE203" s="155" t="s">
        <v>186</v>
      </c>
      <c r="AF203" s="160">
        <v>19605</v>
      </c>
      <c r="AH203" s="155" t="s">
        <v>186</v>
      </c>
      <c r="AI203" s="155">
        <v>428.7</v>
      </c>
      <c r="AN203" s="155" t="s">
        <v>186</v>
      </c>
      <c r="AO203" s="162">
        <v>118.47222222222223</v>
      </c>
      <c r="AP203" s="155">
        <v>80</v>
      </c>
      <c r="AR203" s="155" t="s">
        <v>186</v>
      </c>
      <c r="AS203" s="162">
        <v>103.38709677419355</v>
      </c>
      <c r="AT203" s="155">
        <v>83</v>
      </c>
      <c r="AV203" s="155" t="s">
        <v>186</v>
      </c>
      <c r="AW203" s="162">
        <v>129.73076923076923</v>
      </c>
      <c r="AX203" s="155">
        <v>74</v>
      </c>
      <c r="AZ203" s="155" t="s">
        <v>186</v>
      </c>
      <c r="BA203" s="162">
        <v>136.14285714285714</v>
      </c>
      <c r="BB203" s="155">
        <v>76</v>
      </c>
      <c r="BD203" s="155" t="s">
        <v>186</v>
      </c>
      <c r="BE203" s="162">
        <v>143.875</v>
      </c>
      <c r="BF203" s="155">
        <v>77</v>
      </c>
      <c r="BH203" s="155" t="s">
        <v>186</v>
      </c>
      <c r="BI203" s="162">
        <v>99.090909090909093</v>
      </c>
      <c r="BJ203" s="155">
        <v>81</v>
      </c>
      <c r="BL203" s="155" t="s">
        <v>186</v>
      </c>
      <c r="BM203" s="162">
        <v>-55.166666666666664</v>
      </c>
      <c r="BN203" s="155">
        <v>92</v>
      </c>
      <c r="BP203" s="155" t="s">
        <v>186</v>
      </c>
      <c r="BQ203" s="162">
        <v>4265</v>
      </c>
      <c r="BR203" s="155">
        <v>80</v>
      </c>
      <c r="BT203" s="155" t="s">
        <v>186</v>
      </c>
      <c r="BU203" s="162">
        <v>3205</v>
      </c>
      <c r="BV203" s="155">
        <v>83</v>
      </c>
      <c r="BX203" s="155" t="s">
        <v>186</v>
      </c>
      <c r="BY203" s="162">
        <v>3373</v>
      </c>
      <c r="BZ203" s="155">
        <v>75</v>
      </c>
      <c r="CB203" s="155" t="s">
        <v>186</v>
      </c>
      <c r="CC203" s="162">
        <v>2859</v>
      </c>
      <c r="CD203" s="155">
        <v>77</v>
      </c>
      <c r="CF203" s="155" t="s">
        <v>186</v>
      </c>
      <c r="CG203" s="162">
        <v>2302</v>
      </c>
      <c r="CH203" s="155">
        <v>78</v>
      </c>
      <c r="CJ203" s="155" t="s">
        <v>186</v>
      </c>
      <c r="CK203" s="162">
        <v>1090</v>
      </c>
      <c r="CL203" s="155">
        <v>82</v>
      </c>
      <c r="CN203" s="155" t="s">
        <v>186</v>
      </c>
      <c r="CO203" s="162">
        <v>-331</v>
      </c>
      <c r="CP203" s="155">
        <v>91</v>
      </c>
    </row>
    <row r="204" spans="1:94" x14ac:dyDescent="0.2">
      <c r="A204" s="155" t="s">
        <v>296</v>
      </c>
      <c r="C204" s="155" t="s">
        <v>187</v>
      </c>
      <c r="D204" s="162">
        <v>14038</v>
      </c>
      <c r="E204" s="155">
        <v>82</v>
      </c>
      <c r="G204" s="155" t="s">
        <v>187</v>
      </c>
      <c r="H204" s="162">
        <v>15100</v>
      </c>
      <c r="I204" s="155">
        <v>81</v>
      </c>
      <c r="K204" s="155" t="s">
        <v>187</v>
      </c>
      <c r="L204" s="162">
        <v>14801</v>
      </c>
      <c r="M204" s="155">
        <v>83</v>
      </c>
      <c r="O204" s="155" t="s">
        <v>187</v>
      </c>
      <c r="P204" s="162">
        <v>14281</v>
      </c>
      <c r="Q204" s="155">
        <v>86</v>
      </c>
      <c r="S204" s="155" t="s">
        <v>187</v>
      </c>
      <c r="T204" s="162">
        <v>14012</v>
      </c>
      <c r="U204" s="155">
        <v>87</v>
      </c>
      <c r="W204" s="155" t="s">
        <v>187</v>
      </c>
      <c r="X204" s="162">
        <v>14313</v>
      </c>
      <c r="Y204" s="155">
        <v>88</v>
      </c>
      <c r="AA204" s="155" t="s">
        <v>187</v>
      </c>
      <c r="AB204" s="162">
        <v>13710</v>
      </c>
      <c r="AC204" s="155">
        <v>89</v>
      </c>
      <c r="AD204" s="155">
        <v>90</v>
      </c>
      <c r="AE204" s="155" t="s">
        <v>187</v>
      </c>
      <c r="AF204" s="160">
        <v>13227</v>
      </c>
      <c r="AH204" s="155" t="s">
        <v>187</v>
      </c>
      <c r="AI204" s="155">
        <v>347.8</v>
      </c>
      <c r="AN204" s="155" t="s">
        <v>187</v>
      </c>
      <c r="AO204" s="162">
        <v>-22.527777777777779</v>
      </c>
      <c r="AP204" s="155">
        <v>97</v>
      </c>
      <c r="AR204" s="155" t="s">
        <v>187</v>
      </c>
      <c r="AS204" s="162">
        <v>-60.41935483870968</v>
      </c>
      <c r="AT204" s="155">
        <v>100</v>
      </c>
      <c r="AV204" s="155" t="s">
        <v>187</v>
      </c>
      <c r="AW204" s="162">
        <v>-60.53846153846154</v>
      </c>
      <c r="AX204" s="155">
        <v>97</v>
      </c>
      <c r="AZ204" s="155" t="s">
        <v>187</v>
      </c>
      <c r="BA204" s="162">
        <v>-50.19047619047619</v>
      </c>
      <c r="BB204" s="155">
        <v>97</v>
      </c>
      <c r="BD204" s="155" t="s">
        <v>187</v>
      </c>
      <c r="BE204" s="162">
        <v>-49.0625</v>
      </c>
      <c r="BF204" s="155">
        <v>98</v>
      </c>
      <c r="BH204" s="155" t="s">
        <v>187</v>
      </c>
      <c r="BI204" s="162">
        <v>-98.727272727272734</v>
      </c>
      <c r="BJ204" s="155">
        <v>96</v>
      </c>
      <c r="BL204" s="155" t="s">
        <v>187</v>
      </c>
      <c r="BM204" s="162">
        <v>-80.5</v>
      </c>
      <c r="BN204" s="155">
        <v>94</v>
      </c>
      <c r="BP204" s="155" t="s">
        <v>187</v>
      </c>
      <c r="BQ204" s="162">
        <v>-811</v>
      </c>
      <c r="BR204" s="155">
        <v>97</v>
      </c>
      <c r="BT204" s="155" t="s">
        <v>187</v>
      </c>
      <c r="BU204" s="162">
        <v>-1873</v>
      </c>
      <c r="BV204" s="155">
        <v>100</v>
      </c>
      <c r="BX204" s="155" t="s">
        <v>187</v>
      </c>
      <c r="BY204" s="162">
        <v>-1574</v>
      </c>
      <c r="BZ204" s="155">
        <v>96</v>
      </c>
      <c r="CB204" s="155" t="s">
        <v>187</v>
      </c>
      <c r="CC204" s="162">
        <v>-1054</v>
      </c>
      <c r="CD204" s="155">
        <v>96</v>
      </c>
      <c r="CF204" s="155" t="s">
        <v>187</v>
      </c>
      <c r="CG204" s="162">
        <v>-785</v>
      </c>
      <c r="CH204" s="155">
        <v>98</v>
      </c>
      <c r="CJ204" s="155" t="s">
        <v>187</v>
      </c>
      <c r="CK204" s="162">
        <v>-1086</v>
      </c>
      <c r="CL204" s="155">
        <v>95</v>
      </c>
      <c r="CN204" s="155" t="s">
        <v>187</v>
      </c>
      <c r="CO204" s="162">
        <v>-483</v>
      </c>
      <c r="CP204" s="155">
        <v>93</v>
      </c>
    </row>
    <row r="205" spans="1:94" x14ac:dyDescent="0.2">
      <c r="A205" s="155" t="s">
        <v>297</v>
      </c>
      <c r="C205" s="155" t="s">
        <v>188</v>
      </c>
      <c r="D205" s="162">
        <v>23404</v>
      </c>
      <c r="E205" s="155">
        <v>65</v>
      </c>
      <c r="G205" s="155" t="s">
        <v>188</v>
      </c>
      <c r="H205" s="162">
        <v>29800</v>
      </c>
      <c r="I205" s="155">
        <v>56</v>
      </c>
      <c r="K205" s="155" t="s">
        <v>188</v>
      </c>
      <c r="L205" s="162">
        <v>31666</v>
      </c>
      <c r="M205" s="155">
        <v>57</v>
      </c>
      <c r="O205" s="155" t="s">
        <v>188</v>
      </c>
      <c r="P205" s="162">
        <v>35083</v>
      </c>
      <c r="Q205" s="155">
        <v>56</v>
      </c>
      <c r="S205" s="155" t="s">
        <v>188</v>
      </c>
      <c r="T205" s="162">
        <v>37047</v>
      </c>
      <c r="U205" s="155">
        <v>55</v>
      </c>
      <c r="W205" s="155" t="s">
        <v>188</v>
      </c>
      <c r="X205" s="162">
        <v>40569</v>
      </c>
      <c r="Y205" s="155">
        <v>56</v>
      </c>
      <c r="AA205" s="155" t="s">
        <v>188</v>
      </c>
      <c r="AB205" s="162">
        <v>42747</v>
      </c>
      <c r="AC205" s="155">
        <v>56</v>
      </c>
      <c r="AD205" s="155">
        <v>58</v>
      </c>
      <c r="AE205" s="155" t="s">
        <v>188</v>
      </c>
      <c r="AF205" s="160">
        <v>42700</v>
      </c>
      <c r="AH205" s="155" t="s">
        <v>188</v>
      </c>
      <c r="AI205" s="155">
        <v>312.5</v>
      </c>
      <c r="AN205" s="155" t="s">
        <v>188</v>
      </c>
      <c r="AO205" s="162">
        <v>536</v>
      </c>
      <c r="AP205" s="155">
        <v>46</v>
      </c>
      <c r="AR205" s="155" t="s">
        <v>188</v>
      </c>
      <c r="AS205" s="162">
        <v>416.12903225806451</v>
      </c>
      <c r="AT205" s="155">
        <v>51</v>
      </c>
      <c r="AV205" s="155" t="s">
        <v>188</v>
      </c>
      <c r="AW205" s="162">
        <v>424.38461538461536</v>
      </c>
      <c r="AX205" s="155">
        <v>51</v>
      </c>
      <c r="AZ205" s="155" t="s">
        <v>188</v>
      </c>
      <c r="BA205" s="162">
        <v>362.71428571428572</v>
      </c>
      <c r="BB205" s="155">
        <v>58</v>
      </c>
      <c r="BD205" s="155" t="s">
        <v>188</v>
      </c>
      <c r="BE205" s="162">
        <v>353.3125</v>
      </c>
      <c r="BF205" s="155">
        <v>59</v>
      </c>
      <c r="BH205" s="155" t="s">
        <v>188</v>
      </c>
      <c r="BI205" s="162">
        <v>193.72727272727272</v>
      </c>
      <c r="BJ205" s="155">
        <v>70</v>
      </c>
      <c r="BL205" s="155" t="s">
        <v>188</v>
      </c>
      <c r="BM205" s="162">
        <v>-7.833333333333333</v>
      </c>
      <c r="BN205" s="155">
        <v>87</v>
      </c>
      <c r="BP205" s="155" t="s">
        <v>188</v>
      </c>
      <c r="BQ205" s="162">
        <v>19296</v>
      </c>
      <c r="BR205" s="155">
        <v>46</v>
      </c>
      <c r="BT205" s="155" t="s">
        <v>188</v>
      </c>
      <c r="BU205" s="162">
        <v>12900</v>
      </c>
      <c r="BV205" s="155">
        <v>52</v>
      </c>
      <c r="BX205" s="155" t="s">
        <v>188</v>
      </c>
      <c r="BY205" s="162">
        <v>11034</v>
      </c>
      <c r="BZ205" s="155">
        <v>52</v>
      </c>
      <c r="CB205" s="155" t="s">
        <v>188</v>
      </c>
      <c r="CC205" s="162">
        <v>7617</v>
      </c>
      <c r="CD205" s="155">
        <v>59</v>
      </c>
      <c r="CF205" s="155" t="s">
        <v>188</v>
      </c>
      <c r="CG205" s="162">
        <v>5653</v>
      </c>
      <c r="CH205" s="155">
        <v>61</v>
      </c>
      <c r="CJ205" s="155" t="s">
        <v>188</v>
      </c>
      <c r="CK205" s="162">
        <v>2131</v>
      </c>
      <c r="CL205" s="155">
        <v>73</v>
      </c>
      <c r="CN205" s="155" t="s">
        <v>188</v>
      </c>
      <c r="CO205" s="162">
        <v>-47</v>
      </c>
      <c r="CP205" s="155">
        <v>87</v>
      </c>
    </row>
    <row r="206" spans="1:94" x14ac:dyDescent="0.2">
      <c r="A206" s="155" t="s">
        <v>298</v>
      </c>
      <c r="C206" s="155" t="s">
        <v>189</v>
      </c>
      <c r="D206" s="162">
        <v>85408</v>
      </c>
      <c r="E206" s="155">
        <v>14</v>
      </c>
      <c r="G206" s="155" t="s">
        <v>189</v>
      </c>
      <c r="H206" s="162">
        <v>92500</v>
      </c>
      <c r="I206" s="155">
        <v>16</v>
      </c>
      <c r="K206" s="155" t="s">
        <v>189</v>
      </c>
      <c r="L206" s="162">
        <v>97054</v>
      </c>
      <c r="M206" s="155">
        <v>16</v>
      </c>
      <c r="O206" s="155" t="s">
        <v>189</v>
      </c>
      <c r="P206" s="162">
        <v>101193</v>
      </c>
      <c r="Q206" s="155">
        <v>16</v>
      </c>
      <c r="S206" s="155" t="s">
        <v>189</v>
      </c>
      <c r="T206" s="162">
        <v>104896</v>
      </c>
      <c r="U206" s="155">
        <v>18</v>
      </c>
      <c r="W206" s="155" t="s">
        <v>189</v>
      </c>
      <c r="X206" s="162">
        <v>111578</v>
      </c>
      <c r="Y206" s="155">
        <v>18</v>
      </c>
      <c r="AA206" s="155" t="s">
        <v>189</v>
      </c>
      <c r="AB206" s="162">
        <v>113351</v>
      </c>
      <c r="AC206" s="155">
        <v>23</v>
      </c>
      <c r="AD206" s="155">
        <v>23</v>
      </c>
      <c r="AE206" s="155" t="s">
        <v>189</v>
      </c>
      <c r="AF206" s="160">
        <v>113847</v>
      </c>
      <c r="AH206" s="155" t="s">
        <v>189</v>
      </c>
      <c r="AI206" s="155">
        <v>552.6</v>
      </c>
      <c r="AN206" s="155" t="s">
        <v>189</v>
      </c>
      <c r="AO206" s="162">
        <v>789.97222222222217</v>
      </c>
      <c r="AP206" s="155">
        <v>35</v>
      </c>
      <c r="AR206" s="155" t="s">
        <v>189</v>
      </c>
      <c r="AS206" s="162">
        <v>688.61290322580646</v>
      </c>
      <c r="AT206" s="155">
        <v>38</v>
      </c>
      <c r="AV206" s="155" t="s">
        <v>189</v>
      </c>
      <c r="AW206" s="162">
        <v>645.88461538461536</v>
      </c>
      <c r="AX206" s="155">
        <v>39</v>
      </c>
      <c r="AZ206" s="155" t="s">
        <v>189</v>
      </c>
      <c r="BA206" s="162">
        <v>602.57142857142856</v>
      </c>
      <c r="BB206" s="155">
        <v>42</v>
      </c>
      <c r="BD206" s="155" t="s">
        <v>189</v>
      </c>
      <c r="BE206" s="162">
        <v>559.4375</v>
      </c>
      <c r="BF206" s="155">
        <v>47</v>
      </c>
      <c r="BH206" s="155" t="s">
        <v>189</v>
      </c>
      <c r="BI206" s="162">
        <v>206.27272727272728</v>
      </c>
      <c r="BJ206" s="155">
        <v>67</v>
      </c>
      <c r="BL206" s="155" t="s">
        <v>189</v>
      </c>
      <c r="BM206" s="162">
        <v>82.666666666666671</v>
      </c>
      <c r="BN206" s="155">
        <v>73</v>
      </c>
      <c r="BP206" s="155" t="s">
        <v>189</v>
      </c>
      <c r="BQ206" s="162">
        <v>28439</v>
      </c>
      <c r="BR206" s="155">
        <v>35</v>
      </c>
      <c r="BT206" s="155" t="s">
        <v>189</v>
      </c>
      <c r="BU206" s="162">
        <v>21347</v>
      </c>
      <c r="BV206" s="155">
        <v>38</v>
      </c>
      <c r="BX206" s="155" t="s">
        <v>189</v>
      </c>
      <c r="BY206" s="162">
        <v>16793</v>
      </c>
      <c r="BZ206" s="155">
        <v>39</v>
      </c>
      <c r="CB206" s="155" t="s">
        <v>189</v>
      </c>
      <c r="CC206" s="162">
        <v>12654</v>
      </c>
      <c r="CD206" s="155">
        <v>42</v>
      </c>
      <c r="CF206" s="155" t="s">
        <v>189</v>
      </c>
      <c r="CG206" s="162">
        <v>8951</v>
      </c>
      <c r="CH206" s="155">
        <v>47</v>
      </c>
      <c r="CJ206" s="155" t="s">
        <v>189</v>
      </c>
      <c r="CK206" s="162">
        <v>2269</v>
      </c>
      <c r="CL206" s="155">
        <v>69</v>
      </c>
      <c r="CN206" s="155" t="s">
        <v>189</v>
      </c>
      <c r="CO206" s="162">
        <v>496</v>
      </c>
      <c r="CP206" s="155">
        <v>76</v>
      </c>
    </row>
    <row r="207" spans="1:94" x14ac:dyDescent="0.2">
      <c r="A207" s="155" t="s">
        <v>299</v>
      </c>
      <c r="C207" s="155" t="s">
        <v>190</v>
      </c>
      <c r="D207" s="162">
        <v>49524</v>
      </c>
      <c r="E207" s="155">
        <v>36</v>
      </c>
      <c r="G207" s="155" t="s">
        <v>190</v>
      </c>
      <c r="H207" s="162">
        <v>55500</v>
      </c>
      <c r="I207" s="155">
        <v>34</v>
      </c>
      <c r="K207" s="155" t="s">
        <v>190</v>
      </c>
      <c r="L207" s="162">
        <v>58657</v>
      </c>
      <c r="M207" s="155">
        <v>34</v>
      </c>
      <c r="O207" s="155" t="s">
        <v>190</v>
      </c>
      <c r="P207" s="162">
        <v>59848</v>
      </c>
      <c r="Q207" s="155">
        <v>34</v>
      </c>
      <c r="S207" s="155" t="s">
        <v>190</v>
      </c>
      <c r="T207" s="162">
        <v>59502</v>
      </c>
      <c r="U207" s="155">
        <v>34</v>
      </c>
      <c r="W207" s="155" t="s">
        <v>190</v>
      </c>
      <c r="X207" s="162">
        <v>61825</v>
      </c>
      <c r="Y207" s="155">
        <v>35</v>
      </c>
      <c r="AA207" s="155" t="s">
        <v>190</v>
      </c>
      <c r="AB207" s="162">
        <v>65812</v>
      </c>
      <c r="AC207" s="155">
        <v>36</v>
      </c>
      <c r="AD207" s="155">
        <v>37</v>
      </c>
      <c r="AE207" s="155" t="s">
        <v>190</v>
      </c>
      <c r="AF207" s="160">
        <v>67310</v>
      </c>
      <c r="AH207" s="155" t="s">
        <v>190</v>
      </c>
      <c r="AI207" s="155">
        <v>757.2</v>
      </c>
      <c r="AN207" s="155" t="s">
        <v>190</v>
      </c>
      <c r="AO207" s="162">
        <v>494.05555555555554</v>
      </c>
      <c r="AP207" s="155">
        <v>49</v>
      </c>
      <c r="AR207" s="155" t="s">
        <v>190</v>
      </c>
      <c r="AS207" s="162">
        <v>380.96774193548384</v>
      </c>
      <c r="AT207" s="155">
        <v>57</v>
      </c>
      <c r="AV207" s="155" t="s">
        <v>190</v>
      </c>
      <c r="AW207" s="162">
        <v>332.80769230769232</v>
      </c>
      <c r="AX207" s="155">
        <v>59</v>
      </c>
      <c r="AZ207" s="155" t="s">
        <v>190</v>
      </c>
      <c r="BA207" s="162">
        <v>355.33333333333331</v>
      </c>
      <c r="BB207" s="155">
        <v>59</v>
      </c>
      <c r="BD207" s="155" t="s">
        <v>190</v>
      </c>
      <c r="BE207" s="162">
        <v>488</v>
      </c>
      <c r="BF207" s="155">
        <v>52</v>
      </c>
      <c r="BH207" s="155" t="s">
        <v>190</v>
      </c>
      <c r="BI207" s="162">
        <v>498.63636363636363</v>
      </c>
      <c r="BJ207" s="155">
        <v>48</v>
      </c>
      <c r="BL207" s="155" t="s">
        <v>190</v>
      </c>
      <c r="BM207" s="162">
        <v>249.66666666666666</v>
      </c>
      <c r="BN207" s="155">
        <v>51</v>
      </c>
      <c r="BP207" s="155" t="s">
        <v>190</v>
      </c>
      <c r="BQ207" s="162">
        <v>17786</v>
      </c>
      <c r="BR207" s="155">
        <v>49</v>
      </c>
      <c r="BT207" s="155" t="s">
        <v>190</v>
      </c>
      <c r="BU207" s="162">
        <v>11810</v>
      </c>
      <c r="BV207" s="155">
        <v>57</v>
      </c>
      <c r="BX207" s="155" t="s">
        <v>190</v>
      </c>
      <c r="BY207" s="162">
        <v>8653</v>
      </c>
      <c r="BZ207" s="155">
        <v>59</v>
      </c>
      <c r="CB207" s="155" t="s">
        <v>190</v>
      </c>
      <c r="CC207" s="162">
        <v>7462</v>
      </c>
      <c r="CD207" s="155">
        <v>61</v>
      </c>
      <c r="CF207" s="155" t="s">
        <v>190</v>
      </c>
      <c r="CG207" s="162">
        <v>7808</v>
      </c>
      <c r="CH207" s="155">
        <v>53</v>
      </c>
      <c r="CJ207" s="155" t="s">
        <v>190</v>
      </c>
      <c r="CK207" s="162">
        <v>5485</v>
      </c>
      <c r="CL207" s="155">
        <v>49</v>
      </c>
      <c r="CN207" s="155" t="s">
        <v>190</v>
      </c>
      <c r="CO207" s="162">
        <v>1498</v>
      </c>
      <c r="CP207" s="155">
        <v>52</v>
      </c>
    </row>
    <row r="208" spans="1:94" x14ac:dyDescent="0.2">
      <c r="A208" s="155" t="s">
        <v>300</v>
      </c>
      <c r="C208" s="155" t="s">
        <v>191</v>
      </c>
      <c r="D208" s="162">
        <v>57486</v>
      </c>
      <c r="E208" s="155">
        <v>28</v>
      </c>
      <c r="G208" s="155" t="s">
        <v>191</v>
      </c>
      <c r="H208" s="162">
        <v>60100</v>
      </c>
      <c r="I208" s="155">
        <v>30</v>
      </c>
      <c r="K208" s="155" t="s">
        <v>191</v>
      </c>
      <c r="L208" s="162">
        <v>63132</v>
      </c>
      <c r="M208" s="155">
        <v>30</v>
      </c>
      <c r="O208" s="155" t="s">
        <v>191</v>
      </c>
      <c r="P208" s="162">
        <v>64380</v>
      </c>
      <c r="Q208" s="155">
        <v>31</v>
      </c>
      <c r="S208" s="155" t="s">
        <v>191</v>
      </c>
      <c r="T208" s="162">
        <v>66238</v>
      </c>
      <c r="U208" s="155">
        <v>32</v>
      </c>
      <c r="W208" s="155" t="s">
        <v>191</v>
      </c>
      <c r="X208" s="162">
        <v>69546</v>
      </c>
      <c r="Y208" s="155">
        <v>32</v>
      </c>
      <c r="AA208" s="155" t="s">
        <v>191</v>
      </c>
      <c r="AB208" s="162">
        <v>73932</v>
      </c>
      <c r="AC208" s="155">
        <v>33</v>
      </c>
      <c r="AD208" s="155">
        <v>34</v>
      </c>
      <c r="AE208" s="155" t="s">
        <v>191</v>
      </c>
      <c r="AF208" s="160">
        <v>76624</v>
      </c>
      <c r="AH208" s="155" t="s">
        <v>191</v>
      </c>
      <c r="AI208" s="155">
        <v>371.1</v>
      </c>
      <c r="AN208" s="155" t="s">
        <v>191</v>
      </c>
      <c r="AO208" s="162">
        <v>531.61111111111109</v>
      </c>
      <c r="AP208" s="155">
        <v>47</v>
      </c>
      <c r="AR208" s="155" t="s">
        <v>191</v>
      </c>
      <c r="AS208" s="162">
        <v>533.0322580645161</v>
      </c>
      <c r="AT208" s="155">
        <v>45</v>
      </c>
      <c r="AV208" s="155" t="s">
        <v>191</v>
      </c>
      <c r="AW208" s="162">
        <v>518.92307692307691</v>
      </c>
      <c r="AX208" s="155">
        <v>43</v>
      </c>
      <c r="AZ208" s="155" t="s">
        <v>191</v>
      </c>
      <c r="BA208" s="162">
        <v>583.04761904761904</v>
      </c>
      <c r="BB208" s="155">
        <v>44</v>
      </c>
      <c r="BD208" s="155" t="s">
        <v>191</v>
      </c>
      <c r="BE208" s="162">
        <v>649.125</v>
      </c>
      <c r="BF208" s="155">
        <v>43</v>
      </c>
      <c r="BH208" s="155" t="s">
        <v>191</v>
      </c>
      <c r="BI208" s="162">
        <v>643.4545454545455</v>
      </c>
      <c r="BJ208" s="155">
        <v>40</v>
      </c>
      <c r="BL208" s="155" t="s">
        <v>191</v>
      </c>
      <c r="BM208" s="162">
        <v>448.66666666666669</v>
      </c>
      <c r="BN208" s="155">
        <v>41</v>
      </c>
      <c r="BP208" s="155" t="s">
        <v>191</v>
      </c>
      <c r="BQ208" s="162">
        <v>19138</v>
      </c>
      <c r="BR208" s="155">
        <v>47</v>
      </c>
      <c r="BT208" s="155" t="s">
        <v>191</v>
      </c>
      <c r="BU208" s="162">
        <v>16524</v>
      </c>
      <c r="BV208" s="155">
        <v>45</v>
      </c>
      <c r="BX208" s="155" t="s">
        <v>191</v>
      </c>
      <c r="BY208" s="162">
        <v>13492</v>
      </c>
      <c r="BZ208" s="155">
        <v>43</v>
      </c>
      <c r="CB208" s="155" t="s">
        <v>191</v>
      </c>
      <c r="CC208" s="162">
        <v>12244</v>
      </c>
      <c r="CD208" s="155">
        <v>44</v>
      </c>
      <c r="CF208" s="155" t="s">
        <v>191</v>
      </c>
      <c r="CG208" s="162">
        <v>10386</v>
      </c>
      <c r="CH208" s="155">
        <v>43</v>
      </c>
      <c r="CJ208" s="155" t="s">
        <v>191</v>
      </c>
      <c r="CK208" s="162">
        <v>7078</v>
      </c>
      <c r="CL208" s="155">
        <v>40</v>
      </c>
      <c r="CN208" s="155" t="s">
        <v>191</v>
      </c>
      <c r="CO208" s="162">
        <v>2692</v>
      </c>
      <c r="CP208" s="155">
        <v>41</v>
      </c>
    </row>
    <row r="209" spans="1:94" x14ac:dyDescent="0.2">
      <c r="A209" s="155" t="s">
        <v>301</v>
      </c>
      <c r="C209" s="155" t="s">
        <v>192</v>
      </c>
      <c r="D209" s="162">
        <v>24599</v>
      </c>
      <c r="E209" s="155">
        <v>60</v>
      </c>
      <c r="G209" s="155" t="s">
        <v>192</v>
      </c>
      <c r="H209" s="162">
        <v>27200</v>
      </c>
      <c r="I209" s="155">
        <v>62</v>
      </c>
      <c r="K209" s="155" t="s">
        <v>192</v>
      </c>
      <c r="L209" s="162">
        <v>28439</v>
      </c>
      <c r="M209" s="155">
        <v>62</v>
      </c>
      <c r="O209" s="155" t="s">
        <v>192</v>
      </c>
      <c r="P209" s="162">
        <v>29352</v>
      </c>
      <c r="Q209" s="155">
        <v>62</v>
      </c>
      <c r="S209" s="155" t="s">
        <v>192</v>
      </c>
      <c r="T209" s="162">
        <v>30576</v>
      </c>
      <c r="U209" s="155">
        <v>60</v>
      </c>
      <c r="W209" s="155" t="s">
        <v>192</v>
      </c>
      <c r="X209" s="162">
        <v>33555</v>
      </c>
      <c r="Y209" s="155">
        <v>60</v>
      </c>
      <c r="AA209" s="155" t="s">
        <v>192</v>
      </c>
      <c r="AB209" s="162">
        <v>36515</v>
      </c>
      <c r="AC209" s="155">
        <v>59</v>
      </c>
      <c r="AD209" s="155">
        <v>62</v>
      </c>
      <c r="AE209" s="155" t="s">
        <v>192</v>
      </c>
      <c r="AF209" s="160">
        <v>38056</v>
      </c>
      <c r="AH209" s="155" t="s">
        <v>192</v>
      </c>
      <c r="AI209" s="155">
        <v>335.6</v>
      </c>
      <c r="AN209" s="155" t="s">
        <v>192</v>
      </c>
      <c r="AO209" s="162">
        <v>373.80555555555554</v>
      </c>
      <c r="AP209" s="155">
        <v>58</v>
      </c>
      <c r="AR209" s="155" t="s">
        <v>192</v>
      </c>
      <c r="AS209" s="162">
        <v>350.19354838709677</v>
      </c>
      <c r="AT209" s="155">
        <v>59</v>
      </c>
      <c r="AV209" s="155" t="s">
        <v>192</v>
      </c>
      <c r="AW209" s="162">
        <v>369.88461538461536</v>
      </c>
      <c r="AX209" s="155">
        <v>57</v>
      </c>
      <c r="AZ209" s="155" t="s">
        <v>192</v>
      </c>
      <c r="BA209" s="162">
        <v>414.47619047619048</v>
      </c>
      <c r="BB209" s="155">
        <v>54</v>
      </c>
      <c r="BD209" s="155" t="s">
        <v>192</v>
      </c>
      <c r="BE209" s="162">
        <v>467.5</v>
      </c>
      <c r="BF209" s="155">
        <v>53</v>
      </c>
      <c r="BH209" s="155" t="s">
        <v>192</v>
      </c>
      <c r="BI209" s="162">
        <v>409.18181818181819</v>
      </c>
      <c r="BJ209" s="155">
        <v>53</v>
      </c>
      <c r="BL209" s="155" t="s">
        <v>192</v>
      </c>
      <c r="BM209" s="162">
        <v>256.83333333333331</v>
      </c>
      <c r="BN209" s="155">
        <v>50</v>
      </c>
      <c r="BP209" s="155" t="s">
        <v>192</v>
      </c>
      <c r="BQ209" s="162">
        <v>13457</v>
      </c>
      <c r="BR209" s="155">
        <v>58</v>
      </c>
      <c r="BT209" s="155" t="s">
        <v>192</v>
      </c>
      <c r="BU209" s="162">
        <v>10856</v>
      </c>
      <c r="BV209" s="155">
        <v>59</v>
      </c>
      <c r="BX209" s="155" t="s">
        <v>192</v>
      </c>
      <c r="BY209" s="162">
        <v>9617</v>
      </c>
      <c r="BZ209" s="155">
        <v>58</v>
      </c>
      <c r="CB209" s="155" t="s">
        <v>192</v>
      </c>
      <c r="CC209" s="162">
        <v>8704</v>
      </c>
      <c r="CD209" s="155">
        <v>55</v>
      </c>
      <c r="CF209" s="155" t="s">
        <v>192</v>
      </c>
      <c r="CG209" s="162">
        <v>7480</v>
      </c>
      <c r="CH209" s="155">
        <v>55</v>
      </c>
      <c r="CJ209" s="155" t="s">
        <v>192</v>
      </c>
      <c r="CK209" s="162">
        <v>4501</v>
      </c>
      <c r="CL209" s="155">
        <v>55</v>
      </c>
      <c r="CN209" s="155" t="s">
        <v>192</v>
      </c>
      <c r="CO209" s="162">
        <v>1541</v>
      </c>
      <c r="CP209" s="155">
        <v>51</v>
      </c>
    </row>
    <row r="210" spans="1:94" x14ac:dyDescent="0.2">
      <c r="A210" s="155" t="s">
        <v>302</v>
      </c>
      <c r="C210" s="155" t="s">
        <v>193</v>
      </c>
      <c r="D210" s="162">
        <v>12629</v>
      </c>
      <c r="E210" s="155">
        <v>85</v>
      </c>
      <c r="G210" s="155" t="s">
        <v>193</v>
      </c>
      <c r="H210" s="162">
        <v>14100</v>
      </c>
      <c r="I210" s="155">
        <v>85</v>
      </c>
      <c r="K210" s="155" t="s">
        <v>193</v>
      </c>
      <c r="L210" s="162">
        <v>14934</v>
      </c>
      <c r="M210" s="155">
        <v>82</v>
      </c>
      <c r="O210" s="155" t="s">
        <v>193</v>
      </c>
      <c r="P210" s="162">
        <v>15351</v>
      </c>
      <c r="Q210" s="155">
        <v>83</v>
      </c>
      <c r="S210" s="155" t="s">
        <v>193</v>
      </c>
      <c r="T210" s="162">
        <v>15459</v>
      </c>
      <c r="U210" s="155">
        <v>82</v>
      </c>
      <c r="W210" s="155" t="s">
        <v>193</v>
      </c>
      <c r="X210" s="162">
        <v>16574</v>
      </c>
      <c r="Y210" s="155">
        <v>83</v>
      </c>
      <c r="AA210" s="155" t="s">
        <v>193</v>
      </c>
      <c r="AB210" s="162">
        <v>17809</v>
      </c>
      <c r="AC210" s="155">
        <v>85</v>
      </c>
      <c r="AD210" s="155">
        <v>85</v>
      </c>
      <c r="AE210" s="155" t="s">
        <v>193</v>
      </c>
      <c r="AF210" s="160">
        <v>18421</v>
      </c>
      <c r="AH210" s="155" t="s">
        <v>193</v>
      </c>
      <c r="AI210" s="155">
        <v>312.39999999999998</v>
      </c>
      <c r="AN210" s="155" t="s">
        <v>193</v>
      </c>
      <c r="AO210" s="162">
        <v>160.88888888888889</v>
      </c>
      <c r="AP210" s="155">
        <v>73</v>
      </c>
      <c r="AR210" s="155" t="s">
        <v>193</v>
      </c>
      <c r="AS210" s="162">
        <v>139.38709677419354</v>
      </c>
      <c r="AT210" s="155">
        <v>73</v>
      </c>
      <c r="AV210" s="155" t="s">
        <v>193</v>
      </c>
      <c r="AW210" s="162">
        <v>134.11538461538461</v>
      </c>
      <c r="AX210" s="155">
        <v>71</v>
      </c>
      <c r="AZ210" s="155" t="s">
        <v>193</v>
      </c>
      <c r="BA210" s="162">
        <v>146.1904761904762</v>
      </c>
      <c r="BB210" s="155">
        <v>73</v>
      </c>
      <c r="BD210" s="155" t="s">
        <v>193</v>
      </c>
      <c r="BE210" s="162">
        <v>185.125</v>
      </c>
      <c r="BF210" s="155">
        <v>73</v>
      </c>
      <c r="BH210" s="155" t="s">
        <v>193</v>
      </c>
      <c r="BI210" s="162">
        <v>167.90909090909091</v>
      </c>
      <c r="BJ210" s="155">
        <v>75</v>
      </c>
      <c r="BL210" s="155" t="s">
        <v>193</v>
      </c>
      <c r="BM210" s="162">
        <v>102</v>
      </c>
      <c r="BN210" s="155">
        <v>70</v>
      </c>
      <c r="BP210" s="155" t="s">
        <v>193</v>
      </c>
      <c r="BQ210" s="162">
        <v>5792</v>
      </c>
      <c r="BR210" s="155">
        <v>73</v>
      </c>
      <c r="BT210" s="155" t="s">
        <v>193</v>
      </c>
      <c r="BU210" s="162">
        <v>4321</v>
      </c>
      <c r="BV210" s="155">
        <v>73</v>
      </c>
      <c r="BX210" s="155" t="s">
        <v>193</v>
      </c>
      <c r="BY210" s="162">
        <v>3487</v>
      </c>
      <c r="BZ210" s="155">
        <v>72</v>
      </c>
      <c r="CB210" s="155" t="s">
        <v>193</v>
      </c>
      <c r="CC210" s="162">
        <v>3070</v>
      </c>
      <c r="CD210" s="155">
        <v>74</v>
      </c>
      <c r="CF210" s="155" t="s">
        <v>193</v>
      </c>
      <c r="CG210" s="162">
        <v>2962</v>
      </c>
      <c r="CH210" s="155">
        <v>74</v>
      </c>
      <c r="CJ210" s="155" t="s">
        <v>193</v>
      </c>
      <c r="CK210" s="162">
        <v>1847</v>
      </c>
      <c r="CL210" s="155">
        <v>77</v>
      </c>
      <c r="CN210" s="155" t="s">
        <v>193</v>
      </c>
      <c r="CO210" s="162">
        <v>612</v>
      </c>
      <c r="CP210" s="155">
        <v>73</v>
      </c>
    </row>
    <row r="212" spans="1:94" x14ac:dyDescent="0.2">
      <c r="B212" s="155" t="s">
        <v>93</v>
      </c>
      <c r="C212" s="155" t="s">
        <v>93</v>
      </c>
      <c r="D212" s="155" t="e">
        <f>VLOOKUP(#REF!,'CENSUS DATA'!B212:C312,2,FALSE)</f>
        <v>#REF!</v>
      </c>
      <c r="G212" s="155" t="e">
        <f>#REF!-1968</f>
        <v>#REF!</v>
      </c>
      <c r="H212" s="155" t="e">
        <f>VLOOKUP(#REF!,'CENSUS DATA'!A3:AJ103,'CENSUS DATA'!G212,FALSE)</f>
        <v>#REF!</v>
      </c>
      <c r="I212" s="155" t="e">
        <f>#REF!</f>
        <v>#REF!</v>
      </c>
      <c r="J212" s="155" t="e">
        <f>H212</f>
        <v>#REF!</v>
      </c>
      <c r="K212" s="155" t="e">
        <f>H212*0.1</f>
        <v>#REF!</v>
      </c>
      <c r="L212" s="155" t="e">
        <f>J212*0.9</f>
        <v>#REF!</v>
      </c>
      <c r="AI212" s="160" t="e">
        <f>TEXT(VLOOKUP(D212,'CENSUS DATA'!AH110:AI210,2,FALSE),"###,###")</f>
        <v>#REF!</v>
      </c>
      <c r="AJ212" s="160"/>
      <c r="AK212" s="160"/>
    </row>
    <row r="213" spans="1:94" x14ac:dyDescent="0.2">
      <c r="B213" s="155" t="s">
        <v>203</v>
      </c>
      <c r="C213" s="155" t="s">
        <v>94</v>
      </c>
      <c r="H213" s="155" t="e">
        <f>VLOOKUP(#REF!,'CENSUS DATA'!A3:AJ103,36,FALSE)</f>
        <v>#REF!</v>
      </c>
      <c r="I213" s="155">
        <v>2004</v>
      </c>
      <c r="J213" s="155" t="e">
        <f>#REF!</f>
        <v>#REF!</v>
      </c>
      <c r="K213" s="155" t="e">
        <f>J213*0.1</f>
        <v>#REF!</v>
      </c>
      <c r="L213" s="155" t="e">
        <f>J213*1.1</f>
        <v>#REF!</v>
      </c>
      <c r="AI213" s="163" t="e">
        <f>TEXT(VLOOKUP(D212,'CENSUS DATA'!AE110:AF210,2,FALSE),"###,###")</f>
        <v>#REF!</v>
      </c>
      <c r="AJ213" s="163"/>
      <c r="AK213" s="163"/>
    </row>
    <row r="214" spans="1:94" x14ac:dyDescent="0.2">
      <c r="B214" s="155" t="s">
        <v>204</v>
      </c>
      <c r="C214" s="155" t="s">
        <v>95</v>
      </c>
      <c r="L214" s="155" t="e">
        <f>L212/1000</f>
        <v>#REF!</v>
      </c>
      <c r="M214" s="155" t="e">
        <f>ROUND(L214,0)</f>
        <v>#REF!</v>
      </c>
      <c r="N214" s="155" t="e">
        <f>M214*1000</f>
        <v>#REF!</v>
      </c>
      <c r="AI214" s="160" t="e">
        <f>TEXT(ROUND((AI213/AI212),0),"###,###")</f>
        <v>#REF!</v>
      </c>
      <c r="AJ214" s="160"/>
      <c r="AK214" s="160"/>
    </row>
    <row r="215" spans="1:94" x14ac:dyDescent="0.2">
      <c r="B215" s="155" t="s">
        <v>205</v>
      </c>
      <c r="C215" s="155" t="s">
        <v>96</v>
      </c>
      <c r="H215" s="159" t="e">
        <f>(H213/H212)^(1/(I213-I212))-1</f>
        <v>#REF!</v>
      </c>
      <c r="I215" s="159" t="e">
        <f>(H213-H212)/H212</f>
        <v>#REF!</v>
      </c>
      <c r="L215" s="155" t="e">
        <f>L213/1000</f>
        <v>#REF!</v>
      </c>
      <c r="M215" s="155" t="e">
        <f>ROUND(L215,0)</f>
        <v>#REF!</v>
      </c>
      <c r="N215" s="155" t="e">
        <f>M215*1000</f>
        <v>#REF!</v>
      </c>
    </row>
    <row r="216" spans="1:94" x14ac:dyDescent="0.2">
      <c r="B216" s="155" t="s">
        <v>206</v>
      </c>
      <c r="C216" s="155" t="s">
        <v>97</v>
      </c>
      <c r="H216" s="155" t="e">
        <f>(H213-H212)/(I213-I212)</f>
        <v>#REF!</v>
      </c>
      <c r="I216" s="155" t="e">
        <f>H213-H212</f>
        <v>#REF!</v>
      </c>
    </row>
    <row r="217" spans="1:94" ht="12.75" x14ac:dyDescent="0.2">
      <c r="B217" s="155" t="s">
        <v>207</v>
      </c>
      <c r="C217" s="155" t="s">
        <v>98</v>
      </c>
      <c r="H217" s="164" t="e">
        <f>IF(#REF!="Annualized",'CENSUS DATA'!$H$215,'CENSUS DATA'!$I$215)</f>
        <v>#REF!</v>
      </c>
      <c r="I217" s="165" t="e">
        <f>IF(#REF!="Annualized",'CENSUS DATA'!$H$216,'CENSUS DATA'!$I$216)</f>
        <v>#REF!</v>
      </c>
      <c r="J217" s="166"/>
      <c r="K217" s="166"/>
    </row>
    <row r="218" spans="1:94" x14ac:dyDescent="0.2">
      <c r="B218" s="155" t="s">
        <v>208</v>
      </c>
      <c r="C218" s="155" t="s">
        <v>99</v>
      </c>
      <c r="H218" s="167" t="e">
        <f>TEXT(H217,"0.0%")</f>
        <v>#REF!</v>
      </c>
      <c r="I218" s="167" t="e">
        <f>TEXT(I217,"#,###")</f>
        <v>#REF!</v>
      </c>
      <c r="J218" s="155">
        <v>1983</v>
      </c>
    </row>
    <row r="219" spans="1:94" x14ac:dyDescent="0.2">
      <c r="B219" s="155" t="s">
        <v>209</v>
      </c>
      <c r="C219" s="155" t="s">
        <v>100</v>
      </c>
    </row>
    <row r="220" spans="1:94" x14ac:dyDescent="0.2">
      <c r="B220" s="155" t="s">
        <v>210</v>
      </c>
      <c r="C220" s="155" t="s">
        <v>101</v>
      </c>
    </row>
    <row r="221" spans="1:94" x14ac:dyDescent="0.2">
      <c r="B221" s="155" t="s">
        <v>211</v>
      </c>
      <c r="C221" s="155" t="s">
        <v>102</v>
      </c>
    </row>
    <row r="222" spans="1:94" x14ac:dyDescent="0.2">
      <c r="B222" s="155" t="s">
        <v>212</v>
      </c>
      <c r="C222" s="155" t="s">
        <v>103</v>
      </c>
    </row>
    <row r="223" spans="1:94" x14ac:dyDescent="0.2">
      <c r="B223" s="155" t="s">
        <v>213</v>
      </c>
      <c r="C223" s="155" t="s">
        <v>104</v>
      </c>
    </row>
    <row r="224" spans="1:94" x14ac:dyDescent="0.2">
      <c r="B224" s="155" t="s">
        <v>214</v>
      </c>
      <c r="C224" s="155" t="s">
        <v>105</v>
      </c>
    </row>
    <row r="225" spans="2:3" x14ac:dyDescent="0.2">
      <c r="B225" s="155" t="s">
        <v>215</v>
      </c>
      <c r="C225" s="155" t="s">
        <v>106</v>
      </c>
    </row>
    <row r="226" spans="2:3" x14ac:dyDescent="0.2">
      <c r="B226" s="155" t="s">
        <v>216</v>
      </c>
      <c r="C226" s="155" t="s">
        <v>107</v>
      </c>
    </row>
    <row r="227" spans="2:3" x14ac:dyDescent="0.2">
      <c r="B227" s="155" t="s">
        <v>217</v>
      </c>
      <c r="C227" s="155" t="s">
        <v>108</v>
      </c>
    </row>
    <row r="228" spans="2:3" x14ac:dyDescent="0.2">
      <c r="B228" s="155" t="s">
        <v>218</v>
      </c>
      <c r="C228" s="155" t="s">
        <v>109</v>
      </c>
    </row>
    <row r="229" spans="2:3" x14ac:dyDescent="0.2">
      <c r="B229" s="155" t="s">
        <v>219</v>
      </c>
      <c r="C229" s="155" t="s">
        <v>110</v>
      </c>
    </row>
    <row r="230" spans="2:3" x14ac:dyDescent="0.2">
      <c r="B230" s="155" t="s">
        <v>220</v>
      </c>
      <c r="C230" s="155" t="s">
        <v>111</v>
      </c>
    </row>
    <row r="231" spans="2:3" x14ac:dyDescent="0.2">
      <c r="B231" s="155" t="s">
        <v>221</v>
      </c>
      <c r="C231" s="155" t="s">
        <v>112</v>
      </c>
    </row>
    <row r="232" spans="2:3" x14ac:dyDescent="0.2">
      <c r="B232" s="155" t="s">
        <v>222</v>
      </c>
      <c r="C232" s="155" t="s">
        <v>113</v>
      </c>
    </row>
    <row r="233" spans="2:3" x14ac:dyDescent="0.2">
      <c r="B233" s="155" t="s">
        <v>223</v>
      </c>
      <c r="C233" s="155" t="s">
        <v>114</v>
      </c>
    </row>
    <row r="234" spans="2:3" x14ac:dyDescent="0.2">
      <c r="B234" s="155" t="s">
        <v>224</v>
      </c>
      <c r="C234" s="155" t="s">
        <v>115</v>
      </c>
    </row>
    <row r="235" spans="2:3" x14ac:dyDescent="0.2">
      <c r="B235" s="155" t="s">
        <v>225</v>
      </c>
      <c r="C235" s="155" t="s">
        <v>116</v>
      </c>
    </row>
    <row r="236" spans="2:3" x14ac:dyDescent="0.2">
      <c r="B236" s="155" t="s">
        <v>226</v>
      </c>
      <c r="C236" s="155" t="s">
        <v>117</v>
      </c>
    </row>
    <row r="237" spans="2:3" x14ac:dyDescent="0.2">
      <c r="B237" s="155" t="s">
        <v>227</v>
      </c>
      <c r="C237" s="155" t="s">
        <v>118</v>
      </c>
    </row>
    <row r="238" spans="2:3" x14ac:dyDescent="0.2">
      <c r="B238" s="155" t="s">
        <v>228</v>
      </c>
      <c r="C238" s="155" t="s">
        <v>119</v>
      </c>
    </row>
    <row r="239" spans="2:3" x14ac:dyDescent="0.2">
      <c r="B239" s="155" t="s">
        <v>229</v>
      </c>
      <c r="C239" s="155" t="s">
        <v>120</v>
      </c>
    </row>
    <row r="240" spans="2:3" x14ac:dyDescent="0.2">
      <c r="B240" s="155" t="s">
        <v>230</v>
      </c>
      <c r="C240" s="155" t="s">
        <v>121</v>
      </c>
    </row>
    <row r="241" spans="2:3" x14ac:dyDescent="0.2">
      <c r="B241" s="155" t="s">
        <v>231</v>
      </c>
      <c r="C241" s="155" t="s">
        <v>122</v>
      </c>
    </row>
    <row r="242" spans="2:3" x14ac:dyDescent="0.2">
      <c r="B242" s="155" t="s">
        <v>232</v>
      </c>
      <c r="C242" s="155" t="s">
        <v>123</v>
      </c>
    </row>
    <row r="243" spans="2:3" x14ac:dyDescent="0.2">
      <c r="B243" s="155" t="s">
        <v>233</v>
      </c>
      <c r="C243" s="155" t="s">
        <v>124</v>
      </c>
    </row>
    <row r="244" spans="2:3" x14ac:dyDescent="0.2">
      <c r="B244" s="155" t="s">
        <v>234</v>
      </c>
      <c r="C244" s="155" t="s">
        <v>125</v>
      </c>
    </row>
    <row r="245" spans="2:3" x14ac:dyDescent="0.2">
      <c r="B245" s="155" t="s">
        <v>235</v>
      </c>
      <c r="C245" s="155" t="s">
        <v>126</v>
      </c>
    </row>
    <row r="246" spans="2:3" x14ac:dyDescent="0.2">
      <c r="B246" s="155" t="s">
        <v>236</v>
      </c>
      <c r="C246" s="155" t="s">
        <v>127</v>
      </c>
    </row>
    <row r="247" spans="2:3" x14ac:dyDescent="0.2">
      <c r="B247" s="155" t="s">
        <v>237</v>
      </c>
      <c r="C247" s="155" t="s">
        <v>128</v>
      </c>
    </row>
    <row r="248" spans="2:3" x14ac:dyDescent="0.2">
      <c r="B248" s="155" t="s">
        <v>238</v>
      </c>
      <c r="C248" s="155" t="s">
        <v>129</v>
      </c>
    </row>
    <row r="249" spans="2:3" x14ac:dyDescent="0.2">
      <c r="B249" s="155" t="s">
        <v>239</v>
      </c>
      <c r="C249" s="155" t="s">
        <v>130</v>
      </c>
    </row>
    <row r="250" spans="2:3" x14ac:dyDescent="0.2">
      <c r="B250" s="155" t="s">
        <v>240</v>
      </c>
      <c r="C250" s="155" t="s">
        <v>131</v>
      </c>
    </row>
    <row r="251" spans="2:3" x14ac:dyDescent="0.2">
      <c r="B251" s="155" t="s">
        <v>241</v>
      </c>
      <c r="C251" s="155" t="s">
        <v>132</v>
      </c>
    </row>
    <row r="252" spans="2:3" x14ac:dyDescent="0.2">
      <c r="B252" s="155" t="s">
        <v>242</v>
      </c>
      <c r="C252" s="155" t="s">
        <v>133</v>
      </c>
    </row>
    <row r="253" spans="2:3" x14ac:dyDescent="0.2">
      <c r="B253" s="155" t="s">
        <v>243</v>
      </c>
      <c r="C253" s="155" t="s">
        <v>134</v>
      </c>
    </row>
    <row r="254" spans="2:3" x14ac:dyDescent="0.2">
      <c r="B254" s="155" t="s">
        <v>244</v>
      </c>
      <c r="C254" s="155" t="s">
        <v>135</v>
      </c>
    </row>
    <row r="255" spans="2:3" x14ac:dyDescent="0.2">
      <c r="B255" s="155" t="s">
        <v>245</v>
      </c>
      <c r="C255" s="155" t="s">
        <v>136</v>
      </c>
    </row>
    <row r="256" spans="2:3" x14ac:dyDescent="0.2">
      <c r="B256" s="155" t="s">
        <v>246</v>
      </c>
      <c r="C256" s="155" t="s">
        <v>137</v>
      </c>
    </row>
    <row r="257" spans="2:3" x14ac:dyDescent="0.2">
      <c r="B257" s="155" t="s">
        <v>247</v>
      </c>
      <c r="C257" s="155" t="s">
        <v>138</v>
      </c>
    </row>
    <row r="258" spans="2:3" x14ac:dyDescent="0.2">
      <c r="B258" s="155" t="s">
        <v>248</v>
      </c>
      <c r="C258" s="155" t="s">
        <v>139</v>
      </c>
    </row>
    <row r="259" spans="2:3" x14ac:dyDescent="0.2">
      <c r="B259" s="155" t="s">
        <v>249</v>
      </c>
      <c r="C259" s="155" t="s">
        <v>140</v>
      </c>
    </row>
    <row r="260" spans="2:3" x14ac:dyDescent="0.2">
      <c r="B260" s="155" t="s">
        <v>250</v>
      </c>
      <c r="C260" s="155" t="s">
        <v>141</v>
      </c>
    </row>
    <row r="261" spans="2:3" x14ac:dyDescent="0.2">
      <c r="B261" s="155" t="s">
        <v>251</v>
      </c>
      <c r="C261" s="155" t="s">
        <v>142</v>
      </c>
    </row>
    <row r="262" spans="2:3" x14ac:dyDescent="0.2">
      <c r="B262" s="155" t="s">
        <v>252</v>
      </c>
      <c r="C262" s="155" t="s">
        <v>143</v>
      </c>
    </row>
    <row r="263" spans="2:3" x14ac:dyDescent="0.2">
      <c r="B263" s="155" t="s">
        <v>253</v>
      </c>
      <c r="C263" s="155" t="s">
        <v>144</v>
      </c>
    </row>
    <row r="264" spans="2:3" x14ac:dyDescent="0.2">
      <c r="B264" s="155" t="s">
        <v>254</v>
      </c>
      <c r="C264" s="155" t="s">
        <v>145</v>
      </c>
    </row>
    <row r="265" spans="2:3" x14ac:dyDescent="0.2">
      <c r="B265" s="155" t="s">
        <v>255</v>
      </c>
      <c r="C265" s="155" t="s">
        <v>146</v>
      </c>
    </row>
    <row r="266" spans="2:3" x14ac:dyDescent="0.2">
      <c r="B266" s="155" t="s">
        <v>256</v>
      </c>
      <c r="C266" s="155" t="s">
        <v>147</v>
      </c>
    </row>
    <row r="267" spans="2:3" x14ac:dyDescent="0.2">
      <c r="B267" s="155" t="s">
        <v>257</v>
      </c>
      <c r="C267" s="155" t="s">
        <v>148</v>
      </c>
    </row>
    <row r="268" spans="2:3" x14ac:dyDescent="0.2">
      <c r="B268" s="155" t="s">
        <v>258</v>
      </c>
      <c r="C268" s="155" t="s">
        <v>149</v>
      </c>
    </row>
    <row r="269" spans="2:3" x14ac:dyDescent="0.2">
      <c r="B269" s="155" t="s">
        <v>259</v>
      </c>
      <c r="C269" s="155" t="s">
        <v>150</v>
      </c>
    </row>
    <row r="270" spans="2:3" x14ac:dyDescent="0.2">
      <c r="B270" s="155" t="s">
        <v>260</v>
      </c>
      <c r="C270" s="155" t="s">
        <v>151</v>
      </c>
    </row>
    <row r="271" spans="2:3" x14ac:dyDescent="0.2">
      <c r="B271" s="155" t="s">
        <v>261</v>
      </c>
      <c r="C271" s="155" t="s">
        <v>152</v>
      </c>
    </row>
    <row r="272" spans="2:3" x14ac:dyDescent="0.2">
      <c r="B272" s="155" t="s">
        <v>262</v>
      </c>
      <c r="C272" s="155" t="s">
        <v>153</v>
      </c>
    </row>
    <row r="273" spans="2:3" x14ac:dyDescent="0.2">
      <c r="B273" s="155" t="s">
        <v>263</v>
      </c>
      <c r="C273" s="155" t="s">
        <v>154</v>
      </c>
    </row>
    <row r="274" spans="2:3" x14ac:dyDescent="0.2">
      <c r="B274" s="155" t="s">
        <v>264</v>
      </c>
      <c r="C274" s="155" t="s">
        <v>155</v>
      </c>
    </row>
    <row r="275" spans="2:3" x14ac:dyDescent="0.2">
      <c r="B275" s="155" t="s">
        <v>265</v>
      </c>
      <c r="C275" s="155" t="s">
        <v>156</v>
      </c>
    </row>
    <row r="276" spans="2:3" x14ac:dyDescent="0.2">
      <c r="B276" s="155" t="s">
        <v>266</v>
      </c>
      <c r="C276" s="155" t="s">
        <v>157</v>
      </c>
    </row>
    <row r="277" spans="2:3" x14ac:dyDescent="0.2">
      <c r="B277" s="155" t="s">
        <v>267</v>
      </c>
      <c r="C277" s="155" t="s">
        <v>158</v>
      </c>
    </row>
    <row r="278" spans="2:3" x14ac:dyDescent="0.2">
      <c r="B278" s="155" t="s">
        <v>268</v>
      </c>
      <c r="C278" s="155" t="s">
        <v>159</v>
      </c>
    </row>
    <row r="279" spans="2:3" x14ac:dyDescent="0.2">
      <c r="B279" s="155" t="s">
        <v>269</v>
      </c>
      <c r="C279" s="155" t="s">
        <v>160</v>
      </c>
    </row>
    <row r="280" spans="2:3" x14ac:dyDescent="0.2">
      <c r="B280" s="155" t="s">
        <v>270</v>
      </c>
      <c r="C280" s="155" t="s">
        <v>161</v>
      </c>
    </row>
    <row r="281" spans="2:3" x14ac:dyDescent="0.2">
      <c r="B281" s="155" t="s">
        <v>271</v>
      </c>
      <c r="C281" s="155" t="s">
        <v>162</v>
      </c>
    </row>
    <row r="282" spans="2:3" x14ac:dyDescent="0.2">
      <c r="B282" s="155" t="s">
        <v>272</v>
      </c>
      <c r="C282" s="155" t="s">
        <v>163</v>
      </c>
    </row>
    <row r="283" spans="2:3" x14ac:dyDescent="0.2">
      <c r="B283" s="155" t="s">
        <v>273</v>
      </c>
      <c r="C283" s="155" t="s">
        <v>164</v>
      </c>
    </row>
    <row r="284" spans="2:3" x14ac:dyDescent="0.2">
      <c r="B284" s="155" t="s">
        <v>274</v>
      </c>
      <c r="C284" s="155" t="s">
        <v>165</v>
      </c>
    </row>
    <row r="285" spans="2:3" x14ac:dyDescent="0.2">
      <c r="B285" s="155" t="s">
        <v>275</v>
      </c>
      <c r="C285" s="155" t="s">
        <v>166</v>
      </c>
    </row>
    <row r="286" spans="2:3" x14ac:dyDescent="0.2">
      <c r="B286" s="155" t="s">
        <v>276</v>
      </c>
      <c r="C286" s="155" t="s">
        <v>167</v>
      </c>
    </row>
    <row r="287" spans="2:3" x14ac:dyDescent="0.2">
      <c r="B287" s="155" t="s">
        <v>277</v>
      </c>
      <c r="C287" s="155" t="s">
        <v>168</v>
      </c>
    </row>
    <row r="288" spans="2:3" x14ac:dyDescent="0.2">
      <c r="B288" s="155" t="s">
        <v>278</v>
      </c>
      <c r="C288" s="155" t="s">
        <v>169</v>
      </c>
    </row>
    <row r="289" spans="2:3" x14ac:dyDescent="0.2">
      <c r="B289" s="155" t="s">
        <v>279</v>
      </c>
      <c r="C289" s="155" t="s">
        <v>170</v>
      </c>
    </row>
    <row r="290" spans="2:3" x14ac:dyDescent="0.2">
      <c r="B290" s="155" t="s">
        <v>280</v>
      </c>
      <c r="C290" s="155" t="s">
        <v>171</v>
      </c>
    </row>
    <row r="291" spans="2:3" x14ac:dyDescent="0.2">
      <c r="B291" s="155" t="s">
        <v>281</v>
      </c>
      <c r="C291" s="155" t="s">
        <v>172</v>
      </c>
    </row>
    <row r="292" spans="2:3" x14ac:dyDescent="0.2">
      <c r="B292" s="155" t="s">
        <v>282</v>
      </c>
      <c r="C292" s="155" t="s">
        <v>173</v>
      </c>
    </row>
    <row r="293" spans="2:3" x14ac:dyDescent="0.2">
      <c r="B293" s="155" t="s">
        <v>283</v>
      </c>
      <c r="C293" s="155" t="s">
        <v>174</v>
      </c>
    </row>
    <row r="294" spans="2:3" x14ac:dyDescent="0.2">
      <c r="B294" s="155" t="s">
        <v>284</v>
      </c>
      <c r="C294" s="155" t="s">
        <v>175</v>
      </c>
    </row>
    <row r="295" spans="2:3" x14ac:dyDescent="0.2">
      <c r="B295" s="155" t="s">
        <v>285</v>
      </c>
      <c r="C295" s="155" t="s">
        <v>176</v>
      </c>
    </row>
    <row r="296" spans="2:3" x14ac:dyDescent="0.2">
      <c r="B296" s="155" t="s">
        <v>286</v>
      </c>
      <c r="C296" s="155" t="s">
        <v>177</v>
      </c>
    </row>
    <row r="297" spans="2:3" x14ac:dyDescent="0.2">
      <c r="B297" s="155" t="s">
        <v>287</v>
      </c>
      <c r="C297" s="155" t="s">
        <v>178</v>
      </c>
    </row>
    <row r="298" spans="2:3" x14ac:dyDescent="0.2">
      <c r="B298" s="155" t="s">
        <v>288</v>
      </c>
      <c r="C298" s="155" t="s">
        <v>179</v>
      </c>
    </row>
    <row r="299" spans="2:3" x14ac:dyDescent="0.2">
      <c r="B299" s="155" t="s">
        <v>289</v>
      </c>
      <c r="C299" s="155" t="s">
        <v>180</v>
      </c>
    </row>
    <row r="300" spans="2:3" x14ac:dyDescent="0.2">
      <c r="B300" s="155" t="s">
        <v>290</v>
      </c>
      <c r="C300" s="155" t="s">
        <v>181</v>
      </c>
    </row>
    <row r="301" spans="2:3" x14ac:dyDescent="0.2">
      <c r="B301" s="155" t="s">
        <v>291</v>
      </c>
      <c r="C301" s="155" t="s">
        <v>182</v>
      </c>
    </row>
    <row r="302" spans="2:3" x14ac:dyDescent="0.2">
      <c r="B302" s="155" t="s">
        <v>292</v>
      </c>
      <c r="C302" s="155" t="s">
        <v>183</v>
      </c>
    </row>
    <row r="303" spans="2:3" x14ac:dyDescent="0.2">
      <c r="B303" s="155" t="s">
        <v>293</v>
      </c>
      <c r="C303" s="155" t="s">
        <v>184</v>
      </c>
    </row>
    <row r="304" spans="2:3" x14ac:dyDescent="0.2">
      <c r="B304" s="155" t="s">
        <v>294</v>
      </c>
      <c r="C304" s="155" t="s">
        <v>185</v>
      </c>
    </row>
    <row r="305" spans="2:3" x14ac:dyDescent="0.2">
      <c r="B305" s="155" t="s">
        <v>295</v>
      </c>
      <c r="C305" s="155" t="s">
        <v>186</v>
      </c>
    </row>
    <row r="306" spans="2:3" x14ac:dyDescent="0.2">
      <c r="B306" s="155" t="s">
        <v>296</v>
      </c>
      <c r="C306" s="155" t="s">
        <v>187</v>
      </c>
    </row>
    <row r="307" spans="2:3" x14ac:dyDescent="0.2">
      <c r="B307" s="155" t="s">
        <v>297</v>
      </c>
      <c r="C307" s="155" t="s">
        <v>188</v>
      </c>
    </row>
    <row r="308" spans="2:3" x14ac:dyDescent="0.2">
      <c r="B308" s="155" t="s">
        <v>298</v>
      </c>
      <c r="C308" s="155" t="s">
        <v>189</v>
      </c>
    </row>
    <row r="309" spans="2:3" x14ac:dyDescent="0.2">
      <c r="B309" s="155" t="s">
        <v>299</v>
      </c>
      <c r="C309" s="155" t="s">
        <v>190</v>
      </c>
    </row>
    <row r="310" spans="2:3" x14ac:dyDescent="0.2">
      <c r="B310" s="155" t="s">
        <v>300</v>
      </c>
      <c r="C310" s="155" t="s">
        <v>191</v>
      </c>
    </row>
    <row r="311" spans="2:3" x14ac:dyDescent="0.2">
      <c r="B311" s="155" t="s">
        <v>301</v>
      </c>
      <c r="C311" s="155" t="s">
        <v>192</v>
      </c>
    </row>
    <row r="312" spans="2:3" x14ac:dyDescent="0.2">
      <c r="B312" s="155" t="s">
        <v>302</v>
      </c>
      <c r="C312" s="155" t="s">
        <v>193</v>
      </c>
    </row>
    <row r="314" spans="2:3" x14ac:dyDescent="0.2">
      <c r="B314" s="155" t="s">
        <v>303</v>
      </c>
    </row>
    <row r="315" spans="2:3" x14ac:dyDescent="0.2">
      <c r="B315" s="155" t="s">
        <v>304</v>
      </c>
    </row>
  </sheetData>
  <mergeCells count="37">
    <mergeCell ref="AN1:AP2"/>
    <mergeCell ref="AD108:AF109"/>
    <mergeCell ref="AH108:AI109"/>
    <mergeCell ref="B108:D109"/>
    <mergeCell ref="F108:H109"/>
    <mergeCell ref="J108:L109"/>
    <mergeCell ref="N108:P109"/>
    <mergeCell ref="R108:T109"/>
    <mergeCell ref="V108:X109"/>
    <mergeCell ref="Z108:AB109"/>
    <mergeCell ref="BD108:BF109"/>
    <mergeCell ref="BH108:BJ109"/>
    <mergeCell ref="BL108:BN109"/>
    <mergeCell ref="BP108:BR109"/>
    <mergeCell ref="AN108:AP109"/>
    <mergeCell ref="AR108:AT109"/>
    <mergeCell ref="AV108:AX109"/>
    <mergeCell ref="AZ108:BB109"/>
    <mergeCell ref="CJ108:CL109"/>
    <mergeCell ref="CN108:CP109"/>
    <mergeCell ref="BT108:BV109"/>
    <mergeCell ref="BX108:BZ109"/>
    <mergeCell ref="CB108:CD109"/>
    <mergeCell ref="CF108:CH109"/>
    <mergeCell ref="CN1:CP2"/>
    <mergeCell ref="BH1:BJ2"/>
    <mergeCell ref="BL1:BN2"/>
    <mergeCell ref="BP1:BR2"/>
    <mergeCell ref="BT1:BV2"/>
    <mergeCell ref="BX1:BZ2"/>
    <mergeCell ref="CB1:CD2"/>
    <mergeCell ref="CJ1:CL2"/>
    <mergeCell ref="AR1:AT2"/>
    <mergeCell ref="AV1:AX2"/>
    <mergeCell ref="AZ1:BB2"/>
    <mergeCell ref="BD1:BF2"/>
    <mergeCell ref="CF1:CH2"/>
  </mergeCells>
  <phoneticPr fontId="49" type="noConversion"/>
  <pageMargins left="0.75" right="0.75" top="1" bottom="1" header="0.5" footer="0.5"/>
  <pageSetup orientation="portrait" horizontalDpi="4294967293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>
    <pageSetUpPr fitToPage="1"/>
  </sheetPr>
  <dimension ref="B1:Y58"/>
  <sheetViews>
    <sheetView showRowColHeaders="0" workbookViewId="0">
      <selection activeCell="L34" sqref="L34"/>
    </sheetView>
  </sheetViews>
  <sheetFormatPr defaultRowHeight="13.5" x14ac:dyDescent="0.25"/>
  <cols>
    <col min="1" max="1" width="2.7109375" style="171" customWidth="1"/>
    <col min="2" max="8" width="9.140625" style="171"/>
    <col min="9" max="9" width="2.7109375" style="171" customWidth="1"/>
    <col min="10" max="10" width="13.7109375" style="171" customWidth="1"/>
    <col min="11" max="12" width="10.7109375" style="171" customWidth="1"/>
    <col min="13" max="13" width="13.7109375" style="171" customWidth="1"/>
    <col min="14" max="15" width="10.7109375" style="171" customWidth="1"/>
    <col min="16" max="16384" width="9.140625" style="171"/>
  </cols>
  <sheetData>
    <row r="1" spans="2:15" ht="21" customHeight="1" x14ac:dyDescent="0.25">
      <c r="B1" s="334" t="s">
        <v>321</v>
      </c>
      <c r="C1" s="334"/>
      <c r="D1" s="334"/>
      <c r="E1" s="334"/>
      <c r="F1" s="334"/>
      <c r="G1" s="334"/>
      <c r="H1" s="334"/>
      <c r="I1" s="334"/>
      <c r="J1" s="334"/>
      <c r="K1" s="334"/>
      <c r="L1" s="334"/>
      <c r="M1" s="334"/>
      <c r="N1" s="334"/>
      <c r="O1" s="334"/>
    </row>
    <row r="2" spans="2:15" x14ac:dyDescent="0.25">
      <c r="B2" s="327" t="s">
        <v>305</v>
      </c>
      <c r="C2" s="328"/>
      <c r="D2" s="328"/>
      <c r="E2" s="328"/>
      <c r="F2" s="328"/>
      <c r="G2" s="328"/>
      <c r="H2" s="329"/>
      <c r="I2" s="170"/>
      <c r="J2" s="172"/>
      <c r="K2" s="172"/>
      <c r="L2" s="172"/>
      <c r="M2" s="172"/>
      <c r="N2" s="172"/>
      <c r="O2" s="172"/>
    </row>
    <row r="3" spans="2:15" x14ac:dyDescent="0.25">
      <c r="B3" s="170"/>
      <c r="C3" s="170"/>
      <c r="D3" s="170"/>
      <c r="E3" s="170"/>
      <c r="F3" s="170"/>
      <c r="G3" s="170"/>
      <c r="H3" s="170"/>
      <c r="I3" s="170"/>
      <c r="J3" s="172"/>
      <c r="K3" s="172"/>
      <c r="L3" s="172"/>
      <c r="M3" s="172"/>
      <c r="N3" s="172"/>
      <c r="O3" s="172"/>
    </row>
    <row r="4" spans="2:15" x14ac:dyDescent="0.25">
      <c r="B4" s="173"/>
      <c r="C4" s="332" t="s">
        <v>306</v>
      </c>
      <c r="D4" s="332"/>
      <c r="E4" s="332"/>
      <c r="F4" s="332"/>
      <c r="G4" s="332"/>
      <c r="H4" s="333"/>
      <c r="I4" s="170"/>
      <c r="J4" s="172"/>
      <c r="K4" s="172"/>
      <c r="L4" s="172"/>
      <c r="M4" s="172"/>
      <c r="N4" s="172"/>
      <c r="O4" s="172"/>
    </row>
    <row r="5" spans="2:15" x14ac:dyDescent="0.25">
      <c r="B5" s="174"/>
      <c r="C5" s="175" t="s">
        <v>307</v>
      </c>
      <c r="D5" s="176" t="str">
        <f>IF(C5="NB","SB","WB")</f>
        <v>SB</v>
      </c>
      <c r="E5" s="177" t="s">
        <v>308</v>
      </c>
      <c r="F5" s="177" t="str">
        <f>C5&amp;"%"</f>
        <v>NB%</v>
      </c>
      <c r="G5" s="177" t="str">
        <f>D5&amp;"%"</f>
        <v>SB%</v>
      </c>
      <c r="H5" s="178" t="s">
        <v>309</v>
      </c>
      <c r="I5" s="170"/>
      <c r="J5" s="172"/>
      <c r="K5" s="172"/>
      <c r="L5" s="172"/>
      <c r="M5" s="172"/>
      <c r="N5" s="172"/>
      <c r="O5" s="172"/>
    </row>
    <row r="6" spans="2:15" x14ac:dyDescent="0.25">
      <c r="B6" s="179">
        <f t="shared" ref="B6:B29" si="0">B5+1</f>
        <v>1</v>
      </c>
      <c r="C6" s="180">
        <v>36</v>
      </c>
      <c r="D6" s="180">
        <v>32</v>
      </c>
      <c r="E6" s="169">
        <f t="shared" ref="E6:E29" si="1">SUM(C6:D6)</f>
        <v>68</v>
      </c>
      <c r="F6" s="181">
        <f t="shared" ref="F6:F29" si="2">C6/E6</f>
        <v>0.52941176470588236</v>
      </c>
      <c r="G6" s="181">
        <f t="shared" ref="G6:G29" si="3">D6/E6</f>
        <v>0.47058823529411764</v>
      </c>
      <c r="H6" s="182">
        <f t="shared" ref="H6:H29" si="4">E6/$E$31</f>
        <v>7.9051383399209481E-3</v>
      </c>
      <c r="I6" s="170"/>
      <c r="J6" s="169"/>
      <c r="K6" s="169"/>
      <c r="L6" s="169"/>
      <c r="M6" s="169"/>
      <c r="N6" s="169"/>
      <c r="O6" s="169"/>
    </row>
    <row r="7" spans="2:15" x14ac:dyDescent="0.25">
      <c r="B7" s="179">
        <f t="shared" si="0"/>
        <v>2</v>
      </c>
      <c r="C7" s="183">
        <v>8</v>
      </c>
      <c r="D7" s="183">
        <v>22</v>
      </c>
      <c r="E7" s="169">
        <f t="shared" si="1"/>
        <v>30</v>
      </c>
      <c r="F7" s="181">
        <f t="shared" si="2"/>
        <v>0.26666666666666666</v>
      </c>
      <c r="G7" s="181">
        <f t="shared" si="3"/>
        <v>0.73333333333333328</v>
      </c>
      <c r="H7" s="182">
        <f t="shared" si="4"/>
        <v>3.4875610323180655E-3</v>
      </c>
      <c r="I7" s="170"/>
      <c r="J7" s="169"/>
      <c r="K7" s="169"/>
      <c r="L7" s="169"/>
      <c r="M7" s="169"/>
      <c r="N7" s="169"/>
      <c r="O7" s="169"/>
    </row>
    <row r="8" spans="2:15" x14ac:dyDescent="0.25">
      <c r="B8" s="179">
        <f t="shared" si="0"/>
        <v>3</v>
      </c>
      <c r="C8" s="183">
        <v>4</v>
      </c>
      <c r="D8" s="183">
        <v>8</v>
      </c>
      <c r="E8" s="169">
        <f t="shared" si="1"/>
        <v>12</v>
      </c>
      <c r="F8" s="181">
        <f t="shared" si="2"/>
        <v>0.33333333333333331</v>
      </c>
      <c r="G8" s="181">
        <f t="shared" si="3"/>
        <v>0.66666666666666663</v>
      </c>
      <c r="H8" s="182">
        <f t="shared" si="4"/>
        <v>1.3950244129272262E-3</v>
      </c>
      <c r="I8" s="170"/>
      <c r="J8" s="169"/>
      <c r="K8" s="169"/>
      <c r="L8" s="169"/>
      <c r="M8" s="169"/>
      <c r="N8" s="169"/>
      <c r="O8" s="169"/>
    </row>
    <row r="9" spans="2:15" x14ac:dyDescent="0.25">
      <c r="B9" s="179">
        <f t="shared" si="0"/>
        <v>4</v>
      </c>
      <c r="C9" s="183">
        <v>2</v>
      </c>
      <c r="D9" s="183">
        <v>4</v>
      </c>
      <c r="E9" s="169">
        <f t="shared" si="1"/>
        <v>6</v>
      </c>
      <c r="F9" s="181">
        <f t="shared" si="2"/>
        <v>0.33333333333333331</v>
      </c>
      <c r="G9" s="181">
        <f t="shared" si="3"/>
        <v>0.66666666666666663</v>
      </c>
      <c r="H9" s="182">
        <f t="shared" si="4"/>
        <v>6.9751220646361309E-4</v>
      </c>
      <c r="I9" s="170"/>
      <c r="J9" s="169"/>
      <c r="K9" s="169"/>
      <c r="L9" s="169"/>
      <c r="M9" s="169"/>
      <c r="N9" s="169"/>
      <c r="O9" s="169"/>
    </row>
    <row r="10" spans="2:15" x14ac:dyDescent="0.25">
      <c r="B10" s="179">
        <f t="shared" si="0"/>
        <v>5</v>
      </c>
      <c r="C10" s="183">
        <v>6</v>
      </c>
      <c r="D10" s="183">
        <v>10</v>
      </c>
      <c r="E10" s="169">
        <f t="shared" si="1"/>
        <v>16</v>
      </c>
      <c r="F10" s="181">
        <f t="shared" si="2"/>
        <v>0.375</v>
      </c>
      <c r="G10" s="181">
        <f t="shared" si="3"/>
        <v>0.625</v>
      </c>
      <c r="H10" s="182">
        <f t="shared" si="4"/>
        <v>1.860032550569635E-3</v>
      </c>
      <c r="I10" s="170"/>
      <c r="J10" s="169"/>
      <c r="K10" s="169"/>
      <c r="L10" s="169"/>
      <c r="M10" s="169"/>
      <c r="N10" s="169"/>
      <c r="O10" s="169"/>
    </row>
    <row r="11" spans="2:15" x14ac:dyDescent="0.25">
      <c r="B11" s="179">
        <f t="shared" si="0"/>
        <v>6</v>
      </c>
      <c r="C11" s="183">
        <v>32</v>
      </c>
      <c r="D11" s="183">
        <v>30</v>
      </c>
      <c r="E11" s="169">
        <f t="shared" si="1"/>
        <v>62</v>
      </c>
      <c r="F11" s="181">
        <f t="shared" si="2"/>
        <v>0.5161290322580645</v>
      </c>
      <c r="G11" s="181">
        <f t="shared" si="3"/>
        <v>0.4838709677419355</v>
      </c>
      <c r="H11" s="182">
        <f t="shared" si="4"/>
        <v>7.2076261334573354E-3</v>
      </c>
      <c r="I11" s="170"/>
      <c r="J11" s="169"/>
      <c r="K11" s="169"/>
      <c r="L11" s="169"/>
      <c r="M11" s="169"/>
      <c r="N11" s="169"/>
      <c r="O11" s="169"/>
    </row>
    <row r="12" spans="2:15" x14ac:dyDescent="0.25">
      <c r="B12" s="179">
        <f t="shared" si="0"/>
        <v>7</v>
      </c>
      <c r="C12" s="183">
        <v>115</v>
      </c>
      <c r="D12" s="183">
        <v>89</v>
      </c>
      <c r="E12" s="169">
        <f t="shared" si="1"/>
        <v>204</v>
      </c>
      <c r="F12" s="181">
        <f t="shared" si="2"/>
        <v>0.56372549019607843</v>
      </c>
      <c r="G12" s="181">
        <f t="shared" si="3"/>
        <v>0.43627450980392157</v>
      </c>
      <c r="H12" s="182">
        <f t="shared" si="4"/>
        <v>2.3715415019762844E-2</v>
      </c>
      <c r="I12" s="170"/>
      <c r="J12" s="169"/>
      <c r="K12" s="169"/>
      <c r="L12" s="169"/>
      <c r="M12" s="169"/>
      <c r="N12" s="169"/>
      <c r="O12" s="169"/>
    </row>
    <row r="13" spans="2:15" x14ac:dyDescent="0.25">
      <c r="B13" s="179">
        <f t="shared" si="0"/>
        <v>8</v>
      </c>
      <c r="C13" s="183">
        <v>171</v>
      </c>
      <c r="D13" s="183">
        <v>170</v>
      </c>
      <c r="E13" s="169">
        <f t="shared" si="1"/>
        <v>341</v>
      </c>
      <c r="F13" s="181">
        <f t="shared" si="2"/>
        <v>0.50146627565982405</v>
      </c>
      <c r="G13" s="181">
        <f t="shared" si="3"/>
        <v>0.49853372434017595</v>
      </c>
      <c r="H13" s="182">
        <f t="shared" si="4"/>
        <v>3.9641943734015347E-2</v>
      </c>
      <c r="I13" s="170"/>
      <c r="J13" s="169"/>
      <c r="K13" s="169"/>
      <c r="L13" s="169"/>
      <c r="M13" s="169"/>
      <c r="N13" s="169"/>
      <c r="O13" s="169"/>
    </row>
    <row r="14" spans="2:15" x14ac:dyDescent="0.25">
      <c r="B14" s="179">
        <f t="shared" si="0"/>
        <v>9</v>
      </c>
      <c r="C14" s="183">
        <v>225</v>
      </c>
      <c r="D14" s="183">
        <v>262</v>
      </c>
      <c r="E14" s="169">
        <f t="shared" si="1"/>
        <v>487</v>
      </c>
      <c r="F14" s="181">
        <f t="shared" si="2"/>
        <v>0.46201232032854211</v>
      </c>
      <c r="G14" s="181">
        <f t="shared" si="3"/>
        <v>0.53798767967145789</v>
      </c>
      <c r="H14" s="182">
        <f t="shared" si="4"/>
        <v>5.6614740757963265E-2</v>
      </c>
      <c r="I14" s="170"/>
      <c r="J14" s="169"/>
      <c r="K14" s="169"/>
      <c r="L14" s="169"/>
      <c r="M14" s="169"/>
      <c r="N14" s="169"/>
      <c r="O14" s="169"/>
    </row>
    <row r="15" spans="2:15" x14ac:dyDescent="0.25">
      <c r="B15" s="179">
        <f t="shared" si="0"/>
        <v>10</v>
      </c>
      <c r="C15" s="183">
        <v>245</v>
      </c>
      <c r="D15" s="183">
        <v>255</v>
      </c>
      <c r="E15" s="169">
        <f t="shared" si="1"/>
        <v>500</v>
      </c>
      <c r="F15" s="181">
        <f t="shared" si="2"/>
        <v>0.49</v>
      </c>
      <c r="G15" s="181">
        <f t="shared" si="3"/>
        <v>0.51</v>
      </c>
      <c r="H15" s="182">
        <f t="shared" si="4"/>
        <v>5.8126017205301091E-2</v>
      </c>
      <c r="I15" s="170"/>
      <c r="J15" s="169"/>
      <c r="K15" s="169"/>
      <c r="L15" s="169"/>
      <c r="M15" s="169"/>
      <c r="N15" s="169"/>
      <c r="O15" s="169"/>
    </row>
    <row r="16" spans="2:15" x14ac:dyDescent="0.25">
      <c r="B16" s="179">
        <f t="shared" si="0"/>
        <v>11</v>
      </c>
      <c r="C16" s="183">
        <v>264</v>
      </c>
      <c r="D16" s="183">
        <v>291</v>
      </c>
      <c r="E16" s="169">
        <f t="shared" si="1"/>
        <v>555</v>
      </c>
      <c r="F16" s="181">
        <f t="shared" si="2"/>
        <v>0.4756756756756757</v>
      </c>
      <c r="G16" s="181">
        <f t="shared" si="3"/>
        <v>0.5243243243243243</v>
      </c>
      <c r="H16" s="182">
        <f t="shared" si="4"/>
        <v>6.4519879097884217E-2</v>
      </c>
      <c r="I16" s="170"/>
      <c r="J16" s="169"/>
      <c r="K16" s="169"/>
      <c r="L16" s="169"/>
      <c r="M16" s="169"/>
      <c r="N16" s="169"/>
      <c r="O16" s="169"/>
    </row>
    <row r="17" spans="2:15" x14ac:dyDescent="0.25">
      <c r="B17" s="179">
        <f t="shared" si="0"/>
        <v>12</v>
      </c>
      <c r="C17" s="183">
        <v>308</v>
      </c>
      <c r="D17" s="183">
        <v>324</v>
      </c>
      <c r="E17" s="169">
        <f t="shared" si="1"/>
        <v>632</v>
      </c>
      <c r="F17" s="181">
        <f t="shared" si="2"/>
        <v>0.48734177215189872</v>
      </c>
      <c r="G17" s="181">
        <f t="shared" si="3"/>
        <v>0.51265822784810122</v>
      </c>
      <c r="H17" s="182">
        <f t="shared" si="4"/>
        <v>7.3471285747500586E-2</v>
      </c>
      <c r="I17" s="170"/>
      <c r="J17" s="210"/>
      <c r="K17" s="210"/>
      <c r="L17" s="210"/>
      <c r="M17" s="210"/>
      <c r="N17" s="210"/>
      <c r="O17" s="210"/>
    </row>
    <row r="18" spans="2:15" ht="13.5" customHeight="1" thickBot="1" x14ac:dyDescent="0.3">
      <c r="B18" s="179">
        <f t="shared" si="0"/>
        <v>13</v>
      </c>
      <c r="C18" s="183">
        <v>303</v>
      </c>
      <c r="D18" s="183">
        <v>333</v>
      </c>
      <c r="E18" s="169">
        <f t="shared" si="1"/>
        <v>636</v>
      </c>
      <c r="F18" s="181">
        <f t="shared" si="2"/>
        <v>0.47641509433962265</v>
      </c>
      <c r="G18" s="181">
        <f t="shared" si="3"/>
        <v>0.52358490566037741</v>
      </c>
      <c r="H18" s="182">
        <f t="shared" si="4"/>
        <v>7.3936293885142987E-2</v>
      </c>
      <c r="I18" s="170"/>
      <c r="J18" s="185" t="s">
        <v>310</v>
      </c>
      <c r="K18" s="185" t="str">
        <f>"HOUR "&amp;VLOOKUP(MAX($E$6:$E$17),$B$35:$C$58,2,FALSE)</f>
        <v>HOUR 12</v>
      </c>
      <c r="L18" s="185">
        <f>MAX($E$6:$E$17)</f>
        <v>632</v>
      </c>
      <c r="M18" s="186" t="s">
        <v>311</v>
      </c>
      <c r="N18" s="186" t="str">
        <f>"HOUR "&amp;VLOOKUP(MAX($E$18:$E$29),$B$35:$C$58,2,FALSE)</f>
        <v>HOUR 16</v>
      </c>
      <c r="O18" s="186">
        <f>MAX($E$18:$E$29)</f>
        <v>682</v>
      </c>
    </row>
    <row r="19" spans="2:15" x14ac:dyDescent="0.25">
      <c r="B19" s="179">
        <f t="shared" si="0"/>
        <v>14</v>
      </c>
      <c r="C19" s="183">
        <v>296</v>
      </c>
      <c r="D19" s="183">
        <v>316</v>
      </c>
      <c r="E19" s="169">
        <f t="shared" si="1"/>
        <v>612</v>
      </c>
      <c r="F19" s="181">
        <f t="shared" si="2"/>
        <v>0.48366013071895425</v>
      </c>
      <c r="G19" s="181">
        <f t="shared" si="3"/>
        <v>0.5163398692810458</v>
      </c>
      <c r="H19" s="182">
        <f t="shared" si="4"/>
        <v>7.1146245059288543E-2</v>
      </c>
      <c r="I19" s="170"/>
      <c r="J19" s="187" t="s">
        <v>312</v>
      </c>
      <c r="K19" s="188" t="str">
        <f>C5&amp;" VOL"</f>
        <v>NB VOL</v>
      </c>
      <c r="L19" s="189" t="str">
        <f>D5&amp;" VOL"</f>
        <v>SB VOL</v>
      </c>
      <c r="M19" s="330" t="s">
        <v>313</v>
      </c>
      <c r="N19" s="330"/>
      <c r="O19" s="331"/>
    </row>
    <row r="20" spans="2:15" x14ac:dyDescent="0.25">
      <c r="B20" s="179">
        <f t="shared" si="0"/>
        <v>15</v>
      </c>
      <c r="C20" s="183">
        <v>287</v>
      </c>
      <c r="D20" s="183">
        <v>326</v>
      </c>
      <c r="E20" s="169">
        <f t="shared" si="1"/>
        <v>613</v>
      </c>
      <c r="F20" s="181">
        <f t="shared" si="2"/>
        <v>0.46818923327895595</v>
      </c>
      <c r="G20" s="181">
        <f t="shared" si="3"/>
        <v>0.53181076672104399</v>
      </c>
      <c r="H20" s="182">
        <f t="shared" si="4"/>
        <v>7.126249709369914E-2</v>
      </c>
      <c r="I20" s="170"/>
      <c r="J20" s="190">
        <v>1</v>
      </c>
      <c r="K20" s="191">
        <v>27</v>
      </c>
      <c r="L20" s="192">
        <v>26</v>
      </c>
      <c r="M20" s="193" t="s">
        <v>314</v>
      </c>
      <c r="N20" s="194">
        <f>SUM(K20:L22)</f>
        <v>8177</v>
      </c>
      <c r="O20" s="195">
        <f>K20+L20</f>
        <v>53</v>
      </c>
    </row>
    <row r="21" spans="2:15" x14ac:dyDescent="0.25">
      <c r="B21" s="179">
        <f t="shared" si="0"/>
        <v>16</v>
      </c>
      <c r="C21" s="183">
        <v>337</v>
      </c>
      <c r="D21" s="183">
        <v>345</v>
      </c>
      <c r="E21" s="169">
        <f t="shared" si="1"/>
        <v>682</v>
      </c>
      <c r="F21" s="181">
        <f t="shared" si="2"/>
        <v>0.49413489736070382</v>
      </c>
      <c r="G21" s="181">
        <f t="shared" si="3"/>
        <v>0.50586510263929618</v>
      </c>
      <c r="H21" s="182">
        <f t="shared" si="4"/>
        <v>7.9283887468030695E-2</v>
      </c>
      <c r="I21" s="170"/>
      <c r="J21" s="190">
        <v>2</v>
      </c>
      <c r="K21" s="191">
        <v>2970</v>
      </c>
      <c r="L21" s="192">
        <v>3206</v>
      </c>
      <c r="M21" s="193" t="s">
        <v>315</v>
      </c>
      <c r="N21" s="194">
        <f>SUM(K23:L26)</f>
        <v>318</v>
      </c>
      <c r="O21" s="195">
        <f>K21+L21</f>
        <v>6176</v>
      </c>
    </row>
    <row r="22" spans="2:15" x14ac:dyDescent="0.25">
      <c r="B22" s="179">
        <f t="shared" si="0"/>
        <v>17</v>
      </c>
      <c r="C22" s="183">
        <v>233</v>
      </c>
      <c r="D22" s="183">
        <v>371</v>
      </c>
      <c r="E22" s="169">
        <f t="shared" si="1"/>
        <v>604</v>
      </c>
      <c r="F22" s="181">
        <f t="shared" si="2"/>
        <v>0.38576158940397354</v>
      </c>
      <c r="G22" s="181">
        <f t="shared" si="3"/>
        <v>0.61423841059602646</v>
      </c>
      <c r="H22" s="182">
        <f t="shared" si="4"/>
        <v>7.0216228784003715E-2</v>
      </c>
      <c r="I22" s="170"/>
      <c r="J22" s="190">
        <v>3</v>
      </c>
      <c r="K22" s="191">
        <v>885</v>
      </c>
      <c r="L22" s="192">
        <v>1063</v>
      </c>
      <c r="M22" s="193" t="s">
        <v>316</v>
      </c>
      <c r="N22" s="194">
        <f>SUM(K27:L32)</f>
        <v>107</v>
      </c>
      <c r="O22" s="195">
        <f>K22+L22</f>
        <v>1948</v>
      </c>
    </row>
    <row r="23" spans="2:15" x14ac:dyDescent="0.25">
      <c r="B23" s="179">
        <f t="shared" si="0"/>
        <v>18</v>
      </c>
      <c r="C23" s="183">
        <v>313</v>
      </c>
      <c r="D23" s="183">
        <v>336</v>
      </c>
      <c r="E23" s="169">
        <f t="shared" si="1"/>
        <v>649</v>
      </c>
      <c r="F23" s="181">
        <f t="shared" si="2"/>
        <v>0.48228043143297383</v>
      </c>
      <c r="G23" s="181">
        <f t="shared" si="3"/>
        <v>0.51771956856702617</v>
      </c>
      <c r="H23" s="182">
        <f t="shared" si="4"/>
        <v>7.5447570332480812E-2</v>
      </c>
      <c r="I23" s="170"/>
      <c r="J23" s="190">
        <v>4</v>
      </c>
      <c r="K23" s="191">
        <v>7</v>
      </c>
      <c r="L23" s="192">
        <v>9</v>
      </c>
      <c r="M23" s="193"/>
      <c r="N23" s="194"/>
      <c r="O23" s="195">
        <f>K23+L23</f>
        <v>16</v>
      </c>
    </row>
    <row r="24" spans="2:15" x14ac:dyDescent="0.25">
      <c r="B24" s="179">
        <f t="shared" si="0"/>
        <v>19</v>
      </c>
      <c r="C24" s="183">
        <v>230</v>
      </c>
      <c r="D24" s="183">
        <v>310</v>
      </c>
      <c r="E24" s="169">
        <f t="shared" si="1"/>
        <v>540</v>
      </c>
      <c r="F24" s="181">
        <f t="shared" si="2"/>
        <v>0.42592592592592593</v>
      </c>
      <c r="G24" s="181">
        <f t="shared" si="3"/>
        <v>0.57407407407407407</v>
      </c>
      <c r="H24" s="182">
        <f t="shared" si="4"/>
        <v>6.2776098581725184E-2</v>
      </c>
      <c r="I24" s="170"/>
      <c r="J24" s="190">
        <v>5</v>
      </c>
      <c r="K24" s="191">
        <v>125</v>
      </c>
      <c r="L24" s="192">
        <v>156</v>
      </c>
      <c r="M24" s="193" t="s">
        <v>317</v>
      </c>
      <c r="N24" s="196">
        <f>N20/SUM(K20:L32)</f>
        <v>0.95059288537549402</v>
      </c>
      <c r="O24" s="195">
        <f>K24+L24</f>
        <v>281</v>
      </c>
    </row>
    <row r="25" spans="2:15" x14ac:dyDescent="0.25">
      <c r="B25" s="179">
        <f t="shared" si="0"/>
        <v>20</v>
      </c>
      <c r="C25" s="183">
        <v>214</v>
      </c>
      <c r="D25" s="183">
        <v>216</v>
      </c>
      <c r="E25" s="169">
        <f t="shared" si="1"/>
        <v>430</v>
      </c>
      <c r="F25" s="181">
        <f t="shared" si="2"/>
        <v>0.49767441860465117</v>
      </c>
      <c r="G25" s="181">
        <f t="shared" si="3"/>
        <v>0.50232558139534889</v>
      </c>
      <c r="H25" s="182">
        <f t="shared" si="4"/>
        <v>4.9988374796558939E-2</v>
      </c>
      <c r="I25" s="170"/>
      <c r="J25" s="190">
        <v>6</v>
      </c>
      <c r="K25" s="191">
        <v>11</v>
      </c>
      <c r="L25" s="192">
        <v>9</v>
      </c>
      <c r="M25" s="193" t="s">
        <v>318</v>
      </c>
      <c r="N25" s="196">
        <f>N21/SUM(K20:L32)</f>
        <v>3.6968146942571493E-2</v>
      </c>
      <c r="O25" s="195">
        <f>1.5*(K25+L25)</f>
        <v>30</v>
      </c>
    </row>
    <row r="26" spans="2:15" ht="13.5" customHeight="1" x14ac:dyDescent="0.25">
      <c r="B26" s="179">
        <f t="shared" si="0"/>
        <v>21</v>
      </c>
      <c r="C26" s="183">
        <v>196</v>
      </c>
      <c r="D26" s="183">
        <v>182</v>
      </c>
      <c r="E26" s="169">
        <f t="shared" si="1"/>
        <v>378</v>
      </c>
      <c r="F26" s="181">
        <f t="shared" si="2"/>
        <v>0.51851851851851849</v>
      </c>
      <c r="G26" s="181">
        <f t="shared" si="3"/>
        <v>0.48148148148148145</v>
      </c>
      <c r="H26" s="182">
        <f t="shared" si="4"/>
        <v>4.3943269007207623E-2</v>
      </c>
      <c r="I26" s="170"/>
      <c r="J26" s="197">
        <v>7</v>
      </c>
      <c r="K26" s="191">
        <v>0</v>
      </c>
      <c r="L26" s="192">
        <v>1</v>
      </c>
      <c r="M26" s="193" t="s">
        <v>319</v>
      </c>
      <c r="N26" s="196">
        <f>N22/SUM(K20:L32)</f>
        <v>1.2438967681934435E-2</v>
      </c>
      <c r="O26" s="198">
        <f>2*(K26+L26)</f>
        <v>2</v>
      </c>
    </row>
    <row r="27" spans="2:15" ht="13.5" customHeight="1" x14ac:dyDescent="0.25">
      <c r="B27" s="179">
        <f t="shared" si="0"/>
        <v>22</v>
      </c>
      <c r="C27" s="183">
        <v>136</v>
      </c>
      <c r="D27" s="183">
        <v>142</v>
      </c>
      <c r="E27" s="169">
        <f t="shared" si="1"/>
        <v>278</v>
      </c>
      <c r="F27" s="181">
        <f t="shared" si="2"/>
        <v>0.48920863309352519</v>
      </c>
      <c r="G27" s="181">
        <f t="shared" si="3"/>
        <v>0.51079136690647486</v>
      </c>
      <c r="H27" s="182">
        <f t="shared" si="4"/>
        <v>3.2318065566147407E-2</v>
      </c>
      <c r="I27" s="170"/>
      <c r="J27" s="197">
        <v>8</v>
      </c>
      <c r="K27" s="191">
        <v>35</v>
      </c>
      <c r="L27" s="192">
        <v>41</v>
      </c>
      <c r="M27" s="199"/>
      <c r="N27" s="194"/>
      <c r="O27" s="198">
        <f>2*(K27+L27)</f>
        <v>152</v>
      </c>
    </row>
    <row r="28" spans="2:15" ht="13.5" customHeight="1" x14ac:dyDescent="0.25">
      <c r="B28" s="179">
        <f t="shared" si="0"/>
        <v>23</v>
      </c>
      <c r="C28" s="183">
        <v>72</v>
      </c>
      <c r="D28" s="183">
        <v>92</v>
      </c>
      <c r="E28" s="169">
        <f t="shared" si="1"/>
        <v>164</v>
      </c>
      <c r="F28" s="181">
        <f t="shared" si="2"/>
        <v>0.43902439024390244</v>
      </c>
      <c r="G28" s="181">
        <f t="shared" si="3"/>
        <v>0.56097560975609762</v>
      </c>
      <c r="H28" s="182">
        <f t="shared" si="4"/>
        <v>1.9065333643338758E-2</v>
      </c>
      <c r="I28" s="170"/>
      <c r="J28" s="197">
        <v>9</v>
      </c>
      <c r="K28" s="191">
        <v>11</v>
      </c>
      <c r="L28" s="192">
        <v>17</v>
      </c>
      <c r="M28" s="200" t="s">
        <v>320</v>
      </c>
      <c r="N28" s="201">
        <f>IF(M32=0,0,M32/M31)</f>
        <v>0.98454847201556595</v>
      </c>
      <c r="O28" s="198">
        <f>2.5*(K28+L28)</f>
        <v>70</v>
      </c>
    </row>
    <row r="29" spans="2:15" ht="13.5" customHeight="1" x14ac:dyDescent="0.25">
      <c r="B29" s="179">
        <f t="shared" si="0"/>
        <v>24</v>
      </c>
      <c r="C29" s="202">
        <v>40</v>
      </c>
      <c r="D29" s="202">
        <v>63</v>
      </c>
      <c r="E29" s="169">
        <f t="shared" si="1"/>
        <v>103</v>
      </c>
      <c r="F29" s="181">
        <f t="shared" si="2"/>
        <v>0.38834951456310679</v>
      </c>
      <c r="G29" s="181">
        <f t="shared" si="3"/>
        <v>0.61165048543689315</v>
      </c>
      <c r="H29" s="182">
        <f t="shared" si="4"/>
        <v>1.1973959544292026E-2</v>
      </c>
      <c r="I29" s="170"/>
      <c r="J29" s="197">
        <v>10</v>
      </c>
      <c r="K29" s="191">
        <v>2</v>
      </c>
      <c r="L29" s="192">
        <v>1</v>
      </c>
      <c r="M29" s="199"/>
      <c r="N29" s="199"/>
      <c r="O29" s="198">
        <f>3*(K29+L29)</f>
        <v>9</v>
      </c>
    </row>
    <row r="30" spans="2:15" x14ac:dyDescent="0.25">
      <c r="B30" s="179"/>
      <c r="C30" s="169"/>
      <c r="D30" s="169"/>
      <c r="E30" s="169"/>
      <c r="F30" s="169"/>
      <c r="G30" s="169"/>
      <c r="H30" s="184"/>
      <c r="I30" s="170"/>
      <c r="J30" s="190">
        <v>11</v>
      </c>
      <c r="K30" s="191">
        <v>0</v>
      </c>
      <c r="L30" s="192">
        <v>0</v>
      </c>
      <c r="M30" s="221"/>
      <c r="N30" s="221"/>
      <c r="O30" s="195">
        <f>3*(K30+L30)</f>
        <v>0</v>
      </c>
    </row>
    <row r="31" spans="2:15" x14ac:dyDescent="0.25">
      <c r="B31" s="174" t="s">
        <v>308</v>
      </c>
      <c r="C31" s="168">
        <f>SUM(C6:C29)</f>
        <v>4073</v>
      </c>
      <c r="D31" s="168">
        <f>SUM(D6:D29)</f>
        <v>4529</v>
      </c>
      <c r="E31" s="168">
        <f>SUM(C31:D31)</f>
        <v>8602</v>
      </c>
      <c r="F31" s="203">
        <f>C31/E31</f>
        <v>0.47349453615438269</v>
      </c>
      <c r="G31" s="203">
        <f>D31/E31</f>
        <v>0.52650546384561725</v>
      </c>
      <c r="H31" s="204">
        <f>E31/$E$31</f>
        <v>1</v>
      </c>
      <c r="I31" s="170"/>
      <c r="J31" s="205">
        <v>12</v>
      </c>
      <c r="K31" s="180">
        <v>0</v>
      </c>
      <c r="L31" s="206">
        <v>0</v>
      </c>
      <c r="M31" s="207">
        <f>SUM(O20:O32)</f>
        <v>8737</v>
      </c>
      <c r="N31" s="222"/>
      <c r="O31" s="208">
        <f>3*(K31+L31)</f>
        <v>0</v>
      </c>
    </row>
    <row r="32" spans="2:15" x14ac:dyDescent="0.25">
      <c r="B32" s="209"/>
      <c r="C32" s="210"/>
      <c r="D32" s="210"/>
      <c r="E32" s="210"/>
      <c r="F32" s="210"/>
      <c r="G32" s="210"/>
      <c r="H32" s="211"/>
      <c r="I32" s="170"/>
      <c r="J32" s="212">
        <v>13</v>
      </c>
      <c r="K32" s="213">
        <v>0</v>
      </c>
      <c r="L32" s="214">
        <v>0</v>
      </c>
      <c r="M32" s="215">
        <f>SUM(K20:L32)</f>
        <v>8602</v>
      </c>
      <c r="N32" s="223"/>
      <c r="O32" s="216">
        <f>3.5*(K32+L32)</f>
        <v>0</v>
      </c>
    </row>
    <row r="33" spans="2:25" x14ac:dyDescent="0.25">
      <c r="B33" s="217"/>
      <c r="C33" s="217"/>
      <c r="D33" s="217"/>
      <c r="E33" s="217"/>
      <c r="F33" s="217"/>
      <c r="G33" s="217"/>
      <c r="H33" s="217"/>
      <c r="I33" s="217"/>
      <c r="J33" s="217"/>
      <c r="K33" s="217"/>
      <c r="L33" s="217"/>
      <c r="M33" s="217"/>
    </row>
    <row r="35" spans="2:25" x14ac:dyDescent="0.25">
      <c r="B35" s="218">
        <f t="shared" ref="B35:B58" si="5">E6</f>
        <v>68</v>
      </c>
      <c r="C35" s="218">
        <v>1</v>
      </c>
    </row>
    <row r="36" spans="2:25" x14ac:dyDescent="0.25">
      <c r="B36" s="218">
        <f t="shared" si="5"/>
        <v>30</v>
      </c>
      <c r="C36" s="218">
        <v>2</v>
      </c>
    </row>
    <row r="37" spans="2:25" x14ac:dyDescent="0.25">
      <c r="B37" s="218">
        <f t="shared" si="5"/>
        <v>12</v>
      </c>
      <c r="C37" s="218">
        <v>3</v>
      </c>
      <c r="Y37" s="171">
        <v>1</v>
      </c>
    </row>
    <row r="38" spans="2:25" x14ac:dyDescent="0.25">
      <c r="B38" s="218">
        <f t="shared" si="5"/>
        <v>6</v>
      </c>
      <c r="C38" s="218">
        <v>4</v>
      </c>
    </row>
    <row r="39" spans="2:25" x14ac:dyDescent="0.25">
      <c r="B39" s="218">
        <f t="shared" si="5"/>
        <v>16</v>
      </c>
      <c r="C39" s="218">
        <v>5</v>
      </c>
    </row>
    <row r="40" spans="2:25" x14ac:dyDescent="0.25">
      <c r="B40" s="218">
        <f t="shared" si="5"/>
        <v>62</v>
      </c>
      <c r="C40" s="218">
        <v>6</v>
      </c>
    </row>
    <row r="41" spans="2:25" x14ac:dyDescent="0.25">
      <c r="B41" s="218">
        <f t="shared" si="5"/>
        <v>204</v>
      </c>
      <c r="C41" s="218">
        <v>7</v>
      </c>
    </row>
    <row r="42" spans="2:25" x14ac:dyDescent="0.25">
      <c r="B42" s="218">
        <f t="shared" si="5"/>
        <v>341</v>
      </c>
      <c r="C42" s="218">
        <v>8</v>
      </c>
    </row>
    <row r="43" spans="2:25" x14ac:dyDescent="0.25">
      <c r="B43" s="218">
        <f t="shared" si="5"/>
        <v>487</v>
      </c>
      <c r="C43" s="218">
        <v>9</v>
      </c>
    </row>
    <row r="44" spans="2:25" x14ac:dyDescent="0.25">
      <c r="B44" s="218">
        <f t="shared" si="5"/>
        <v>500</v>
      </c>
      <c r="C44" s="218">
        <v>10</v>
      </c>
    </row>
    <row r="45" spans="2:25" x14ac:dyDescent="0.25">
      <c r="B45" s="218">
        <f t="shared" si="5"/>
        <v>555</v>
      </c>
      <c r="C45" s="218">
        <v>11</v>
      </c>
    </row>
    <row r="46" spans="2:25" x14ac:dyDescent="0.25">
      <c r="B46" s="218">
        <f t="shared" si="5"/>
        <v>632</v>
      </c>
      <c r="C46" s="218">
        <v>12</v>
      </c>
    </row>
    <row r="47" spans="2:25" x14ac:dyDescent="0.25">
      <c r="B47" s="218">
        <f t="shared" si="5"/>
        <v>636</v>
      </c>
      <c r="C47" s="218">
        <v>13</v>
      </c>
    </row>
    <row r="48" spans="2:25" x14ac:dyDescent="0.25">
      <c r="B48" s="218">
        <f t="shared" si="5"/>
        <v>612</v>
      </c>
      <c r="C48" s="218">
        <v>14</v>
      </c>
    </row>
    <row r="49" spans="2:3" x14ac:dyDescent="0.25">
      <c r="B49" s="218">
        <f t="shared" si="5"/>
        <v>613</v>
      </c>
      <c r="C49" s="218">
        <v>15</v>
      </c>
    </row>
    <row r="50" spans="2:3" x14ac:dyDescent="0.25">
      <c r="B50" s="218">
        <f t="shared" si="5"/>
        <v>682</v>
      </c>
      <c r="C50" s="218">
        <v>16</v>
      </c>
    </row>
    <row r="51" spans="2:3" x14ac:dyDescent="0.25">
      <c r="B51" s="218">
        <f t="shared" si="5"/>
        <v>604</v>
      </c>
      <c r="C51" s="218">
        <v>17</v>
      </c>
    </row>
    <row r="52" spans="2:3" x14ac:dyDescent="0.25">
      <c r="B52" s="218">
        <f t="shared" si="5"/>
        <v>649</v>
      </c>
      <c r="C52" s="218">
        <v>18</v>
      </c>
    </row>
    <row r="53" spans="2:3" x14ac:dyDescent="0.25">
      <c r="B53" s="218">
        <f t="shared" si="5"/>
        <v>540</v>
      </c>
      <c r="C53" s="218">
        <v>19</v>
      </c>
    </row>
    <row r="54" spans="2:3" x14ac:dyDescent="0.25">
      <c r="B54" s="218">
        <f t="shared" si="5"/>
        <v>430</v>
      </c>
      <c r="C54" s="218">
        <v>20</v>
      </c>
    </row>
    <row r="55" spans="2:3" x14ac:dyDescent="0.25">
      <c r="B55" s="218">
        <f t="shared" si="5"/>
        <v>378</v>
      </c>
      <c r="C55" s="218">
        <v>21</v>
      </c>
    </row>
    <row r="56" spans="2:3" x14ac:dyDescent="0.25">
      <c r="B56" s="218">
        <f t="shared" si="5"/>
        <v>278</v>
      </c>
      <c r="C56" s="218">
        <v>22</v>
      </c>
    </row>
    <row r="57" spans="2:3" x14ac:dyDescent="0.25">
      <c r="B57" s="218">
        <f t="shared" si="5"/>
        <v>164</v>
      </c>
      <c r="C57" s="218">
        <v>23</v>
      </c>
    </row>
    <row r="58" spans="2:3" x14ac:dyDescent="0.25">
      <c r="B58" s="218">
        <f t="shared" si="5"/>
        <v>103</v>
      </c>
      <c r="C58" s="218">
        <v>24</v>
      </c>
    </row>
  </sheetData>
  <sheetProtection sheet="1" objects="1" scenarios="1"/>
  <mergeCells count="4">
    <mergeCell ref="B2:H2"/>
    <mergeCell ref="M19:O19"/>
    <mergeCell ref="C4:H4"/>
    <mergeCell ref="B1:O1"/>
  </mergeCells>
  <phoneticPr fontId="49" type="noConversion"/>
  <conditionalFormatting sqref="B16:H16">
    <cfRule type="expression" dxfId="12" priority="1" stopIfTrue="1">
      <formula>$E$16=MAX($E$6:$E$17)</formula>
    </cfRule>
  </conditionalFormatting>
  <conditionalFormatting sqref="B17:H17">
    <cfRule type="expression" dxfId="11" priority="2" stopIfTrue="1">
      <formula>$E$17=MAX($E$6:$E$17)</formula>
    </cfRule>
  </conditionalFormatting>
  <conditionalFormatting sqref="B15:H15">
    <cfRule type="expression" dxfId="10" priority="3" stopIfTrue="1">
      <formula>$E$15=MAX($E$6:$E$17)</formula>
    </cfRule>
  </conditionalFormatting>
  <conditionalFormatting sqref="B14:H14">
    <cfRule type="expression" dxfId="9" priority="4" stopIfTrue="1">
      <formula>$E$14=MAX($E$6:$E$17)</formula>
    </cfRule>
  </conditionalFormatting>
  <conditionalFormatting sqref="B6:H6">
    <cfRule type="expression" dxfId="8" priority="5" stopIfTrue="1">
      <formula>$E$6=MAX($E$6:$E$17)</formula>
    </cfRule>
  </conditionalFormatting>
  <conditionalFormatting sqref="B7:H7">
    <cfRule type="expression" dxfId="7" priority="6" stopIfTrue="1">
      <formula>$E$7=MAX($E$6:$E$17)</formula>
    </cfRule>
  </conditionalFormatting>
  <conditionalFormatting sqref="B8:H8">
    <cfRule type="expression" dxfId="6" priority="7" stopIfTrue="1">
      <formula>$E$8=MAX($E$6:$E$17)</formula>
    </cfRule>
  </conditionalFormatting>
  <conditionalFormatting sqref="B9:H9">
    <cfRule type="expression" dxfId="5" priority="8" stopIfTrue="1">
      <formula>$E$9=MAX($E$6:$E$17)</formula>
    </cfRule>
  </conditionalFormatting>
  <conditionalFormatting sqref="B10:H10">
    <cfRule type="expression" dxfId="4" priority="9" stopIfTrue="1">
      <formula>$E$10=MAX($E$6:$E$17)</formula>
    </cfRule>
  </conditionalFormatting>
  <conditionalFormatting sqref="B11:H11">
    <cfRule type="expression" dxfId="3" priority="10" stopIfTrue="1">
      <formula>$E$11=MAX($E$6:$E$17)</formula>
    </cfRule>
  </conditionalFormatting>
  <conditionalFormatting sqref="B13:H13">
    <cfRule type="expression" dxfId="2" priority="11" stopIfTrue="1">
      <formula>$E$13=MAX($E$6:$E$17)</formula>
    </cfRule>
  </conditionalFormatting>
  <conditionalFormatting sqref="B12:H12">
    <cfRule type="expression" dxfId="1" priority="12" stopIfTrue="1">
      <formula>$E$12=MAX($E$6:$E$17)</formula>
    </cfRule>
  </conditionalFormatting>
  <conditionalFormatting sqref="B18:H29">
    <cfRule type="expression" dxfId="0" priority="13" stopIfTrue="1">
      <formula>$E18=MAX($E$18:$E$29)</formula>
    </cfRule>
  </conditionalFormatting>
  <dataValidations count="2">
    <dataValidation type="list" allowBlank="1" showInputMessage="1" showErrorMessage="1" sqref="C5" xr:uid="{00000000-0002-0000-0800-000000000000}">
      <formula1>"NB,EB"</formula1>
    </dataValidation>
    <dataValidation type="whole" allowBlank="1" showInputMessage="1" showErrorMessage="1" sqref="K20:L32" xr:uid="{00000000-0002-0000-0800-000001000000}">
      <formula1>0</formula1>
      <formula2>150000</formula2>
    </dataValidation>
  </dataValidations>
  <printOptions horizontalCentered="1" verticalCentered="1"/>
  <pageMargins left="0.75" right="0.75" top="1" bottom="1" header="0.5" footer="0.5"/>
  <pageSetup scale="83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B2:D12"/>
  <sheetViews>
    <sheetView showRowColHeaders="0" zoomScale="250" workbookViewId="0">
      <selection activeCell="D5" sqref="D5"/>
    </sheetView>
  </sheetViews>
  <sheetFormatPr defaultRowHeight="12.75" x14ac:dyDescent="0.2"/>
  <cols>
    <col min="1" max="1" width="3.85546875" style="1" customWidth="1"/>
    <col min="2" max="2" width="9.140625" style="1"/>
    <col min="3" max="3" width="13.85546875" style="1" customWidth="1"/>
    <col min="4" max="4" width="13.7109375" style="1" customWidth="1"/>
    <col min="5" max="16384" width="9.140625" style="1"/>
  </cols>
  <sheetData>
    <row r="2" spans="2:4" x14ac:dyDescent="0.2">
      <c r="B2" s="335" t="s">
        <v>351</v>
      </c>
      <c r="C2" s="336"/>
      <c r="D2" s="337"/>
    </row>
    <row r="3" spans="2:4" x14ac:dyDescent="0.2">
      <c r="B3" s="348" t="s">
        <v>11</v>
      </c>
      <c r="C3" s="349"/>
      <c r="D3" s="89">
        <v>2006</v>
      </c>
    </row>
    <row r="4" spans="2:4" x14ac:dyDescent="0.2">
      <c r="B4" s="344" t="s">
        <v>12</v>
      </c>
      <c r="C4" s="345"/>
      <c r="D4" s="36">
        <v>2035</v>
      </c>
    </row>
    <row r="5" spans="2:4" x14ac:dyDescent="0.2">
      <c r="B5" s="352" t="s">
        <v>13</v>
      </c>
      <c r="C5" s="353"/>
      <c r="D5" s="90">
        <v>556</v>
      </c>
    </row>
    <row r="6" spans="2:4" x14ac:dyDescent="0.2">
      <c r="B6" s="344" t="s">
        <v>14</v>
      </c>
      <c r="C6" s="345"/>
      <c r="D6" s="91">
        <v>2.5000000000000001E-2</v>
      </c>
    </row>
    <row r="7" spans="2:4" x14ac:dyDescent="0.2">
      <c r="B7" s="344" t="s">
        <v>38</v>
      </c>
      <c r="C7" s="345"/>
      <c r="D7" s="90">
        <v>1300</v>
      </c>
    </row>
    <row r="8" spans="2:4" x14ac:dyDescent="0.2">
      <c r="B8" s="73"/>
      <c r="C8" s="34"/>
      <c r="D8" s="75"/>
    </row>
    <row r="9" spans="2:4" x14ac:dyDescent="0.2">
      <c r="B9" s="340" t="s">
        <v>37</v>
      </c>
      <c r="C9" s="341"/>
      <c r="D9" s="338">
        <f>IF(POWER((1+D6),(D4-D3))*D5&gt;999999,"Error",POWER((1+D6),(D4-D3))*D5)</f>
        <v>1137.8025111897311</v>
      </c>
    </row>
    <row r="10" spans="2:4" x14ac:dyDescent="0.2">
      <c r="B10" s="350"/>
      <c r="C10" s="351"/>
      <c r="D10" s="339"/>
    </row>
    <row r="11" spans="2:4" x14ac:dyDescent="0.2">
      <c r="B11" s="340" t="s">
        <v>352</v>
      </c>
      <c r="C11" s="341"/>
      <c r="D11" s="346">
        <f>POWER((D7/D5),(1/(D4-D3)))-1</f>
        <v>2.9721084795577113E-2</v>
      </c>
    </row>
    <row r="12" spans="2:4" x14ac:dyDescent="0.2">
      <c r="B12" s="342"/>
      <c r="C12" s="343"/>
      <c r="D12" s="347"/>
    </row>
  </sheetData>
  <mergeCells count="10">
    <mergeCell ref="B2:D2"/>
    <mergeCell ref="D9:D10"/>
    <mergeCell ref="B11:C12"/>
    <mergeCell ref="B6:C6"/>
    <mergeCell ref="D11:D12"/>
    <mergeCell ref="B7:C7"/>
    <mergeCell ref="B3:C3"/>
    <mergeCell ref="B9:C10"/>
    <mergeCell ref="B4:C4"/>
    <mergeCell ref="B5:C5"/>
  </mergeCells>
  <phoneticPr fontId="49" type="noConversion"/>
  <dataValidations count="4">
    <dataValidation type="decimal" allowBlank="1" showInputMessage="1" showErrorMessage="1" sqref="D6" xr:uid="{00000000-0002-0000-0A00-000000000000}">
      <formula1>0</formula1>
      <formula2>0.2</formula2>
    </dataValidation>
    <dataValidation type="whole" operator="greaterThan" allowBlank="1" showInputMessage="1" showErrorMessage="1" sqref="D4" xr:uid="{00000000-0002-0000-0A00-000001000000}">
      <formula1>D3</formula1>
    </dataValidation>
    <dataValidation type="whole" operator="greaterThan" allowBlank="1" showInputMessage="1" showErrorMessage="1" sqref="D3" xr:uid="{00000000-0002-0000-0A00-000002000000}">
      <formula1>1950</formula1>
    </dataValidation>
    <dataValidation type="whole" allowBlank="1" showInputMessage="1" showErrorMessage="1" sqref="D7 D5" xr:uid="{00000000-0002-0000-0A00-000003000000}">
      <formula1>10</formula1>
      <formula2>300000</formula2>
    </dataValidation>
  </dataValidations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28</vt:i4>
      </vt:variant>
    </vt:vector>
  </HeadingPairs>
  <TitlesOfParts>
    <vt:vector size="36" baseType="lpstr">
      <vt:lpstr>AADT Input</vt:lpstr>
      <vt:lpstr>AADT Current</vt:lpstr>
      <vt:lpstr>AADT Results</vt:lpstr>
      <vt:lpstr>ITERATION</vt:lpstr>
      <vt:lpstr>turn estimations</vt:lpstr>
      <vt:lpstr>CENSUS DATA</vt:lpstr>
      <vt:lpstr>Traffic Data</vt:lpstr>
      <vt:lpstr>Calculator</vt:lpstr>
      <vt:lpstr>BLANK</vt:lpstr>
      <vt:lpstr>CountyListWithoutState</vt:lpstr>
      <vt:lpstr>CountyListWithState</vt:lpstr>
      <vt:lpstr>DataTable</vt:lpstr>
      <vt:lpstr>DataTable2</vt:lpstr>
      <vt:lpstr>FUTUREYEAR1</vt:lpstr>
      <vt:lpstr>maxyear</vt:lpstr>
      <vt:lpstr>minyear</vt:lpstr>
      <vt:lpstr>NUMB</vt:lpstr>
      <vt:lpstr>'AADT Results'!Print_Area</vt:lpstr>
      <vt:lpstr>'Traffic Data'!Print_Area</vt:lpstr>
      <vt:lpstr>'AADT Input'!Print_Titles</vt:lpstr>
      <vt:lpstr>SelectionCountyNoSuffix</vt:lpstr>
      <vt:lpstr>Series</vt:lpstr>
      <vt:lpstr>SHOW01AADTS</vt:lpstr>
      <vt:lpstr>SHOW02HISTORICAAI</vt:lpstr>
      <vt:lpstr>SHOW03HISTORICAAR</vt:lpstr>
      <vt:lpstr>SHOW04HISTORICREGINC</vt:lpstr>
      <vt:lpstr>SHOW05HISTORICREGRATE</vt:lpstr>
      <vt:lpstr>SHOW06FUTUREAAI</vt:lpstr>
      <vt:lpstr>SHOW07FUTUREAAR</vt:lpstr>
      <vt:lpstr>SHOW08FUTUREREGINC</vt:lpstr>
      <vt:lpstr>SHOW09FUTUREREGRATE</vt:lpstr>
      <vt:lpstr>SHOWFUTUREYEARS</vt:lpstr>
      <vt:lpstr>SHOWUSERRATE</vt:lpstr>
      <vt:lpstr>SHOWUSERRATE2</vt:lpstr>
      <vt:lpstr>STATION</vt:lpstr>
      <vt:lpstr>STATION1</vt:lpstr>
    </vt:vector>
  </TitlesOfParts>
  <Company>NCDOT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Tanner</dc:creator>
  <cp:lastModifiedBy>Kinnamon, Martin</cp:lastModifiedBy>
  <cp:lastPrinted>2007-08-29T15:22:02Z</cp:lastPrinted>
  <dcterms:created xsi:type="dcterms:W3CDTF">2005-08-13T22:13:43Z</dcterms:created>
  <dcterms:modified xsi:type="dcterms:W3CDTF">2020-06-16T13:48:28Z</dcterms:modified>
</cp:coreProperties>
</file>